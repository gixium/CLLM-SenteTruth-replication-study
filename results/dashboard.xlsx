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gixium/Repos/CLLM-SenteTruth-replication-study/results/"/>
    </mc:Choice>
  </mc:AlternateContent>
  <xr:revisionPtr revIDLastSave="0" documentId="13_ncr:1_{EB181D6C-96A0-9143-AB58-9AEE1E624B6E}" xr6:coauthVersionLast="47" xr6:coauthVersionMax="47" xr10:uidLastSave="{00000000-0000-0000-0000-000000000000}"/>
  <bookViews>
    <workbookView xWindow="-4460" yWindow="-20960" windowWidth="38320" windowHeight="20920" xr2:uid="{00000000-000D-0000-FFFF-FFFF00000000}"/>
  </bookViews>
  <sheets>
    <sheet name="Summary" sheetId="1" r:id="rId1"/>
    <sheet name="Delta Trends" sheetId="2" r:id="rId2"/>
  </sheets>
  <externalReferences>
    <externalReference r:id="rId3"/>
    <externalReference r:id="rId4"/>
    <externalReference r:id="rId5"/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1" i="2" l="1"/>
  <c r="Q103" i="2" l="1"/>
  <c r="P103" i="2"/>
  <c r="O103" i="2"/>
  <c r="N103" i="2"/>
  <c r="E103" i="2"/>
  <c r="D103" i="2"/>
  <c r="C103" i="2"/>
  <c r="B103" i="2"/>
  <c r="Q102" i="2"/>
  <c r="P102" i="2"/>
  <c r="O102" i="2"/>
  <c r="N102" i="2"/>
  <c r="E102" i="2"/>
  <c r="D102" i="2"/>
  <c r="C102" i="2"/>
  <c r="B102" i="2"/>
  <c r="Q101" i="2"/>
  <c r="P101" i="2"/>
  <c r="O101" i="2"/>
  <c r="N101" i="2"/>
  <c r="E101" i="2"/>
  <c r="D101" i="2"/>
  <c r="C101" i="2"/>
  <c r="B101" i="2"/>
  <c r="Q100" i="2"/>
  <c r="P100" i="2"/>
  <c r="O100" i="2"/>
  <c r="N100" i="2"/>
  <c r="E100" i="2"/>
  <c r="D100" i="2"/>
  <c r="C100" i="2"/>
  <c r="B100" i="2"/>
  <c r="Q99" i="2"/>
  <c r="P99" i="2"/>
  <c r="O99" i="2"/>
  <c r="N99" i="2"/>
  <c r="E99" i="2"/>
  <c r="D99" i="2"/>
  <c r="C99" i="2"/>
  <c r="B99" i="2"/>
  <c r="Q98" i="2"/>
  <c r="P98" i="2"/>
  <c r="O98" i="2"/>
  <c r="N98" i="2"/>
  <c r="E98" i="2"/>
  <c r="D98" i="2"/>
  <c r="C98" i="2"/>
  <c r="B98" i="2"/>
  <c r="Q97" i="2"/>
  <c r="P97" i="2"/>
  <c r="O97" i="2"/>
  <c r="N97" i="2"/>
  <c r="E97" i="2"/>
  <c r="D97" i="2"/>
  <c r="C97" i="2"/>
  <c r="B97" i="2"/>
  <c r="Q96" i="2"/>
  <c r="P96" i="2"/>
  <c r="O96" i="2"/>
  <c r="N96" i="2"/>
  <c r="E96" i="2"/>
  <c r="D96" i="2"/>
  <c r="C96" i="2"/>
  <c r="B96" i="2"/>
  <c r="Q95" i="2"/>
  <c r="P95" i="2"/>
  <c r="O95" i="2"/>
  <c r="N95" i="2"/>
  <c r="E95" i="2"/>
  <c r="D95" i="2"/>
  <c r="C95" i="2"/>
  <c r="B95" i="2"/>
  <c r="Q94" i="2"/>
  <c r="P94" i="2"/>
  <c r="O94" i="2"/>
  <c r="N94" i="2"/>
  <c r="E94" i="2"/>
  <c r="D94" i="2"/>
  <c r="C94" i="2"/>
  <c r="B94" i="2"/>
  <c r="Q93" i="2"/>
  <c r="P93" i="2"/>
  <c r="O93" i="2"/>
  <c r="N93" i="2"/>
  <c r="E93" i="2"/>
  <c r="D93" i="2"/>
  <c r="C93" i="2"/>
  <c r="B93" i="2"/>
  <c r="Q92" i="2"/>
  <c r="P92" i="2"/>
  <c r="O92" i="2"/>
  <c r="N92" i="2"/>
  <c r="E92" i="2"/>
  <c r="D92" i="2"/>
  <c r="C92" i="2"/>
  <c r="B92" i="2"/>
  <c r="Q91" i="2"/>
  <c r="P91" i="2"/>
  <c r="O91" i="2"/>
  <c r="N91" i="2"/>
  <c r="E91" i="2"/>
  <c r="D91" i="2"/>
  <c r="C91" i="2"/>
  <c r="B91" i="2"/>
  <c r="Q90" i="2"/>
  <c r="P90" i="2"/>
  <c r="O90" i="2"/>
  <c r="N90" i="2"/>
  <c r="E90" i="2"/>
  <c r="D90" i="2"/>
  <c r="C90" i="2"/>
  <c r="B90" i="2"/>
  <c r="Q89" i="2"/>
  <c r="P89" i="2"/>
  <c r="O89" i="2"/>
  <c r="N89" i="2"/>
  <c r="E89" i="2"/>
  <c r="D89" i="2"/>
  <c r="C89" i="2"/>
  <c r="B89" i="2"/>
  <c r="Q88" i="2"/>
  <c r="P88" i="2"/>
  <c r="O88" i="2"/>
  <c r="N88" i="2"/>
  <c r="E88" i="2"/>
  <c r="D88" i="2"/>
  <c r="C88" i="2"/>
  <c r="B88" i="2"/>
  <c r="Q87" i="2"/>
  <c r="P87" i="2"/>
  <c r="O87" i="2"/>
  <c r="N87" i="2"/>
  <c r="E87" i="2"/>
  <c r="D87" i="2"/>
  <c r="C87" i="2"/>
  <c r="B87" i="2"/>
  <c r="Q86" i="2"/>
  <c r="P86" i="2"/>
  <c r="O86" i="2"/>
  <c r="N86" i="2"/>
  <c r="E86" i="2"/>
  <c r="D86" i="2"/>
  <c r="C86" i="2"/>
  <c r="B86" i="2"/>
  <c r="Q85" i="2"/>
  <c r="P85" i="2"/>
  <c r="O85" i="2"/>
  <c r="N85" i="2"/>
  <c r="E85" i="2"/>
  <c r="D85" i="2"/>
  <c r="C85" i="2"/>
  <c r="B85" i="2"/>
  <c r="Q84" i="2"/>
  <c r="P84" i="2"/>
  <c r="O84" i="2"/>
  <c r="N84" i="2"/>
  <c r="E84" i="2"/>
  <c r="D84" i="2"/>
  <c r="C84" i="2"/>
  <c r="B84" i="2"/>
  <c r="Q83" i="2"/>
  <c r="P83" i="2"/>
  <c r="O83" i="2"/>
  <c r="N83" i="2"/>
  <c r="E83" i="2"/>
  <c r="D83" i="2"/>
  <c r="C83" i="2"/>
  <c r="B83" i="2"/>
  <c r="Q82" i="2"/>
  <c r="P82" i="2"/>
  <c r="O82" i="2"/>
  <c r="N82" i="2"/>
  <c r="E82" i="2"/>
  <c r="D82" i="2"/>
  <c r="C82" i="2"/>
  <c r="B82" i="2"/>
  <c r="Q81" i="2"/>
  <c r="P81" i="2"/>
  <c r="O81" i="2"/>
  <c r="N81" i="2"/>
  <c r="E81" i="2"/>
  <c r="D81" i="2"/>
  <c r="C81" i="2"/>
  <c r="B81" i="2"/>
  <c r="Q80" i="2"/>
  <c r="P80" i="2"/>
  <c r="O80" i="2"/>
  <c r="N80" i="2"/>
  <c r="E80" i="2"/>
  <c r="D80" i="2"/>
  <c r="C80" i="2"/>
  <c r="B80" i="2"/>
  <c r="Q79" i="2"/>
  <c r="P79" i="2"/>
  <c r="O79" i="2"/>
  <c r="N79" i="2"/>
  <c r="E79" i="2"/>
  <c r="D79" i="2"/>
  <c r="C79" i="2"/>
  <c r="B79" i="2"/>
  <c r="Q78" i="2"/>
  <c r="P78" i="2"/>
  <c r="O78" i="2"/>
  <c r="N78" i="2"/>
  <c r="E78" i="2"/>
  <c r="D78" i="2"/>
  <c r="C78" i="2"/>
  <c r="B78" i="2"/>
  <c r="Q77" i="2"/>
  <c r="P77" i="2"/>
  <c r="O77" i="2"/>
  <c r="N77" i="2"/>
  <c r="E77" i="2"/>
  <c r="D77" i="2"/>
  <c r="C77" i="2"/>
  <c r="B77" i="2"/>
  <c r="Q76" i="2"/>
  <c r="P76" i="2"/>
  <c r="O76" i="2"/>
  <c r="N76" i="2"/>
  <c r="E76" i="2"/>
  <c r="D76" i="2"/>
  <c r="C76" i="2"/>
  <c r="B76" i="2"/>
  <c r="Q75" i="2"/>
  <c r="P75" i="2"/>
  <c r="O75" i="2"/>
  <c r="N75" i="2"/>
  <c r="E75" i="2"/>
  <c r="D75" i="2"/>
  <c r="C75" i="2"/>
  <c r="B75" i="2"/>
  <c r="Q74" i="2"/>
  <c r="P74" i="2"/>
  <c r="O74" i="2"/>
  <c r="N74" i="2"/>
  <c r="E74" i="2"/>
  <c r="D74" i="2"/>
  <c r="C74" i="2"/>
  <c r="B74" i="2"/>
  <c r="Q73" i="2"/>
  <c r="P73" i="2"/>
  <c r="O73" i="2"/>
  <c r="N73" i="2"/>
  <c r="E73" i="2"/>
  <c r="D73" i="2"/>
  <c r="C73" i="2"/>
  <c r="B73" i="2"/>
  <c r="Q72" i="2"/>
  <c r="P72" i="2"/>
  <c r="O72" i="2"/>
  <c r="N72" i="2"/>
  <c r="E72" i="2"/>
  <c r="D72" i="2"/>
  <c r="C72" i="2"/>
  <c r="B72" i="2"/>
  <c r="Q71" i="2"/>
  <c r="P71" i="2"/>
  <c r="O71" i="2"/>
  <c r="N71" i="2"/>
  <c r="E71" i="2"/>
  <c r="D71" i="2"/>
  <c r="C71" i="2"/>
  <c r="B71" i="2"/>
  <c r="Q70" i="2"/>
  <c r="P70" i="2"/>
  <c r="O70" i="2"/>
  <c r="N70" i="2"/>
  <c r="E70" i="2"/>
  <c r="D70" i="2"/>
  <c r="C70" i="2"/>
  <c r="B70" i="2"/>
  <c r="Q69" i="2"/>
  <c r="P69" i="2"/>
  <c r="O69" i="2"/>
  <c r="N69" i="2"/>
  <c r="E69" i="2"/>
  <c r="D69" i="2"/>
  <c r="C69" i="2"/>
  <c r="B69" i="2"/>
  <c r="Q68" i="2"/>
  <c r="P68" i="2"/>
  <c r="O68" i="2"/>
  <c r="N68" i="2"/>
  <c r="E68" i="2"/>
  <c r="D68" i="2"/>
  <c r="C68" i="2"/>
  <c r="B68" i="2"/>
  <c r="Q67" i="2"/>
  <c r="P67" i="2"/>
  <c r="O67" i="2"/>
  <c r="N67" i="2"/>
  <c r="E67" i="2"/>
  <c r="D67" i="2"/>
  <c r="C67" i="2"/>
  <c r="B67" i="2"/>
  <c r="Q66" i="2"/>
  <c r="P66" i="2"/>
  <c r="O66" i="2"/>
  <c r="N66" i="2"/>
  <c r="E66" i="2"/>
  <c r="D66" i="2"/>
  <c r="C66" i="2"/>
  <c r="B66" i="2"/>
  <c r="Q65" i="2"/>
  <c r="P65" i="2"/>
  <c r="O65" i="2"/>
  <c r="N65" i="2"/>
  <c r="E65" i="2"/>
  <c r="D65" i="2"/>
  <c r="C65" i="2"/>
  <c r="B65" i="2"/>
  <c r="Q64" i="2"/>
  <c r="P64" i="2"/>
  <c r="O64" i="2"/>
  <c r="N64" i="2"/>
  <c r="E64" i="2"/>
  <c r="D64" i="2"/>
  <c r="C64" i="2"/>
  <c r="B64" i="2"/>
  <c r="W63" i="2"/>
  <c r="V63" i="2"/>
  <c r="U63" i="2"/>
  <c r="T63" i="2"/>
  <c r="Q63" i="2"/>
  <c r="P63" i="2"/>
  <c r="O63" i="2"/>
  <c r="N63" i="2"/>
  <c r="K63" i="2"/>
  <c r="J63" i="2"/>
  <c r="I63" i="2"/>
  <c r="H63" i="2"/>
  <c r="E63" i="2"/>
  <c r="D63" i="2"/>
  <c r="C63" i="2"/>
  <c r="B63" i="2"/>
  <c r="W62" i="2"/>
  <c r="V62" i="2"/>
  <c r="U62" i="2"/>
  <c r="T62" i="2"/>
  <c r="Q62" i="2"/>
  <c r="P62" i="2"/>
  <c r="O62" i="2"/>
  <c r="N62" i="2"/>
  <c r="K62" i="2"/>
  <c r="J62" i="2"/>
  <c r="I62" i="2"/>
  <c r="H62" i="2"/>
  <c r="E62" i="2"/>
  <c r="D62" i="2"/>
  <c r="C62" i="2"/>
  <c r="B62" i="2"/>
  <c r="W61" i="2"/>
  <c r="V61" i="2"/>
  <c r="U61" i="2"/>
  <c r="T61" i="2"/>
  <c r="Q61" i="2"/>
  <c r="P61" i="2"/>
  <c r="O61" i="2"/>
  <c r="N61" i="2"/>
  <c r="K61" i="2"/>
  <c r="J61" i="2"/>
  <c r="I61" i="2"/>
  <c r="H61" i="2"/>
  <c r="E61" i="2"/>
  <c r="D61" i="2"/>
  <c r="C61" i="2"/>
  <c r="B61" i="2"/>
  <c r="W60" i="2"/>
  <c r="V60" i="2"/>
  <c r="U60" i="2"/>
  <c r="T60" i="2"/>
  <c r="Q60" i="2"/>
  <c r="P60" i="2"/>
  <c r="O60" i="2"/>
  <c r="N60" i="2"/>
  <c r="K60" i="2"/>
  <c r="J60" i="2"/>
  <c r="I60" i="2"/>
  <c r="H60" i="2"/>
  <c r="E60" i="2"/>
  <c r="D60" i="2"/>
  <c r="C60" i="2"/>
  <c r="B60" i="2"/>
  <c r="W59" i="2"/>
  <c r="V59" i="2"/>
  <c r="U59" i="2"/>
  <c r="T59" i="2"/>
  <c r="Q59" i="2"/>
  <c r="P59" i="2"/>
  <c r="O59" i="2"/>
  <c r="N59" i="2"/>
  <c r="K59" i="2"/>
  <c r="J59" i="2"/>
  <c r="I59" i="2"/>
  <c r="H59" i="2"/>
  <c r="E59" i="2"/>
  <c r="D59" i="2"/>
  <c r="C59" i="2"/>
  <c r="B59" i="2"/>
  <c r="W58" i="2"/>
  <c r="V58" i="2"/>
  <c r="U58" i="2"/>
  <c r="T58" i="2"/>
  <c r="Q58" i="2"/>
  <c r="P58" i="2"/>
  <c r="O58" i="2"/>
  <c r="N58" i="2"/>
  <c r="K58" i="2"/>
  <c r="J58" i="2"/>
  <c r="I58" i="2"/>
  <c r="H58" i="2"/>
  <c r="E58" i="2"/>
  <c r="D58" i="2"/>
  <c r="C58" i="2"/>
  <c r="B58" i="2"/>
  <c r="W57" i="2"/>
  <c r="V57" i="2"/>
  <c r="U57" i="2"/>
  <c r="T57" i="2"/>
  <c r="Q57" i="2"/>
  <c r="P57" i="2"/>
  <c r="O57" i="2"/>
  <c r="N57" i="2"/>
  <c r="K57" i="2"/>
  <c r="J57" i="2"/>
  <c r="I57" i="2"/>
  <c r="H57" i="2"/>
  <c r="E57" i="2"/>
  <c r="D57" i="2"/>
  <c r="C57" i="2"/>
  <c r="B57" i="2"/>
  <c r="W56" i="2"/>
  <c r="V56" i="2"/>
  <c r="U56" i="2"/>
  <c r="T56" i="2"/>
  <c r="Q56" i="2"/>
  <c r="P56" i="2"/>
  <c r="O56" i="2"/>
  <c r="N56" i="2"/>
  <c r="K56" i="2"/>
  <c r="J56" i="2"/>
  <c r="I56" i="2"/>
  <c r="H56" i="2"/>
  <c r="E56" i="2"/>
  <c r="D56" i="2"/>
  <c r="C56" i="2"/>
  <c r="B56" i="2"/>
  <c r="W55" i="2"/>
  <c r="V55" i="2"/>
  <c r="U55" i="2"/>
  <c r="T55" i="2"/>
  <c r="Q55" i="2"/>
  <c r="P55" i="2"/>
  <c r="O55" i="2"/>
  <c r="N55" i="2"/>
  <c r="K55" i="2"/>
  <c r="J55" i="2"/>
  <c r="I55" i="2"/>
  <c r="H55" i="2"/>
  <c r="E55" i="2"/>
  <c r="D55" i="2"/>
  <c r="C55" i="2"/>
  <c r="B55" i="2"/>
  <c r="W54" i="2"/>
  <c r="V54" i="2"/>
  <c r="U54" i="2"/>
  <c r="T54" i="2"/>
  <c r="Q54" i="2"/>
  <c r="P54" i="2"/>
  <c r="O54" i="2"/>
  <c r="N54" i="2"/>
  <c r="K54" i="2"/>
  <c r="J54" i="2"/>
  <c r="I54" i="2"/>
  <c r="H54" i="2"/>
  <c r="E54" i="2"/>
  <c r="D54" i="2"/>
  <c r="C54" i="2"/>
  <c r="B54" i="2"/>
  <c r="W53" i="2"/>
  <c r="V53" i="2"/>
  <c r="U53" i="2"/>
  <c r="T53" i="2"/>
  <c r="Q53" i="2"/>
  <c r="P53" i="2"/>
  <c r="O53" i="2"/>
  <c r="N53" i="2"/>
  <c r="K53" i="2"/>
  <c r="J53" i="2"/>
  <c r="I53" i="2"/>
  <c r="H53" i="2"/>
  <c r="E53" i="2"/>
  <c r="D53" i="2"/>
  <c r="C53" i="2"/>
  <c r="B53" i="2"/>
  <c r="W52" i="2"/>
  <c r="V52" i="2"/>
  <c r="U52" i="2"/>
  <c r="T52" i="2"/>
  <c r="Q52" i="2"/>
  <c r="P52" i="2"/>
  <c r="O52" i="2"/>
  <c r="N52" i="2"/>
  <c r="K52" i="2"/>
  <c r="J52" i="2"/>
  <c r="I52" i="2"/>
  <c r="H52" i="2"/>
  <c r="E52" i="2"/>
  <c r="D52" i="2"/>
  <c r="C52" i="2"/>
  <c r="B52" i="2"/>
  <c r="W51" i="2"/>
  <c r="V51" i="2"/>
  <c r="U51" i="2"/>
  <c r="T51" i="2"/>
  <c r="Q51" i="2"/>
  <c r="P51" i="2"/>
  <c r="O51" i="2"/>
  <c r="N51" i="2"/>
  <c r="K51" i="2"/>
  <c r="J51" i="2"/>
  <c r="I51" i="2"/>
  <c r="H51" i="2"/>
  <c r="E51" i="2"/>
  <c r="D51" i="2"/>
  <c r="C51" i="2"/>
  <c r="B51" i="2"/>
  <c r="W50" i="2"/>
  <c r="V50" i="2"/>
  <c r="U50" i="2"/>
  <c r="T50" i="2"/>
  <c r="Q50" i="2"/>
  <c r="P50" i="2"/>
  <c r="O50" i="2"/>
  <c r="N50" i="2"/>
  <c r="K50" i="2"/>
  <c r="J50" i="2"/>
  <c r="I50" i="2"/>
  <c r="H50" i="2"/>
  <c r="E50" i="2"/>
  <c r="D50" i="2"/>
  <c r="C50" i="2"/>
  <c r="B50" i="2"/>
  <c r="W49" i="2"/>
  <c r="V49" i="2"/>
  <c r="U49" i="2"/>
  <c r="T49" i="2"/>
  <c r="Q49" i="2"/>
  <c r="P49" i="2"/>
  <c r="O49" i="2"/>
  <c r="N49" i="2"/>
  <c r="K49" i="2"/>
  <c r="J49" i="2"/>
  <c r="I49" i="2"/>
  <c r="H49" i="2"/>
  <c r="E49" i="2"/>
  <c r="D49" i="2"/>
  <c r="C49" i="2"/>
  <c r="B49" i="2"/>
  <c r="W48" i="2"/>
  <c r="V48" i="2"/>
  <c r="U48" i="2"/>
  <c r="T48" i="2"/>
  <c r="Q48" i="2"/>
  <c r="P48" i="2"/>
  <c r="O48" i="2"/>
  <c r="N48" i="2"/>
  <c r="K48" i="2"/>
  <c r="J48" i="2"/>
  <c r="I48" i="2"/>
  <c r="H48" i="2"/>
  <c r="E48" i="2"/>
  <c r="D48" i="2"/>
  <c r="C48" i="2"/>
  <c r="B48" i="2"/>
  <c r="W47" i="2"/>
  <c r="V47" i="2"/>
  <c r="U47" i="2"/>
  <c r="T47" i="2"/>
  <c r="Q47" i="2"/>
  <c r="P47" i="2"/>
  <c r="O47" i="2"/>
  <c r="N47" i="2"/>
  <c r="K47" i="2"/>
  <c r="J47" i="2"/>
  <c r="I47" i="2"/>
  <c r="H47" i="2"/>
  <c r="E47" i="2"/>
  <c r="D47" i="2"/>
  <c r="C47" i="2"/>
  <c r="B47" i="2"/>
  <c r="W46" i="2"/>
  <c r="V46" i="2"/>
  <c r="U46" i="2"/>
  <c r="T46" i="2"/>
  <c r="Q46" i="2"/>
  <c r="P46" i="2"/>
  <c r="O46" i="2"/>
  <c r="N46" i="2"/>
  <c r="K46" i="2"/>
  <c r="J46" i="2"/>
  <c r="I46" i="2"/>
  <c r="H46" i="2"/>
  <c r="E46" i="2"/>
  <c r="D46" i="2"/>
  <c r="C46" i="2"/>
  <c r="B46" i="2"/>
  <c r="W45" i="2"/>
  <c r="V45" i="2"/>
  <c r="U45" i="2"/>
  <c r="T45" i="2"/>
  <c r="Q45" i="2"/>
  <c r="P45" i="2"/>
  <c r="O45" i="2"/>
  <c r="N45" i="2"/>
  <c r="K45" i="2"/>
  <c r="J45" i="2"/>
  <c r="I45" i="2"/>
  <c r="H45" i="2"/>
  <c r="E45" i="2"/>
  <c r="D45" i="2"/>
  <c r="C45" i="2"/>
  <c r="B45" i="2"/>
  <c r="W44" i="2"/>
  <c r="V44" i="2"/>
  <c r="U44" i="2"/>
  <c r="T44" i="2"/>
  <c r="Q44" i="2"/>
  <c r="P44" i="2"/>
  <c r="O44" i="2"/>
  <c r="N44" i="2"/>
  <c r="K44" i="2"/>
  <c r="J44" i="2"/>
  <c r="I44" i="2"/>
  <c r="H44" i="2"/>
  <c r="E44" i="2"/>
  <c r="D44" i="2"/>
  <c r="C44" i="2"/>
  <c r="B44" i="2"/>
  <c r="W43" i="2"/>
  <c r="V43" i="2"/>
  <c r="U43" i="2"/>
  <c r="T43" i="2"/>
  <c r="Q43" i="2"/>
  <c r="P43" i="2"/>
  <c r="O43" i="2"/>
  <c r="N43" i="2"/>
  <c r="K43" i="2"/>
  <c r="J43" i="2"/>
  <c r="I43" i="2"/>
  <c r="H43" i="2"/>
  <c r="E43" i="2"/>
  <c r="D43" i="2"/>
  <c r="C43" i="2"/>
  <c r="B43" i="2"/>
  <c r="W42" i="2"/>
  <c r="V42" i="2"/>
  <c r="U42" i="2"/>
  <c r="T42" i="2"/>
  <c r="Q42" i="2"/>
  <c r="P42" i="2"/>
  <c r="O42" i="2"/>
  <c r="N42" i="2"/>
  <c r="K42" i="2"/>
  <c r="J42" i="2"/>
  <c r="I42" i="2"/>
  <c r="H42" i="2"/>
  <c r="E42" i="2"/>
  <c r="D42" i="2"/>
  <c r="C42" i="2"/>
  <c r="B42" i="2"/>
  <c r="W41" i="2"/>
  <c r="V41" i="2"/>
  <c r="U41" i="2"/>
  <c r="T41" i="2"/>
  <c r="Q41" i="2"/>
  <c r="P41" i="2"/>
  <c r="O41" i="2"/>
  <c r="N41" i="2"/>
  <c r="K41" i="2"/>
  <c r="J41" i="2"/>
  <c r="I41" i="2"/>
  <c r="E41" i="2"/>
  <c r="D41" i="2"/>
  <c r="C41" i="2"/>
  <c r="B41" i="2"/>
  <c r="W40" i="2"/>
  <c r="V40" i="2"/>
  <c r="U40" i="2"/>
  <c r="T40" i="2"/>
  <c r="Q40" i="2"/>
  <c r="P40" i="2"/>
  <c r="O40" i="2"/>
  <c r="N40" i="2"/>
  <c r="K40" i="2"/>
  <c r="J40" i="2"/>
  <c r="I40" i="2"/>
  <c r="H40" i="2"/>
  <c r="E40" i="2"/>
  <c r="D40" i="2"/>
  <c r="C40" i="2"/>
  <c r="B40" i="2"/>
  <c r="W39" i="2"/>
  <c r="V39" i="2"/>
  <c r="U39" i="2"/>
  <c r="T39" i="2"/>
  <c r="Q39" i="2"/>
  <c r="P39" i="2"/>
  <c r="O39" i="2"/>
  <c r="N39" i="2"/>
  <c r="K39" i="2"/>
  <c r="J39" i="2"/>
  <c r="I39" i="2"/>
  <c r="H39" i="2"/>
  <c r="E39" i="2"/>
  <c r="D39" i="2"/>
  <c r="C39" i="2"/>
  <c r="B39" i="2"/>
  <c r="W38" i="2"/>
  <c r="V38" i="2"/>
  <c r="U38" i="2"/>
  <c r="T38" i="2"/>
  <c r="Q38" i="2"/>
  <c r="P38" i="2"/>
  <c r="O38" i="2"/>
  <c r="N38" i="2"/>
  <c r="K38" i="2"/>
  <c r="J38" i="2"/>
  <c r="I38" i="2"/>
  <c r="H38" i="2"/>
  <c r="E38" i="2"/>
  <c r="D38" i="2"/>
  <c r="C38" i="2"/>
  <c r="B38" i="2"/>
  <c r="W37" i="2"/>
  <c r="V37" i="2"/>
  <c r="U37" i="2"/>
  <c r="T37" i="2"/>
  <c r="Q37" i="2"/>
  <c r="P37" i="2"/>
  <c r="O37" i="2"/>
  <c r="N37" i="2"/>
  <c r="K37" i="2"/>
  <c r="J37" i="2"/>
  <c r="I37" i="2"/>
  <c r="H37" i="2"/>
  <c r="E37" i="2"/>
  <c r="D37" i="2"/>
  <c r="C37" i="2"/>
  <c r="B37" i="2"/>
  <c r="W36" i="2"/>
  <c r="V36" i="2"/>
  <c r="U36" i="2"/>
  <c r="T36" i="2"/>
  <c r="Q36" i="2"/>
  <c r="P36" i="2"/>
  <c r="O36" i="2"/>
  <c r="N36" i="2"/>
  <c r="K36" i="2"/>
  <c r="J36" i="2"/>
  <c r="I36" i="2"/>
  <c r="H36" i="2"/>
  <c r="E36" i="2"/>
  <c r="D36" i="2"/>
  <c r="C36" i="2"/>
  <c r="B36" i="2"/>
  <c r="W35" i="2"/>
  <c r="V35" i="2"/>
  <c r="U35" i="2"/>
  <c r="T35" i="2"/>
  <c r="Q35" i="2"/>
  <c r="P35" i="2"/>
  <c r="O35" i="2"/>
  <c r="N35" i="2"/>
  <c r="K35" i="2"/>
  <c r="J35" i="2"/>
  <c r="I35" i="2"/>
  <c r="H35" i="2"/>
  <c r="E35" i="2"/>
  <c r="D35" i="2"/>
  <c r="C35" i="2"/>
  <c r="B35" i="2"/>
  <c r="W34" i="2"/>
  <c r="V34" i="2"/>
  <c r="U34" i="2"/>
  <c r="T34" i="2"/>
  <c r="Q34" i="2"/>
  <c r="P34" i="2"/>
  <c r="O34" i="2"/>
  <c r="N34" i="2"/>
  <c r="K34" i="2"/>
  <c r="J34" i="2"/>
  <c r="I34" i="2"/>
  <c r="H34" i="2"/>
  <c r="E34" i="2"/>
  <c r="D34" i="2"/>
  <c r="C34" i="2"/>
  <c r="B34" i="2"/>
  <c r="W33" i="2"/>
  <c r="V33" i="2"/>
  <c r="U33" i="2"/>
  <c r="T33" i="2"/>
  <c r="Q33" i="2"/>
  <c r="P33" i="2"/>
  <c r="O33" i="2"/>
  <c r="N33" i="2"/>
  <c r="K33" i="2"/>
  <c r="J33" i="2"/>
  <c r="I33" i="2"/>
  <c r="H33" i="2"/>
  <c r="E33" i="2"/>
  <c r="D33" i="2"/>
  <c r="C33" i="2"/>
  <c r="B33" i="2"/>
  <c r="W32" i="2"/>
  <c r="V32" i="2"/>
  <c r="U32" i="2"/>
  <c r="T32" i="2"/>
  <c r="Q32" i="2"/>
  <c r="P32" i="2"/>
  <c r="O32" i="2"/>
  <c r="N32" i="2"/>
  <c r="K32" i="2"/>
  <c r="J32" i="2"/>
  <c r="I32" i="2"/>
  <c r="H32" i="2"/>
  <c r="E32" i="2"/>
  <c r="D32" i="2"/>
  <c r="C32" i="2"/>
  <c r="B32" i="2"/>
  <c r="W31" i="2"/>
  <c r="V31" i="2"/>
  <c r="U31" i="2"/>
  <c r="T31" i="2"/>
  <c r="Q31" i="2"/>
  <c r="P31" i="2"/>
  <c r="O31" i="2"/>
  <c r="N31" i="2"/>
  <c r="K31" i="2"/>
  <c r="J31" i="2"/>
  <c r="I31" i="2"/>
  <c r="H31" i="2"/>
  <c r="E31" i="2"/>
  <c r="D31" i="2"/>
  <c r="C31" i="2"/>
  <c r="B31" i="2"/>
  <c r="W30" i="2"/>
  <c r="V30" i="2"/>
  <c r="U30" i="2"/>
  <c r="T30" i="2"/>
  <c r="Q30" i="2"/>
  <c r="P30" i="2"/>
  <c r="O30" i="2"/>
  <c r="N30" i="2"/>
  <c r="K30" i="2"/>
  <c r="J30" i="2"/>
  <c r="I30" i="2"/>
  <c r="H30" i="2"/>
  <c r="E30" i="2"/>
  <c r="D30" i="2"/>
  <c r="C30" i="2"/>
  <c r="B30" i="2"/>
  <c r="W29" i="2"/>
  <c r="V29" i="2"/>
  <c r="U29" i="2"/>
  <c r="T29" i="2"/>
  <c r="Q29" i="2"/>
  <c r="P29" i="2"/>
  <c r="O29" i="2"/>
  <c r="N29" i="2"/>
  <c r="K29" i="2"/>
  <c r="J29" i="2"/>
  <c r="I29" i="2"/>
  <c r="H29" i="2"/>
  <c r="E29" i="2"/>
  <c r="D29" i="2"/>
  <c r="C29" i="2"/>
  <c r="B29" i="2"/>
  <c r="W28" i="2"/>
  <c r="V28" i="2"/>
  <c r="U28" i="2"/>
  <c r="T28" i="2"/>
  <c r="Q28" i="2"/>
  <c r="P28" i="2"/>
  <c r="O28" i="2"/>
  <c r="N28" i="2"/>
  <c r="K28" i="2"/>
  <c r="J28" i="2"/>
  <c r="I28" i="2"/>
  <c r="H28" i="2"/>
  <c r="E28" i="2"/>
  <c r="D28" i="2"/>
  <c r="C28" i="2"/>
  <c r="B28" i="2"/>
  <c r="W27" i="2"/>
  <c r="V27" i="2"/>
  <c r="U27" i="2"/>
  <c r="T27" i="2"/>
  <c r="Q27" i="2"/>
  <c r="P27" i="2"/>
  <c r="O27" i="2"/>
  <c r="N27" i="2"/>
  <c r="K27" i="2"/>
  <c r="J27" i="2"/>
  <c r="I27" i="2"/>
  <c r="H27" i="2"/>
  <c r="E27" i="2"/>
  <c r="D27" i="2"/>
  <c r="C27" i="2"/>
  <c r="B27" i="2"/>
  <c r="W26" i="2"/>
  <c r="V26" i="2"/>
  <c r="U26" i="2"/>
  <c r="T26" i="2"/>
  <c r="Q26" i="2"/>
  <c r="P26" i="2"/>
  <c r="O26" i="2"/>
  <c r="N26" i="2"/>
  <c r="K26" i="2"/>
  <c r="J26" i="2"/>
  <c r="I26" i="2"/>
  <c r="H26" i="2"/>
  <c r="E26" i="2"/>
  <c r="D26" i="2"/>
  <c r="C26" i="2"/>
  <c r="B26" i="2"/>
  <c r="W25" i="2"/>
  <c r="V25" i="2"/>
  <c r="U25" i="2"/>
  <c r="T25" i="2"/>
  <c r="Q25" i="2"/>
  <c r="P25" i="2"/>
  <c r="O25" i="2"/>
  <c r="N25" i="2"/>
  <c r="K25" i="2"/>
  <c r="J25" i="2"/>
  <c r="I25" i="2"/>
  <c r="H25" i="2"/>
  <c r="E25" i="2"/>
  <c r="D25" i="2"/>
  <c r="C25" i="2"/>
  <c r="B25" i="2"/>
  <c r="W24" i="2"/>
  <c r="V24" i="2"/>
  <c r="U24" i="2"/>
  <c r="T24" i="2"/>
  <c r="Q24" i="2"/>
  <c r="P24" i="2"/>
  <c r="O24" i="2"/>
  <c r="N24" i="2"/>
  <c r="K24" i="2"/>
  <c r="J24" i="2"/>
  <c r="I24" i="2"/>
  <c r="H24" i="2"/>
  <c r="E24" i="2"/>
  <c r="D24" i="2"/>
  <c r="C24" i="2"/>
  <c r="B24" i="2"/>
  <c r="W23" i="2"/>
  <c r="V23" i="2"/>
  <c r="U23" i="2"/>
  <c r="T23" i="2"/>
  <c r="Q23" i="2"/>
  <c r="P23" i="2"/>
  <c r="O23" i="2"/>
  <c r="N23" i="2"/>
  <c r="K23" i="2"/>
  <c r="J23" i="2"/>
  <c r="I23" i="2"/>
  <c r="H23" i="2"/>
  <c r="E23" i="2"/>
  <c r="D23" i="2"/>
  <c r="C23" i="2"/>
  <c r="B23" i="2"/>
  <c r="W22" i="2"/>
  <c r="V22" i="2"/>
  <c r="U22" i="2"/>
  <c r="T22" i="2"/>
  <c r="Q22" i="2"/>
  <c r="P22" i="2"/>
  <c r="O22" i="2"/>
  <c r="N22" i="2"/>
  <c r="K22" i="2"/>
  <c r="J22" i="2"/>
  <c r="I22" i="2"/>
  <c r="H22" i="2"/>
  <c r="E22" i="2"/>
  <c r="D22" i="2"/>
  <c r="C22" i="2"/>
  <c r="B22" i="2"/>
  <c r="W21" i="2"/>
  <c r="V21" i="2"/>
  <c r="U21" i="2"/>
  <c r="T21" i="2"/>
  <c r="Q21" i="2"/>
  <c r="P21" i="2"/>
  <c r="O21" i="2"/>
  <c r="N21" i="2"/>
  <c r="K21" i="2"/>
  <c r="J21" i="2"/>
  <c r="I21" i="2"/>
  <c r="H21" i="2"/>
  <c r="E21" i="2"/>
  <c r="D21" i="2"/>
  <c r="C21" i="2"/>
  <c r="B21" i="2"/>
  <c r="W20" i="2"/>
  <c r="V20" i="2"/>
  <c r="U20" i="2"/>
  <c r="T20" i="2"/>
  <c r="Q20" i="2"/>
  <c r="P20" i="2"/>
  <c r="O20" i="2"/>
  <c r="N20" i="2"/>
  <c r="K20" i="2"/>
  <c r="J20" i="2"/>
  <c r="I20" i="2"/>
  <c r="H20" i="2"/>
  <c r="E20" i="2"/>
  <c r="D20" i="2"/>
  <c r="C20" i="2"/>
  <c r="B20" i="2"/>
  <c r="W19" i="2"/>
  <c r="V19" i="2"/>
  <c r="U19" i="2"/>
  <c r="T19" i="2"/>
  <c r="Q19" i="2"/>
  <c r="P19" i="2"/>
  <c r="O19" i="2"/>
  <c r="N19" i="2"/>
  <c r="K19" i="2"/>
  <c r="J19" i="2"/>
  <c r="I19" i="2"/>
  <c r="H19" i="2"/>
  <c r="E19" i="2"/>
  <c r="D19" i="2"/>
  <c r="C19" i="2"/>
  <c r="B19" i="2"/>
  <c r="W18" i="2"/>
  <c r="V18" i="2"/>
  <c r="U18" i="2"/>
  <c r="T18" i="2"/>
  <c r="Q18" i="2"/>
  <c r="P18" i="2"/>
  <c r="O18" i="2"/>
  <c r="N18" i="2"/>
  <c r="K18" i="2"/>
  <c r="J18" i="2"/>
  <c r="I18" i="2"/>
  <c r="H18" i="2"/>
  <c r="E18" i="2"/>
  <c r="D18" i="2"/>
  <c r="C18" i="2"/>
  <c r="B18" i="2"/>
  <c r="W17" i="2"/>
  <c r="V17" i="2"/>
  <c r="U17" i="2"/>
  <c r="T17" i="2"/>
  <c r="Q17" i="2"/>
  <c r="P17" i="2"/>
  <c r="O17" i="2"/>
  <c r="N17" i="2"/>
  <c r="K17" i="2"/>
  <c r="J17" i="2"/>
  <c r="I17" i="2"/>
  <c r="H17" i="2"/>
  <c r="E17" i="2"/>
  <c r="D17" i="2"/>
  <c r="C17" i="2"/>
  <c r="B17" i="2"/>
  <c r="W16" i="2"/>
  <c r="V16" i="2"/>
  <c r="U16" i="2"/>
  <c r="T16" i="2"/>
  <c r="Q16" i="2"/>
  <c r="P16" i="2"/>
  <c r="O16" i="2"/>
  <c r="N16" i="2"/>
  <c r="K16" i="2"/>
  <c r="J16" i="2"/>
  <c r="I16" i="2"/>
  <c r="H16" i="2"/>
  <c r="E16" i="2"/>
  <c r="D16" i="2"/>
  <c r="C16" i="2"/>
  <c r="B16" i="2"/>
  <c r="W15" i="2"/>
  <c r="V15" i="2"/>
  <c r="U15" i="2"/>
  <c r="T15" i="2"/>
  <c r="Q15" i="2"/>
  <c r="P15" i="2"/>
  <c r="O15" i="2"/>
  <c r="N15" i="2"/>
  <c r="K15" i="2"/>
  <c r="J15" i="2"/>
  <c r="I15" i="2"/>
  <c r="H15" i="2"/>
  <c r="E15" i="2"/>
  <c r="D15" i="2"/>
  <c r="C15" i="2"/>
  <c r="B15" i="2"/>
  <c r="W14" i="2"/>
  <c r="V14" i="2"/>
  <c r="U14" i="2"/>
  <c r="T14" i="2"/>
  <c r="Q14" i="2"/>
  <c r="P14" i="2"/>
  <c r="O14" i="2"/>
  <c r="N14" i="2"/>
  <c r="K14" i="2"/>
  <c r="J14" i="2"/>
  <c r="I14" i="2"/>
  <c r="H14" i="2"/>
  <c r="E14" i="2"/>
  <c r="D14" i="2"/>
  <c r="C14" i="2"/>
  <c r="B14" i="2"/>
  <c r="W13" i="2"/>
  <c r="V13" i="2"/>
  <c r="U13" i="2"/>
  <c r="T13" i="2"/>
  <c r="Q13" i="2"/>
  <c r="P13" i="2"/>
  <c r="O13" i="2"/>
  <c r="N13" i="2"/>
  <c r="K13" i="2"/>
  <c r="J13" i="2"/>
  <c r="I13" i="2"/>
  <c r="H13" i="2"/>
  <c r="E13" i="2"/>
  <c r="D13" i="2"/>
  <c r="C13" i="2"/>
  <c r="B13" i="2"/>
  <c r="W12" i="2"/>
  <c r="V12" i="2"/>
  <c r="U12" i="2"/>
  <c r="T12" i="2"/>
  <c r="Q12" i="2"/>
  <c r="P12" i="2"/>
  <c r="O12" i="2"/>
  <c r="N12" i="2"/>
  <c r="K12" i="2"/>
  <c r="J12" i="2"/>
  <c r="I12" i="2"/>
  <c r="H12" i="2"/>
  <c r="E12" i="2"/>
  <c r="D12" i="2"/>
  <c r="C12" i="2"/>
  <c r="B12" i="2"/>
  <c r="W11" i="2"/>
  <c r="V11" i="2"/>
  <c r="U11" i="2"/>
  <c r="T11" i="2"/>
  <c r="Q11" i="2"/>
  <c r="P11" i="2"/>
  <c r="O11" i="2"/>
  <c r="N11" i="2"/>
  <c r="K11" i="2"/>
  <c r="J11" i="2"/>
  <c r="I11" i="2"/>
  <c r="H11" i="2"/>
  <c r="E11" i="2"/>
  <c r="D11" i="2"/>
  <c r="C11" i="2"/>
  <c r="B11" i="2"/>
  <c r="W10" i="2"/>
  <c r="V10" i="2"/>
  <c r="U10" i="2"/>
  <c r="T10" i="2"/>
  <c r="Q10" i="2"/>
  <c r="P10" i="2"/>
  <c r="O10" i="2"/>
  <c r="N10" i="2"/>
  <c r="K10" i="2"/>
  <c r="J10" i="2"/>
  <c r="I10" i="2"/>
  <c r="H10" i="2"/>
  <c r="E10" i="2"/>
  <c r="D10" i="2"/>
  <c r="C10" i="2"/>
  <c r="B10" i="2"/>
  <c r="W9" i="2"/>
  <c r="V9" i="2"/>
  <c r="U9" i="2"/>
  <c r="T9" i="2"/>
  <c r="Q9" i="2"/>
  <c r="P9" i="2"/>
  <c r="O9" i="2"/>
  <c r="N9" i="2"/>
  <c r="K9" i="2"/>
  <c r="J9" i="2"/>
  <c r="I9" i="2"/>
  <c r="H9" i="2"/>
  <c r="E9" i="2"/>
  <c r="D9" i="2"/>
  <c r="C9" i="2"/>
  <c r="B9" i="2"/>
  <c r="W8" i="2"/>
  <c r="V8" i="2"/>
  <c r="U8" i="2"/>
  <c r="T8" i="2"/>
  <c r="Q8" i="2"/>
  <c r="P8" i="2"/>
  <c r="O8" i="2"/>
  <c r="N8" i="2"/>
  <c r="K8" i="2"/>
  <c r="J8" i="2"/>
  <c r="I8" i="2"/>
  <c r="H8" i="2"/>
  <c r="E8" i="2"/>
  <c r="D8" i="2"/>
  <c r="C8" i="2"/>
  <c r="B8" i="2"/>
  <c r="W7" i="2"/>
  <c r="V7" i="2"/>
  <c r="U7" i="2"/>
  <c r="T7" i="2"/>
  <c r="Q7" i="2"/>
  <c r="P7" i="2"/>
  <c r="O7" i="2"/>
  <c r="N7" i="2"/>
  <c r="K7" i="2"/>
  <c r="J7" i="2"/>
  <c r="I7" i="2"/>
  <c r="H7" i="2"/>
  <c r="E7" i="2"/>
  <c r="D7" i="2"/>
  <c r="C7" i="2"/>
  <c r="B7" i="2"/>
  <c r="W6" i="2"/>
  <c r="V6" i="2"/>
  <c r="U6" i="2"/>
  <c r="T6" i="2"/>
  <c r="Q6" i="2"/>
  <c r="P6" i="2"/>
  <c r="O6" i="2"/>
  <c r="N6" i="2"/>
  <c r="K6" i="2"/>
  <c r="J6" i="2"/>
  <c r="I6" i="2"/>
  <c r="H6" i="2"/>
  <c r="E6" i="2"/>
  <c r="D6" i="2"/>
  <c r="C6" i="2"/>
  <c r="B6" i="2"/>
  <c r="W5" i="2"/>
  <c r="V5" i="2"/>
  <c r="U5" i="2"/>
  <c r="T5" i="2"/>
  <c r="Q5" i="2"/>
  <c r="P5" i="2"/>
  <c r="O5" i="2"/>
  <c r="N5" i="2"/>
  <c r="K5" i="2"/>
  <c r="J5" i="2"/>
  <c r="I5" i="2"/>
  <c r="H5" i="2"/>
  <c r="E5" i="2"/>
  <c r="D5" i="2"/>
  <c r="C5" i="2"/>
  <c r="B5" i="2"/>
  <c r="W4" i="2"/>
  <c r="V4" i="2"/>
  <c r="U4" i="2"/>
  <c r="T4" i="2"/>
  <c r="Q4" i="2"/>
  <c r="P4" i="2"/>
  <c r="O4" i="2"/>
  <c r="N4" i="2"/>
  <c r="K4" i="2"/>
  <c r="J4" i="2"/>
  <c r="I4" i="2"/>
  <c r="H4" i="2"/>
  <c r="E4" i="2"/>
  <c r="D4" i="2"/>
  <c r="C4" i="2"/>
  <c r="B4" i="2"/>
  <c r="W3" i="2"/>
  <c r="V3" i="2"/>
  <c r="U3" i="2"/>
  <c r="T3" i="2"/>
  <c r="Q3" i="2"/>
  <c r="P3" i="2"/>
  <c r="O3" i="2"/>
  <c r="N3" i="2"/>
  <c r="K3" i="2"/>
  <c r="J3" i="2"/>
  <c r="I3" i="2"/>
  <c r="H3" i="2"/>
  <c r="E3" i="2"/>
  <c r="D3" i="2"/>
  <c r="C3" i="2"/>
  <c r="B3" i="2"/>
  <c r="H20" i="1"/>
  <c r="G20" i="1"/>
  <c r="F20" i="1"/>
  <c r="E20" i="1"/>
  <c r="P8" i="1" s="1"/>
  <c r="D20" i="1"/>
  <c r="C20" i="1"/>
  <c r="H19" i="1"/>
  <c r="G19" i="1"/>
  <c r="F19" i="1"/>
  <c r="E19" i="1"/>
  <c r="D19" i="1"/>
  <c r="C19" i="1"/>
  <c r="H18" i="1"/>
  <c r="G18" i="1"/>
  <c r="F18" i="1"/>
  <c r="E18" i="1"/>
  <c r="D18" i="1"/>
  <c r="C18" i="1"/>
  <c r="H17" i="1"/>
  <c r="G17" i="1"/>
  <c r="F17" i="1"/>
  <c r="E17" i="1"/>
  <c r="M8" i="1" s="1"/>
  <c r="D17" i="1"/>
  <c r="C17" i="1"/>
  <c r="H16" i="1"/>
  <c r="G16" i="1"/>
  <c r="F16" i="1"/>
  <c r="E16" i="1"/>
  <c r="P7" i="1" s="1"/>
  <c r="D16" i="1"/>
  <c r="C16" i="1"/>
  <c r="H15" i="1"/>
  <c r="G15" i="1"/>
  <c r="F15" i="1"/>
  <c r="E15" i="1"/>
  <c r="O7" i="1" s="1"/>
  <c r="D15" i="1"/>
  <c r="C15" i="1"/>
  <c r="H14" i="1"/>
  <c r="G14" i="1"/>
  <c r="F14" i="1"/>
  <c r="E14" i="1"/>
  <c r="D14" i="1"/>
  <c r="C14" i="1"/>
  <c r="H13" i="1"/>
  <c r="G13" i="1"/>
  <c r="F13" i="1"/>
  <c r="E13" i="1"/>
  <c r="D13" i="1"/>
  <c r="C13" i="1"/>
  <c r="H12" i="1"/>
  <c r="G12" i="1"/>
  <c r="F12" i="1"/>
  <c r="E12" i="1"/>
  <c r="P6" i="1" s="1"/>
  <c r="D12" i="1"/>
  <c r="C12" i="1"/>
  <c r="H11" i="1"/>
  <c r="G11" i="1"/>
  <c r="F11" i="1"/>
  <c r="E11" i="1"/>
  <c r="O6" i="1" s="1"/>
  <c r="D11" i="1"/>
  <c r="C11" i="1"/>
  <c r="H10" i="1"/>
  <c r="G10" i="1"/>
  <c r="F10" i="1"/>
  <c r="E10" i="1"/>
  <c r="N6" i="1" s="1"/>
  <c r="D10" i="1"/>
  <c r="C10" i="1"/>
  <c r="H9" i="1"/>
  <c r="G9" i="1"/>
  <c r="F9" i="1"/>
  <c r="E9" i="1"/>
  <c r="D9" i="1"/>
  <c r="C9" i="1"/>
  <c r="O8" i="1"/>
  <c r="N8" i="1"/>
  <c r="H8" i="1"/>
  <c r="G8" i="1"/>
  <c r="F8" i="1"/>
  <c r="E8" i="1"/>
  <c r="P5" i="1" s="1"/>
  <c r="D8" i="1"/>
  <c r="C8" i="1"/>
  <c r="N7" i="1"/>
  <c r="M7" i="1"/>
  <c r="H7" i="1"/>
  <c r="G7" i="1"/>
  <c r="F7" i="1"/>
  <c r="E7" i="1"/>
  <c r="O5" i="1" s="1"/>
  <c r="D7" i="1"/>
  <c r="C7" i="1"/>
  <c r="M6" i="1"/>
  <c r="H6" i="1"/>
  <c r="G6" i="1"/>
  <c r="F6" i="1"/>
  <c r="E6" i="1"/>
  <c r="D6" i="1"/>
  <c r="C6" i="1"/>
  <c r="N5" i="1"/>
  <c r="H5" i="1"/>
  <c r="G5" i="1"/>
  <c r="F5" i="1"/>
  <c r="E5" i="1"/>
  <c r="M5" i="1" s="1"/>
  <c r="D5" i="1"/>
  <c r="C5" i="1"/>
</calcChain>
</file>

<file path=xl/sharedStrings.xml><?xml version="1.0" encoding="utf-8"?>
<sst xmlns="http://schemas.openxmlformats.org/spreadsheetml/2006/main" count="73" uniqueCount="22">
  <si>
    <t>Condition</t>
  </si>
  <si>
    <t>Config</t>
  </si>
  <si>
    <t>Sys. Acc</t>
  </si>
  <si>
    <t>Mal. Wins</t>
  </si>
  <si>
    <t>Final Delta</t>
  </si>
  <si>
    <t>Avg Shuf</t>
  </si>
  <si>
    <t>Max Shuf</t>
  </si>
  <si>
    <t>Min Shuf</t>
  </si>
  <si>
    <t>Temp 0</t>
  </si>
  <si>
    <t>Temp 1</t>
  </si>
  <si>
    <t>Temp 1.5</t>
  </si>
  <si>
    <t>Seed 4321</t>
  </si>
  <si>
    <t>60/40 · MIX · 100 nodes</t>
  </si>
  <si>
    <t>60/40 MIX 100 nodes</t>
  </si>
  <si>
    <t>60/40 PRO 60 nodes</t>
  </si>
  <si>
    <t>70/30 MIX 100 nodes</t>
  </si>
  <si>
    <t>70/30 PRO 60 nodes</t>
  </si>
  <si>
    <t>60/40 · PRO · 60 nodes</t>
  </si>
  <si>
    <t>70/30 · MIX · 100 nodes</t>
  </si>
  <si>
    <t>70/30 · PRO · 60 nodes</t>
  </si>
  <si>
    <t>Round</t>
  </si>
  <si>
    <t>final deltas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</si>
</sst>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6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0"/>
      <name val="Calibri"/>
      <family val="2"/>
    </font>
    <font>
      <sz val="10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4" fillId="0" borderId="0" xfId="0" applyFont="1"/>
    <xf numFmtId="0" fontId="2" fillId="2" borderId="2" xfId="0" applyFont="1" applyFill="1" applyBorder="1" applyAlignment="1">
      <alignment horizontal="center" vertical="center" wrapText="1"/>
    </xf>
    <xf numFmtId="0" fontId="5" fillId="0" borderId="0" xfId="0" applyFont="1"/>
    <xf numFmtId="165" fontId="0" fillId="0" borderId="0" xfId="0" applyNumberFormat="1"/>
    <xf numFmtId="0" fontId="3" fillId="3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 wrapText="1"/>
    </xf>
    <xf numFmtId="164" fontId="2" fillId="3" borderId="3" xfId="0" applyNumberFormat="1" applyFont="1" applyFill="1" applyBorder="1" applyAlignment="1">
      <alignment horizontal="center" vertical="center" wrapText="1"/>
    </xf>
    <xf numFmtId="165" fontId="2" fillId="3" borderId="3" xfId="0" applyNumberFormat="1" applyFont="1" applyFill="1" applyBorder="1" applyAlignment="1">
      <alignment horizontal="center" vertical="center" wrapText="1"/>
    </xf>
    <xf numFmtId="164" fontId="3" fillId="3" borderId="3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 wrapText="1"/>
    </xf>
    <xf numFmtId="165" fontId="2" fillId="4" borderId="1" xfId="0" applyNumberFormat="1" applyFont="1" applyFill="1" applyBorder="1" applyAlignment="1">
      <alignment horizontal="center" vertical="center" wrapText="1"/>
    </xf>
    <xf numFmtId="164" fontId="3" fillId="4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164" fontId="2" fillId="5" borderId="1" xfId="0" applyNumberFormat="1" applyFont="1" applyFill="1" applyBorder="1" applyAlignment="1">
      <alignment horizontal="center" vertical="center" wrapText="1"/>
    </xf>
    <xf numFmtId="165" fontId="2" fillId="5" borderId="1" xfId="0" applyNumberFormat="1" applyFont="1" applyFill="1" applyBorder="1" applyAlignment="1">
      <alignment horizontal="center" vertical="center" wrapText="1"/>
    </xf>
    <xf numFmtId="164" fontId="3" fillId="5" borderId="1" xfId="0" applyNumberFormat="1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left" vertical="center" wrapText="1"/>
    </xf>
    <xf numFmtId="0" fontId="3" fillId="6" borderId="2" xfId="0" applyFont="1" applyFill="1" applyBorder="1" applyAlignment="1">
      <alignment horizontal="center" vertical="center" wrapText="1"/>
    </xf>
    <xf numFmtId="164" fontId="2" fillId="6" borderId="2" xfId="0" applyNumberFormat="1" applyFont="1" applyFill="1" applyBorder="1" applyAlignment="1">
      <alignment horizontal="center" vertical="center" wrapText="1"/>
    </xf>
    <xf numFmtId="165" fontId="2" fillId="6" borderId="2" xfId="0" applyNumberFormat="1" applyFont="1" applyFill="1" applyBorder="1" applyAlignment="1">
      <alignment horizontal="center" vertical="center" wrapText="1"/>
    </xf>
    <xf numFmtId="164" fontId="3" fillId="6" borderId="2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 wrapText="1"/>
    </xf>
    <xf numFmtId="164" fontId="2" fillId="6" borderId="1" xfId="0" applyNumberFormat="1" applyFont="1" applyFill="1" applyBorder="1" applyAlignment="1">
      <alignment horizontal="center" vertical="center" wrapText="1"/>
    </xf>
    <xf numFmtId="165" fontId="2" fillId="6" borderId="1" xfId="0" applyNumberFormat="1" applyFont="1" applyFill="1" applyBorder="1" applyAlignment="1">
      <alignment horizontal="center" vertical="center" wrapText="1"/>
    </xf>
    <xf numFmtId="164" fontId="3" fillId="6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5" Type="http://schemas.openxmlformats.org/officeDocument/2006/relationships/externalLink" Target="externalLinks/externalLink3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2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Final Delta Comparison</a:t>
            </a:r>
          </a:p>
        </c:rich>
      </c:tx>
      <c:layout>
        <c:manualLayout>
          <c:xMode val="edge"/>
          <c:yMode val="edge"/>
          <c:x val="0.52184406565656571"/>
          <c:y val="3.5277777777777776E-2"/>
        </c:manualLayout>
      </c:layout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Summary!$M$4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Summary!$M$5:$M$8</c:f>
              <c:numCache>
                <c:formatCode>General</c:formatCode>
                <c:ptCount val="4"/>
                <c:pt idx="0" formatCode="0.000">
                  <c:v>-0.63621700000000003</c:v>
                </c:pt>
                <c:pt idx="1">
                  <c:v>-0.12123299999999999</c:v>
                </c:pt>
                <c:pt idx="2">
                  <c:v>-1.1682490000000001</c:v>
                </c:pt>
                <c:pt idx="3">
                  <c:v>-0.40472200000000003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AE-1B48-B355-B74F3E5513A6}"/>
            </c:ext>
          </c:extLst>
        </c:ser>
        <c:ser>
          <c:idx val="1"/>
          <c:order val="1"/>
          <c:tx>
            <c:strRef>
              <c:f>Summary!$N$4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Summary!$N$5:$N$8</c:f>
              <c:numCache>
                <c:formatCode>General</c:formatCode>
                <c:ptCount val="4"/>
                <c:pt idx="0">
                  <c:v>0.21617</c:v>
                </c:pt>
                <c:pt idx="1">
                  <c:v>0.216919</c:v>
                </c:pt>
                <c:pt idx="2">
                  <c:v>-0.82979400000000003</c:v>
                </c:pt>
                <c:pt idx="3">
                  <c:v>-0.162244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AE-1B48-B355-B74F3E5513A6}"/>
            </c:ext>
          </c:extLst>
        </c:ser>
        <c:ser>
          <c:idx val="2"/>
          <c:order val="2"/>
          <c:tx>
            <c:strRef>
              <c:f>Summary!$O$4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Lbl>
              <c:idx val="2"/>
              <c:layout>
                <c:manualLayout>
                  <c:x val="-8.0176767676767673E-3"/>
                  <c:y val="-4.70370370370369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0AE-1B48-B355-B74F3E5513A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Summary!$O$5:$O$8</c:f>
              <c:numCache>
                <c:formatCode>General</c:formatCode>
                <c:ptCount val="4"/>
                <c:pt idx="0">
                  <c:v>0.64480199999999999</c:v>
                </c:pt>
                <c:pt idx="1">
                  <c:v>1.2256020000000001</c:v>
                </c:pt>
                <c:pt idx="2">
                  <c:v>-0.80690899999999999</c:v>
                </c:pt>
                <c:pt idx="3">
                  <c:v>0.218504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0AE-1B48-B355-B74F3E5513A6}"/>
            </c:ext>
          </c:extLst>
        </c:ser>
        <c:ser>
          <c:idx val="3"/>
          <c:order val="3"/>
          <c:tx>
            <c:strRef>
              <c:f>Summary!$P$4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Summary!$P$5:$P$8</c:f>
              <c:numCache>
                <c:formatCode>General</c:formatCode>
                <c:ptCount val="4"/>
                <c:pt idx="0">
                  <c:v>-0.65888199999999997</c:v>
                </c:pt>
                <c:pt idx="1">
                  <c:v>-8.7847999999999996E-2</c:v>
                </c:pt>
                <c:pt idx="2">
                  <c:v>-1.104663</c:v>
                </c:pt>
                <c:pt idx="3">
                  <c:v>-0.39962799999999998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AE-1B48-B355-B74F3E5513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 sz="1200"/>
                  <a:t>Delta</a:t>
                </a:r>
                <a:r>
                  <a:rPr lang="en-GB" sz="1200" baseline="0"/>
                  <a:t> </a:t>
                </a:r>
                <a:r>
                  <a:rPr lang="en-GB" sz="1200"/>
                  <a:t>Value</a:t>
                </a:r>
              </a:p>
            </c:rich>
          </c:tx>
          <c:layout>
            <c:manualLayout>
              <c:xMode val="edge"/>
              <c:yMode val="edge"/>
              <c:x val="0"/>
              <c:y val="0.38447268518518524"/>
            </c:manualLayout>
          </c:layout>
          <c:overlay val="1"/>
        </c:title>
        <c:numFmt formatCode="0.000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7761073232323239"/>
          <c:y val="8.793842592592592E-2"/>
          <c:w val="9.5129166666666667E-2"/>
          <c:h val="0.21264166666666667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MIX 100 nodes</a:t>
            </a:r>
          </a:p>
        </c:rich>
      </c:tx>
      <c:layout>
        <c:manualLayout>
          <c:xMode val="edge"/>
          <c:yMode val="edge"/>
          <c:x val="0.26226203703703699"/>
          <c:y val="3.5277777777777776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'Delta Trends'!$B$2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Trends'!$B$3:$B$104</c:f>
              <c:numCache>
                <c:formatCode>General</c:formatCode>
                <c:ptCount val="102"/>
                <c:pt idx="0">
                  <c:v>0</c:v>
                </c:pt>
                <c:pt idx="1">
                  <c:v>-7.0520000000000001E-3</c:v>
                </c:pt>
                <c:pt idx="2">
                  <c:v>-1.2291E-2</c:v>
                </c:pt>
                <c:pt idx="3">
                  <c:v>-2.2422999999999998E-2</c:v>
                </c:pt>
                <c:pt idx="4">
                  <c:v>-3.1123000000000001E-2</c:v>
                </c:pt>
                <c:pt idx="5">
                  <c:v>-3.6815000000000001E-2</c:v>
                </c:pt>
                <c:pt idx="6">
                  <c:v>-4.7058999999999997E-2</c:v>
                </c:pt>
                <c:pt idx="7">
                  <c:v>-4.7681000000000001E-2</c:v>
                </c:pt>
                <c:pt idx="8">
                  <c:v>-2.9097999999999999E-2</c:v>
                </c:pt>
                <c:pt idx="9">
                  <c:v>-3.4410000000000003E-2</c:v>
                </c:pt>
                <c:pt idx="10">
                  <c:v>-7.6438999999999993E-2</c:v>
                </c:pt>
                <c:pt idx="11">
                  <c:v>-9.1869999999999993E-2</c:v>
                </c:pt>
                <c:pt idx="12">
                  <c:v>-8.8586999999999999E-2</c:v>
                </c:pt>
                <c:pt idx="13">
                  <c:v>-9.2279E-2</c:v>
                </c:pt>
                <c:pt idx="14">
                  <c:v>-9.8380999999999996E-2</c:v>
                </c:pt>
                <c:pt idx="15">
                  <c:v>-0.10999100000000001</c:v>
                </c:pt>
                <c:pt idx="16">
                  <c:v>-0.12612499999999999</c:v>
                </c:pt>
                <c:pt idx="17">
                  <c:v>-0.13206899999999999</c:v>
                </c:pt>
                <c:pt idx="18">
                  <c:v>-0.142203</c:v>
                </c:pt>
                <c:pt idx="19">
                  <c:v>-0.150198</c:v>
                </c:pt>
                <c:pt idx="20">
                  <c:v>-0.16265499999999999</c:v>
                </c:pt>
                <c:pt idx="21">
                  <c:v>-0.16550100000000001</c:v>
                </c:pt>
                <c:pt idx="22">
                  <c:v>-0.16795399999999999</c:v>
                </c:pt>
                <c:pt idx="23">
                  <c:v>-0.16903899999999999</c:v>
                </c:pt>
                <c:pt idx="24">
                  <c:v>-0.17469299999999999</c:v>
                </c:pt>
                <c:pt idx="25">
                  <c:v>-0.18169199999999999</c:v>
                </c:pt>
                <c:pt idx="26">
                  <c:v>-0.18351400000000001</c:v>
                </c:pt>
                <c:pt idx="27">
                  <c:v>-0.18842900000000001</c:v>
                </c:pt>
                <c:pt idx="28">
                  <c:v>-0.19315199999999999</c:v>
                </c:pt>
                <c:pt idx="29">
                  <c:v>-0.19778399999999999</c:v>
                </c:pt>
                <c:pt idx="30">
                  <c:v>-0.20032</c:v>
                </c:pt>
                <c:pt idx="31">
                  <c:v>-0.207589</c:v>
                </c:pt>
                <c:pt idx="32">
                  <c:v>-0.22323799999999999</c:v>
                </c:pt>
                <c:pt idx="33">
                  <c:v>-0.23053799999999999</c:v>
                </c:pt>
                <c:pt idx="34">
                  <c:v>-0.23095399999999999</c:v>
                </c:pt>
                <c:pt idx="35">
                  <c:v>-0.23224400000000001</c:v>
                </c:pt>
                <c:pt idx="36">
                  <c:v>-0.23829</c:v>
                </c:pt>
                <c:pt idx="37">
                  <c:v>-0.24157899999999999</c:v>
                </c:pt>
                <c:pt idx="38">
                  <c:v>-0.244339</c:v>
                </c:pt>
                <c:pt idx="39">
                  <c:v>-0.25019599999999997</c:v>
                </c:pt>
                <c:pt idx="40">
                  <c:v>-0.26334200000000002</c:v>
                </c:pt>
                <c:pt idx="41">
                  <c:v>-0.273283</c:v>
                </c:pt>
                <c:pt idx="42">
                  <c:v>-0.27764899999999998</c:v>
                </c:pt>
                <c:pt idx="43">
                  <c:v>-0.28048200000000001</c:v>
                </c:pt>
                <c:pt idx="44">
                  <c:v>-0.28049299999999999</c:v>
                </c:pt>
                <c:pt idx="45">
                  <c:v>-0.28450300000000001</c:v>
                </c:pt>
                <c:pt idx="46">
                  <c:v>-0.28868300000000002</c:v>
                </c:pt>
                <c:pt idx="47">
                  <c:v>-0.29620999999999997</c:v>
                </c:pt>
                <c:pt idx="48">
                  <c:v>-0.30202200000000001</c:v>
                </c:pt>
                <c:pt idx="49">
                  <c:v>-0.307029</c:v>
                </c:pt>
                <c:pt idx="50">
                  <c:v>-0.31669999999999998</c:v>
                </c:pt>
                <c:pt idx="51">
                  <c:v>-0.31929600000000002</c:v>
                </c:pt>
                <c:pt idx="52">
                  <c:v>-0.32494699999999999</c:v>
                </c:pt>
                <c:pt idx="53">
                  <c:v>-0.33687400000000001</c:v>
                </c:pt>
                <c:pt idx="54">
                  <c:v>-0.34012500000000001</c:v>
                </c:pt>
                <c:pt idx="55">
                  <c:v>-0.34717900000000002</c:v>
                </c:pt>
                <c:pt idx="56">
                  <c:v>-0.35692400000000002</c:v>
                </c:pt>
                <c:pt idx="57">
                  <c:v>-0.39018700000000001</c:v>
                </c:pt>
                <c:pt idx="58">
                  <c:v>-0.40405000000000002</c:v>
                </c:pt>
                <c:pt idx="59">
                  <c:v>-0.409134</c:v>
                </c:pt>
                <c:pt idx="60">
                  <c:v>-0.428149</c:v>
                </c:pt>
                <c:pt idx="61">
                  <c:v>-0.44175399999999998</c:v>
                </c:pt>
                <c:pt idx="62">
                  <c:v>-0.43745299999999998</c:v>
                </c:pt>
                <c:pt idx="63">
                  <c:v>-0.45815</c:v>
                </c:pt>
                <c:pt idx="64">
                  <c:v>-0.46174599999999999</c:v>
                </c:pt>
                <c:pt idx="65">
                  <c:v>-0.473246</c:v>
                </c:pt>
                <c:pt idx="66">
                  <c:v>-0.47869899999999999</c:v>
                </c:pt>
                <c:pt idx="67">
                  <c:v>-0.48391600000000001</c:v>
                </c:pt>
                <c:pt idx="68">
                  <c:v>-0.48582700000000001</c:v>
                </c:pt>
                <c:pt idx="69">
                  <c:v>-0.48110799999999998</c:v>
                </c:pt>
                <c:pt idx="70">
                  <c:v>-0.49836900000000001</c:v>
                </c:pt>
                <c:pt idx="71">
                  <c:v>-0.5111</c:v>
                </c:pt>
                <c:pt idx="72">
                  <c:v>-0.516934</c:v>
                </c:pt>
                <c:pt idx="73">
                  <c:v>-0.52703800000000001</c:v>
                </c:pt>
                <c:pt idx="74">
                  <c:v>-0.51617999999999997</c:v>
                </c:pt>
                <c:pt idx="75">
                  <c:v>-0.56554599999999999</c:v>
                </c:pt>
                <c:pt idx="76">
                  <c:v>-0.579515</c:v>
                </c:pt>
                <c:pt idx="77">
                  <c:v>-0.579453</c:v>
                </c:pt>
                <c:pt idx="78">
                  <c:v>-0.56903899999999996</c:v>
                </c:pt>
                <c:pt idx="79">
                  <c:v>-0.528366</c:v>
                </c:pt>
                <c:pt idx="80">
                  <c:v>-0.55744899999999997</c:v>
                </c:pt>
                <c:pt idx="81">
                  <c:v>-0.53135600000000005</c:v>
                </c:pt>
                <c:pt idx="82">
                  <c:v>-0.55629200000000001</c:v>
                </c:pt>
                <c:pt idx="83">
                  <c:v>-0.53253499999999998</c:v>
                </c:pt>
                <c:pt idx="84">
                  <c:v>-0.55162699999999998</c:v>
                </c:pt>
                <c:pt idx="85">
                  <c:v>-0.54917700000000003</c:v>
                </c:pt>
                <c:pt idx="86">
                  <c:v>-0.576963</c:v>
                </c:pt>
                <c:pt idx="87">
                  <c:v>-0.58078700000000005</c:v>
                </c:pt>
                <c:pt idx="88">
                  <c:v>-0.59518300000000002</c:v>
                </c:pt>
                <c:pt idx="89">
                  <c:v>-0.57799599999999995</c:v>
                </c:pt>
                <c:pt idx="90">
                  <c:v>-0.57972699999999999</c:v>
                </c:pt>
                <c:pt idx="91">
                  <c:v>-0.60439900000000002</c:v>
                </c:pt>
                <c:pt idx="92">
                  <c:v>-0.60814299999999999</c:v>
                </c:pt>
                <c:pt idx="93">
                  <c:v>-0.61302999999999996</c:v>
                </c:pt>
                <c:pt idx="94">
                  <c:v>-0.61558999999999997</c:v>
                </c:pt>
                <c:pt idx="95">
                  <c:v>-0.624054</c:v>
                </c:pt>
                <c:pt idx="96">
                  <c:v>-0.62823899999999999</c:v>
                </c:pt>
                <c:pt idx="97">
                  <c:v>-0.63127</c:v>
                </c:pt>
                <c:pt idx="98">
                  <c:v>-0.63309499999999996</c:v>
                </c:pt>
                <c:pt idx="99">
                  <c:v>-0.63656599999999997</c:v>
                </c:pt>
                <c:pt idx="100">
                  <c:v>-0.63621700000000003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27F-0349-916A-DE875CFD49A4}"/>
            </c:ext>
          </c:extLst>
        </c:ser>
        <c:ser>
          <c:idx val="1"/>
          <c:order val="1"/>
          <c:tx>
            <c:strRef>
              <c:f>'Delta Trends'!$C$2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Trends'!$C$3:$C$104</c:f>
              <c:numCache>
                <c:formatCode>General</c:formatCode>
                <c:ptCount val="102"/>
                <c:pt idx="0">
                  <c:v>0</c:v>
                </c:pt>
                <c:pt idx="1">
                  <c:v>-1.1637E-2</c:v>
                </c:pt>
                <c:pt idx="2">
                  <c:v>1.2215E-2</c:v>
                </c:pt>
                <c:pt idx="3">
                  <c:v>1.7527999999999998E-2</c:v>
                </c:pt>
                <c:pt idx="4">
                  <c:v>1.2034E-2</c:v>
                </c:pt>
                <c:pt idx="5">
                  <c:v>3.1413999999999997E-2</c:v>
                </c:pt>
                <c:pt idx="6">
                  <c:v>4.6698999999999997E-2</c:v>
                </c:pt>
                <c:pt idx="7">
                  <c:v>6.6404000000000005E-2</c:v>
                </c:pt>
                <c:pt idx="8">
                  <c:v>7.0305999999999993E-2</c:v>
                </c:pt>
                <c:pt idx="9">
                  <c:v>8.0559000000000006E-2</c:v>
                </c:pt>
                <c:pt idx="10">
                  <c:v>6.5502000000000005E-2</c:v>
                </c:pt>
                <c:pt idx="11">
                  <c:v>6.9342000000000001E-2</c:v>
                </c:pt>
                <c:pt idx="12">
                  <c:v>7.4526999999999996E-2</c:v>
                </c:pt>
                <c:pt idx="13">
                  <c:v>0.109627</c:v>
                </c:pt>
                <c:pt idx="14">
                  <c:v>0.119599</c:v>
                </c:pt>
                <c:pt idx="15">
                  <c:v>0.14033000000000001</c:v>
                </c:pt>
                <c:pt idx="16">
                  <c:v>0.122976</c:v>
                </c:pt>
                <c:pt idx="17">
                  <c:v>0.13050600000000001</c:v>
                </c:pt>
                <c:pt idx="18">
                  <c:v>0.12903800000000001</c:v>
                </c:pt>
                <c:pt idx="19">
                  <c:v>0.16117999999999999</c:v>
                </c:pt>
                <c:pt idx="20">
                  <c:v>0.15046300000000001</c:v>
                </c:pt>
                <c:pt idx="21">
                  <c:v>0.158974</c:v>
                </c:pt>
                <c:pt idx="22">
                  <c:v>0.15257100000000001</c:v>
                </c:pt>
                <c:pt idx="23">
                  <c:v>0.152557</c:v>
                </c:pt>
                <c:pt idx="24">
                  <c:v>0.139292</c:v>
                </c:pt>
                <c:pt idx="25">
                  <c:v>0.14255799999999999</c:v>
                </c:pt>
                <c:pt idx="26">
                  <c:v>0.15001500000000001</c:v>
                </c:pt>
                <c:pt idx="27">
                  <c:v>0.149285</c:v>
                </c:pt>
                <c:pt idx="28">
                  <c:v>0.14699999999999999</c:v>
                </c:pt>
                <c:pt idx="29">
                  <c:v>0.14574500000000001</c:v>
                </c:pt>
                <c:pt idx="30">
                  <c:v>0.14624599999999999</c:v>
                </c:pt>
                <c:pt idx="31">
                  <c:v>0.123025</c:v>
                </c:pt>
                <c:pt idx="32">
                  <c:v>0.12990399999999999</c:v>
                </c:pt>
                <c:pt idx="33">
                  <c:v>0.100248</c:v>
                </c:pt>
                <c:pt idx="34">
                  <c:v>0.10652399999999999</c:v>
                </c:pt>
                <c:pt idx="35">
                  <c:v>9.4353999999999993E-2</c:v>
                </c:pt>
                <c:pt idx="36">
                  <c:v>0.102483</c:v>
                </c:pt>
                <c:pt idx="37">
                  <c:v>9.4463000000000005E-2</c:v>
                </c:pt>
                <c:pt idx="38">
                  <c:v>9.4092999999999996E-2</c:v>
                </c:pt>
                <c:pt idx="39">
                  <c:v>9.6724000000000004E-2</c:v>
                </c:pt>
                <c:pt idx="40">
                  <c:v>0.106617</c:v>
                </c:pt>
                <c:pt idx="41">
                  <c:v>0.103898</c:v>
                </c:pt>
                <c:pt idx="42">
                  <c:v>0.109226</c:v>
                </c:pt>
                <c:pt idx="43">
                  <c:v>0.127611</c:v>
                </c:pt>
                <c:pt idx="44">
                  <c:v>0.12969900000000001</c:v>
                </c:pt>
                <c:pt idx="45">
                  <c:v>0.12731100000000001</c:v>
                </c:pt>
                <c:pt idx="46">
                  <c:v>0.12171899999999999</c:v>
                </c:pt>
                <c:pt idx="47">
                  <c:v>0.115286</c:v>
                </c:pt>
                <c:pt idx="48">
                  <c:v>0.117897</c:v>
                </c:pt>
                <c:pt idx="49">
                  <c:v>0.119709</c:v>
                </c:pt>
                <c:pt idx="50">
                  <c:v>0.119183</c:v>
                </c:pt>
                <c:pt idx="51">
                  <c:v>0.117185</c:v>
                </c:pt>
                <c:pt idx="52">
                  <c:v>0.108472</c:v>
                </c:pt>
                <c:pt idx="53">
                  <c:v>0.11328299999999999</c:v>
                </c:pt>
                <c:pt idx="54">
                  <c:v>0.116243</c:v>
                </c:pt>
                <c:pt idx="55">
                  <c:v>0.136042</c:v>
                </c:pt>
                <c:pt idx="56">
                  <c:v>0.13079199999999999</c:v>
                </c:pt>
                <c:pt idx="57">
                  <c:v>0.12694900000000001</c:v>
                </c:pt>
                <c:pt idx="58">
                  <c:v>0.13905999999999999</c:v>
                </c:pt>
                <c:pt idx="59">
                  <c:v>0.14049900000000001</c:v>
                </c:pt>
                <c:pt idx="60">
                  <c:v>0.13502</c:v>
                </c:pt>
                <c:pt idx="61">
                  <c:v>0.14659700000000001</c:v>
                </c:pt>
                <c:pt idx="62">
                  <c:v>0.133269</c:v>
                </c:pt>
                <c:pt idx="63">
                  <c:v>0.14343800000000001</c:v>
                </c:pt>
                <c:pt idx="64">
                  <c:v>0.13886499999999999</c:v>
                </c:pt>
                <c:pt idx="65">
                  <c:v>0.141843</c:v>
                </c:pt>
                <c:pt idx="66">
                  <c:v>0.13755899999999999</c:v>
                </c:pt>
                <c:pt idx="67">
                  <c:v>0.125862</c:v>
                </c:pt>
                <c:pt idx="68">
                  <c:v>0.13219500000000001</c:v>
                </c:pt>
                <c:pt idx="69">
                  <c:v>0.12979299999999999</c:v>
                </c:pt>
                <c:pt idx="70">
                  <c:v>0.125529</c:v>
                </c:pt>
                <c:pt idx="71">
                  <c:v>0.13444999999999999</c:v>
                </c:pt>
                <c:pt idx="72">
                  <c:v>0.147754</c:v>
                </c:pt>
                <c:pt idx="73">
                  <c:v>0.15820999999999999</c:v>
                </c:pt>
                <c:pt idx="74">
                  <c:v>0.15006</c:v>
                </c:pt>
                <c:pt idx="75">
                  <c:v>0.18001900000000001</c:v>
                </c:pt>
                <c:pt idx="76">
                  <c:v>0.19143199999999999</c:v>
                </c:pt>
                <c:pt idx="77">
                  <c:v>0.19395499999999999</c:v>
                </c:pt>
                <c:pt idx="78">
                  <c:v>0.18751899999999999</c:v>
                </c:pt>
                <c:pt idx="79">
                  <c:v>0.19862299999999999</c:v>
                </c:pt>
                <c:pt idx="80">
                  <c:v>0.21582299999999999</c:v>
                </c:pt>
                <c:pt idx="81">
                  <c:v>0.23053100000000001</c:v>
                </c:pt>
                <c:pt idx="82">
                  <c:v>0.233379</c:v>
                </c:pt>
                <c:pt idx="83">
                  <c:v>0.22000800000000001</c:v>
                </c:pt>
                <c:pt idx="84">
                  <c:v>0.22701099999999999</c:v>
                </c:pt>
                <c:pt idx="85">
                  <c:v>0.2084</c:v>
                </c:pt>
                <c:pt idx="86">
                  <c:v>0.216282</c:v>
                </c:pt>
                <c:pt idx="87">
                  <c:v>0.217893</c:v>
                </c:pt>
                <c:pt idx="88">
                  <c:v>0.24627199999999999</c:v>
                </c:pt>
                <c:pt idx="89">
                  <c:v>0.249699</c:v>
                </c:pt>
                <c:pt idx="90">
                  <c:v>0.22913600000000001</c:v>
                </c:pt>
                <c:pt idx="91">
                  <c:v>0.239506</c:v>
                </c:pt>
                <c:pt idx="92">
                  <c:v>0.23149600000000001</c:v>
                </c:pt>
                <c:pt idx="93">
                  <c:v>0.24496899999999999</c:v>
                </c:pt>
                <c:pt idx="94">
                  <c:v>0.24191799999999999</c:v>
                </c:pt>
                <c:pt idx="95">
                  <c:v>0.23647299999999999</c:v>
                </c:pt>
                <c:pt idx="96">
                  <c:v>0.23425099999999999</c:v>
                </c:pt>
                <c:pt idx="97">
                  <c:v>0.23454900000000001</c:v>
                </c:pt>
                <c:pt idx="98">
                  <c:v>0.223972</c:v>
                </c:pt>
                <c:pt idx="99">
                  <c:v>0.23002900000000001</c:v>
                </c:pt>
                <c:pt idx="100">
                  <c:v>0.21617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27F-0349-916A-DE875CFD49A4}"/>
            </c:ext>
          </c:extLst>
        </c:ser>
        <c:ser>
          <c:idx val="2"/>
          <c:order val="2"/>
          <c:tx>
            <c:strRef>
              <c:f>'Delta Trends'!$D$2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Trends'!$D$3:$D$104</c:f>
              <c:numCache>
                <c:formatCode>General</c:formatCode>
                <c:ptCount val="102"/>
                <c:pt idx="0">
                  <c:v>0</c:v>
                </c:pt>
                <c:pt idx="1">
                  <c:v>-1.374E-3</c:v>
                </c:pt>
                <c:pt idx="2">
                  <c:v>7.0349999999999996E-3</c:v>
                </c:pt>
                <c:pt idx="3">
                  <c:v>3.0006000000000001E-2</c:v>
                </c:pt>
                <c:pt idx="4">
                  <c:v>3.7472999999999999E-2</c:v>
                </c:pt>
                <c:pt idx="5">
                  <c:v>5.1175999999999999E-2</c:v>
                </c:pt>
                <c:pt idx="6">
                  <c:v>6.4715999999999996E-2</c:v>
                </c:pt>
                <c:pt idx="7">
                  <c:v>9.8687999999999998E-2</c:v>
                </c:pt>
                <c:pt idx="8">
                  <c:v>0.115589</c:v>
                </c:pt>
                <c:pt idx="9">
                  <c:v>0.12725500000000001</c:v>
                </c:pt>
                <c:pt idx="10">
                  <c:v>9.6585000000000004E-2</c:v>
                </c:pt>
                <c:pt idx="11">
                  <c:v>0.105115</c:v>
                </c:pt>
                <c:pt idx="12">
                  <c:v>0.125444</c:v>
                </c:pt>
                <c:pt idx="13">
                  <c:v>0.12612100000000001</c:v>
                </c:pt>
                <c:pt idx="14">
                  <c:v>0.122116</c:v>
                </c:pt>
                <c:pt idx="15">
                  <c:v>0.140736</c:v>
                </c:pt>
                <c:pt idx="16">
                  <c:v>0.12587100000000001</c:v>
                </c:pt>
                <c:pt idx="17">
                  <c:v>0.14223</c:v>
                </c:pt>
                <c:pt idx="18">
                  <c:v>0.18520900000000001</c:v>
                </c:pt>
                <c:pt idx="19">
                  <c:v>0.24598700000000001</c:v>
                </c:pt>
                <c:pt idx="20">
                  <c:v>0.24298700000000001</c:v>
                </c:pt>
                <c:pt idx="21">
                  <c:v>0.27637099999999998</c:v>
                </c:pt>
                <c:pt idx="22">
                  <c:v>0.28136499999999998</c:v>
                </c:pt>
                <c:pt idx="23">
                  <c:v>0.27383400000000002</c:v>
                </c:pt>
                <c:pt idx="24">
                  <c:v>0.271702</c:v>
                </c:pt>
                <c:pt idx="25">
                  <c:v>0.27511600000000003</c:v>
                </c:pt>
                <c:pt idx="26">
                  <c:v>0.28917599999999999</c:v>
                </c:pt>
                <c:pt idx="27">
                  <c:v>0.29477700000000001</c:v>
                </c:pt>
                <c:pt idx="28">
                  <c:v>0.28842299999999998</c:v>
                </c:pt>
                <c:pt idx="29">
                  <c:v>0.29561100000000001</c:v>
                </c:pt>
                <c:pt idx="30">
                  <c:v>0.29716700000000001</c:v>
                </c:pt>
                <c:pt idx="31">
                  <c:v>0.28876000000000002</c:v>
                </c:pt>
                <c:pt idx="32">
                  <c:v>0.30979000000000001</c:v>
                </c:pt>
                <c:pt idx="33">
                  <c:v>0.27041799999999999</c:v>
                </c:pt>
                <c:pt idx="34">
                  <c:v>0.28459499999999999</c:v>
                </c:pt>
                <c:pt idx="35">
                  <c:v>0.27108700000000002</c:v>
                </c:pt>
                <c:pt idx="36">
                  <c:v>0.28348499999999999</c:v>
                </c:pt>
                <c:pt idx="37">
                  <c:v>0.27454499999999998</c:v>
                </c:pt>
                <c:pt idx="38">
                  <c:v>0.28199000000000002</c:v>
                </c:pt>
                <c:pt idx="39">
                  <c:v>0.291408</c:v>
                </c:pt>
                <c:pt idx="40">
                  <c:v>0.31329600000000002</c:v>
                </c:pt>
                <c:pt idx="41">
                  <c:v>0.31417200000000001</c:v>
                </c:pt>
                <c:pt idx="42">
                  <c:v>0.30976500000000001</c:v>
                </c:pt>
                <c:pt idx="43">
                  <c:v>0.30383300000000002</c:v>
                </c:pt>
                <c:pt idx="44">
                  <c:v>0.33019399999999999</c:v>
                </c:pt>
                <c:pt idx="45">
                  <c:v>0.33906700000000001</c:v>
                </c:pt>
                <c:pt idx="46">
                  <c:v>0.30179600000000001</c:v>
                </c:pt>
                <c:pt idx="47">
                  <c:v>0.310141</c:v>
                </c:pt>
                <c:pt idx="48">
                  <c:v>0.315332</c:v>
                </c:pt>
                <c:pt idx="49">
                  <c:v>0.31852000000000003</c:v>
                </c:pt>
                <c:pt idx="50">
                  <c:v>0.32228099999999998</c:v>
                </c:pt>
                <c:pt idx="51">
                  <c:v>0.35072799999999998</c:v>
                </c:pt>
                <c:pt idx="52">
                  <c:v>0.29616799999999999</c:v>
                </c:pt>
                <c:pt idx="53">
                  <c:v>0.33698299999999998</c:v>
                </c:pt>
                <c:pt idx="54">
                  <c:v>0.32627800000000001</c:v>
                </c:pt>
                <c:pt idx="55">
                  <c:v>0.32903700000000002</c:v>
                </c:pt>
                <c:pt idx="56">
                  <c:v>0.29027700000000001</c:v>
                </c:pt>
                <c:pt idx="57">
                  <c:v>0.31490099999999999</c:v>
                </c:pt>
                <c:pt idx="58">
                  <c:v>0.31592599999999998</c:v>
                </c:pt>
                <c:pt idx="59">
                  <c:v>0.32020300000000002</c:v>
                </c:pt>
                <c:pt idx="60">
                  <c:v>0.34365800000000002</c:v>
                </c:pt>
                <c:pt idx="61">
                  <c:v>0.35386600000000001</c:v>
                </c:pt>
                <c:pt idx="62">
                  <c:v>0.35081800000000002</c:v>
                </c:pt>
                <c:pt idx="63">
                  <c:v>0.35249999999999998</c:v>
                </c:pt>
                <c:pt idx="64">
                  <c:v>0.37334000000000001</c:v>
                </c:pt>
                <c:pt idx="65">
                  <c:v>0.37986500000000001</c:v>
                </c:pt>
                <c:pt idx="66">
                  <c:v>0.40271000000000001</c:v>
                </c:pt>
                <c:pt idx="67">
                  <c:v>0.40555400000000003</c:v>
                </c:pt>
                <c:pt idx="68">
                  <c:v>0.42366300000000001</c:v>
                </c:pt>
                <c:pt idx="69">
                  <c:v>0.42948199999999997</c:v>
                </c:pt>
                <c:pt idx="70">
                  <c:v>0.461451</c:v>
                </c:pt>
                <c:pt idx="71">
                  <c:v>0.46528199999999997</c:v>
                </c:pt>
                <c:pt idx="72">
                  <c:v>0.40828199999999998</c:v>
                </c:pt>
                <c:pt idx="73">
                  <c:v>0.44181500000000001</c:v>
                </c:pt>
                <c:pt idx="74">
                  <c:v>0.41270499999999999</c:v>
                </c:pt>
                <c:pt idx="75">
                  <c:v>0.46358700000000003</c:v>
                </c:pt>
                <c:pt idx="76">
                  <c:v>0.477244</c:v>
                </c:pt>
                <c:pt idx="77">
                  <c:v>0.48032999999999998</c:v>
                </c:pt>
                <c:pt idx="78">
                  <c:v>0.47008800000000001</c:v>
                </c:pt>
                <c:pt idx="79">
                  <c:v>0.461669</c:v>
                </c:pt>
                <c:pt idx="80">
                  <c:v>0.52017999999999998</c:v>
                </c:pt>
                <c:pt idx="81">
                  <c:v>0.53406600000000004</c:v>
                </c:pt>
                <c:pt idx="82">
                  <c:v>0.50226899999999997</c:v>
                </c:pt>
                <c:pt idx="83">
                  <c:v>0.52320800000000001</c:v>
                </c:pt>
                <c:pt idx="84">
                  <c:v>0.55291699999999999</c:v>
                </c:pt>
                <c:pt idx="85">
                  <c:v>0.53144000000000002</c:v>
                </c:pt>
                <c:pt idx="86">
                  <c:v>0.54763600000000001</c:v>
                </c:pt>
                <c:pt idx="87">
                  <c:v>0.57463799999999998</c:v>
                </c:pt>
                <c:pt idx="88">
                  <c:v>0.59272100000000005</c:v>
                </c:pt>
                <c:pt idx="89">
                  <c:v>0.60869399999999996</c:v>
                </c:pt>
                <c:pt idx="90">
                  <c:v>0.61405500000000002</c:v>
                </c:pt>
                <c:pt idx="91">
                  <c:v>0.60801499999999997</c:v>
                </c:pt>
                <c:pt idx="92">
                  <c:v>0.61709800000000004</c:v>
                </c:pt>
                <c:pt idx="93">
                  <c:v>0.62547600000000003</c:v>
                </c:pt>
                <c:pt idx="94">
                  <c:v>0.61411700000000002</c:v>
                </c:pt>
                <c:pt idx="95">
                  <c:v>0.640463</c:v>
                </c:pt>
                <c:pt idx="96">
                  <c:v>0.62914199999999998</c:v>
                </c:pt>
                <c:pt idx="97">
                  <c:v>0.66372799999999998</c:v>
                </c:pt>
                <c:pt idx="98">
                  <c:v>0.65401399999999998</c:v>
                </c:pt>
                <c:pt idx="99">
                  <c:v>0.67313599999999996</c:v>
                </c:pt>
                <c:pt idx="100">
                  <c:v>0.64480199999999999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F27F-0349-916A-DE875CFD49A4}"/>
            </c:ext>
          </c:extLst>
        </c:ser>
        <c:ser>
          <c:idx val="3"/>
          <c:order val="3"/>
          <c:tx>
            <c:strRef>
              <c:f>'Delta Trends'!$E$2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Trends'!$E$3:$E$104</c:f>
              <c:numCache>
                <c:formatCode>General</c:formatCode>
                <c:ptCount val="102"/>
                <c:pt idx="0">
                  <c:v>0</c:v>
                </c:pt>
                <c:pt idx="1">
                  <c:v>-7.6649999999999999E-3</c:v>
                </c:pt>
                <c:pt idx="2">
                  <c:v>1.0994E-2</c:v>
                </c:pt>
                <c:pt idx="3">
                  <c:v>-1.3988E-2</c:v>
                </c:pt>
                <c:pt idx="4">
                  <c:v>-2.9791000000000002E-2</c:v>
                </c:pt>
                <c:pt idx="5">
                  <c:v>-5.5279000000000002E-2</c:v>
                </c:pt>
                <c:pt idx="6">
                  <c:v>-6.7402000000000004E-2</c:v>
                </c:pt>
                <c:pt idx="7">
                  <c:v>-7.9104999999999995E-2</c:v>
                </c:pt>
                <c:pt idx="8">
                  <c:v>-8.0208000000000002E-2</c:v>
                </c:pt>
                <c:pt idx="9">
                  <c:v>-9.1425999999999993E-2</c:v>
                </c:pt>
                <c:pt idx="10">
                  <c:v>-0.132772</c:v>
                </c:pt>
                <c:pt idx="11">
                  <c:v>-0.155385</c:v>
                </c:pt>
                <c:pt idx="12">
                  <c:v>-0.16018299999999999</c:v>
                </c:pt>
                <c:pt idx="13">
                  <c:v>-0.163074</c:v>
                </c:pt>
                <c:pt idx="14">
                  <c:v>-0.180122</c:v>
                </c:pt>
                <c:pt idx="15">
                  <c:v>-0.18426799999999999</c:v>
                </c:pt>
                <c:pt idx="16">
                  <c:v>-0.202213</c:v>
                </c:pt>
                <c:pt idx="17">
                  <c:v>-0.21623899999999999</c:v>
                </c:pt>
                <c:pt idx="18">
                  <c:v>-0.22417799999999999</c:v>
                </c:pt>
                <c:pt idx="19">
                  <c:v>-0.23790500000000001</c:v>
                </c:pt>
                <c:pt idx="20">
                  <c:v>-0.25879799999999997</c:v>
                </c:pt>
                <c:pt idx="21">
                  <c:v>-0.266264</c:v>
                </c:pt>
                <c:pt idx="22">
                  <c:v>-0.26133000000000001</c:v>
                </c:pt>
                <c:pt idx="23">
                  <c:v>-0.27352900000000002</c:v>
                </c:pt>
                <c:pt idx="24">
                  <c:v>-0.28514600000000001</c:v>
                </c:pt>
                <c:pt idx="25">
                  <c:v>-0.29306399999999999</c:v>
                </c:pt>
                <c:pt idx="26">
                  <c:v>-0.29627799999999999</c:v>
                </c:pt>
                <c:pt idx="27">
                  <c:v>-0.29918699999999998</c:v>
                </c:pt>
                <c:pt idx="28">
                  <c:v>-0.297786</c:v>
                </c:pt>
                <c:pt idx="29">
                  <c:v>-0.30031999999999998</c:v>
                </c:pt>
                <c:pt idx="30">
                  <c:v>-0.29366199999999998</c:v>
                </c:pt>
                <c:pt idx="31">
                  <c:v>-0.30532700000000002</c:v>
                </c:pt>
                <c:pt idx="32">
                  <c:v>-0.32261699999999999</c:v>
                </c:pt>
                <c:pt idx="33">
                  <c:v>-0.32867499999999999</c:v>
                </c:pt>
                <c:pt idx="34">
                  <c:v>-0.330899</c:v>
                </c:pt>
                <c:pt idx="35">
                  <c:v>-0.33457700000000001</c:v>
                </c:pt>
                <c:pt idx="36">
                  <c:v>-0.34696199999999999</c:v>
                </c:pt>
                <c:pt idx="37">
                  <c:v>-0.355211</c:v>
                </c:pt>
                <c:pt idx="38">
                  <c:v>-0.36504399999999998</c:v>
                </c:pt>
                <c:pt idx="39">
                  <c:v>-0.36529600000000001</c:v>
                </c:pt>
                <c:pt idx="40">
                  <c:v>-0.37657600000000002</c:v>
                </c:pt>
                <c:pt idx="41">
                  <c:v>-0.38673000000000002</c:v>
                </c:pt>
                <c:pt idx="42">
                  <c:v>-0.37787100000000001</c:v>
                </c:pt>
                <c:pt idx="43">
                  <c:v>-0.38108999999999998</c:v>
                </c:pt>
                <c:pt idx="44">
                  <c:v>-0.38736399999999999</c:v>
                </c:pt>
                <c:pt idx="45">
                  <c:v>-0.39197900000000002</c:v>
                </c:pt>
                <c:pt idx="46">
                  <c:v>-0.39638400000000001</c:v>
                </c:pt>
                <c:pt idx="47">
                  <c:v>-0.40276600000000001</c:v>
                </c:pt>
                <c:pt idx="48">
                  <c:v>-0.40945700000000002</c:v>
                </c:pt>
                <c:pt idx="49">
                  <c:v>-0.413993</c:v>
                </c:pt>
                <c:pt idx="50">
                  <c:v>-0.414408</c:v>
                </c:pt>
                <c:pt idx="51">
                  <c:v>-0.41673700000000002</c:v>
                </c:pt>
                <c:pt idx="52">
                  <c:v>-0.42026200000000002</c:v>
                </c:pt>
                <c:pt idx="53">
                  <c:v>-0.429977</c:v>
                </c:pt>
                <c:pt idx="54">
                  <c:v>-0.42770599999999998</c:v>
                </c:pt>
                <c:pt idx="55">
                  <c:v>-0.43591299999999999</c:v>
                </c:pt>
                <c:pt idx="56">
                  <c:v>-0.424037</c:v>
                </c:pt>
                <c:pt idx="57">
                  <c:v>-0.442527</c:v>
                </c:pt>
                <c:pt idx="58">
                  <c:v>-0.45585999999999999</c:v>
                </c:pt>
                <c:pt idx="59">
                  <c:v>-0.43006</c:v>
                </c:pt>
                <c:pt idx="60">
                  <c:v>-0.44896399999999997</c:v>
                </c:pt>
                <c:pt idx="61">
                  <c:v>-0.46033099999999999</c:v>
                </c:pt>
                <c:pt idx="62">
                  <c:v>-0.46114500000000003</c:v>
                </c:pt>
                <c:pt idx="63">
                  <c:v>-0.47804799999999997</c:v>
                </c:pt>
                <c:pt idx="64">
                  <c:v>-0.48047099999999998</c:v>
                </c:pt>
                <c:pt idx="65">
                  <c:v>-0.48844599999999999</c:v>
                </c:pt>
                <c:pt idx="66">
                  <c:v>-0.495311</c:v>
                </c:pt>
                <c:pt idx="67">
                  <c:v>-0.50680599999999998</c:v>
                </c:pt>
                <c:pt idx="68">
                  <c:v>-0.51028700000000005</c:v>
                </c:pt>
                <c:pt idx="69">
                  <c:v>-0.50900299999999998</c:v>
                </c:pt>
                <c:pt idx="70">
                  <c:v>-0.51632900000000004</c:v>
                </c:pt>
                <c:pt idx="71">
                  <c:v>-0.53066899999999995</c:v>
                </c:pt>
                <c:pt idx="72">
                  <c:v>-0.53448399999999996</c:v>
                </c:pt>
                <c:pt idx="73">
                  <c:v>-0.53405899999999995</c:v>
                </c:pt>
                <c:pt idx="74">
                  <c:v>-0.53653399999999996</c:v>
                </c:pt>
                <c:pt idx="75">
                  <c:v>-0.55408000000000002</c:v>
                </c:pt>
                <c:pt idx="76">
                  <c:v>-0.56648600000000005</c:v>
                </c:pt>
                <c:pt idx="77">
                  <c:v>-0.574353</c:v>
                </c:pt>
                <c:pt idx="78">
                  <c:v>-0.55840699999999999</c:v>
                </c:pt>
                <c:pt idx="79">
                  <c:v>-0.51070899999999997</c:v>
                </c:pt>
                <c:pt idx="80">
                  <c:v>-0.53037800000000002</c:v>
                </c:pt>
                <c:pt idx="81">
                  <c:v>-0.56515899999999997</c:v>
                </c:pt>
                <c:pt idx="82">
                  <c:v>-0.58344799999999997</c:v>
                </c:pt>
                <c:pt idx="83">
                  <c:v>-0.59106800000000004</c:v>
                </c:pt>
                <c:pt idx="84">
                  <c:v>-0.594773</c:v>
                </c:pt>
                <c:pt idx="85">
                  <c:v>-0.57749099999999998</c:v>
                </c:pt>
                <c:pt idx="86">
                  <c:v>-0.60035799999999995</c:v>
                </c:pt>
                <c:pt idx="87">
                  <c:v>-0.60131800000000002</c:v>
                </c:pt>
                <c:pt idx="88">
                  <c:v>-0.61096099999999998</c:v>
                </c:pt>
                <c:pt idx="89">
                  <c:v>-0.61631800000000003</c:v>
                </c:pt>
                <c:pt idx="90">
                  <c:v>-0.62262099999999998</c:v>
                </c:pt>
                <c:pt idx="91">
                  <c:v>-0.64354500000000003</c:v>
                </c:pt>
                <c:pt idx="92">
                  <c:v>-0.64471800000000001</c:v>
                </c:pt>
                <c:pt idx="93">
                  <c:v>-0.63893299999999997</c:v>
                </c:pt>
                <c:pt idx="94">
                  <c:v>-0.65803400000000001</c:v>
                </c:pt>
                <c:pt idx="95">
                  <c:v>-0.65356099999999995</c:v>
                </c:pt>
                <c:pt idx="96">
                  <c:v>-0.65806399999999998</c:v>
                </c:pt>
                <c:pt idx="97">
                  <c:v>-0.65870499999999998</c:v>
                </c:pt>
                <c:pt idx="98">
                  <c:v>-0.65953200000000001</c:v>
                </c:pt>
                <c:pt idx="99">
                  <c:v>-0.66933799999999999</c:v>
                </c:pt>
                <c:pt idx="100">
                  <c:v>-0.65888199999999997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F27F-0349-916A-DE875CFD4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PRO 60 nodes</a:t>
            </a:r>
          </a:p>
        </c:rich>
      </c:tx>
      <c:layout>
        <c:manualLayout>
          <c:xMode val="edge"/>
          <c:yMode val="edge"/>
          <c:x val="0.26518719135802471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'Delta Trends'!$H$2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Trends'!$H$3:$H$64</c:f>
              <c:numCache>
                <c:formatCode>General</c:formatCode>
                <c:ptCount val="62"/>
                <c:pt idx="0">
                  <c:v>0</c:v>
                </c:pt>
                <c:pt idx="1">
                  <c:v>-2.447E-3</c:v>
                </c:pt>
                <c:pt idx="2">
                  <c:v>-4.4889999999999999E-3</c:v>
                </c:pt>
                <c:pt idx="3">
                  <c:v>-4.7410000000000004E-3</c:v>
                </c:pt>
                <c:pt idx="4">
                  <c:v>-1.9319999999999999E-3</c:v>
                </c:pt>
                <c:pt idx="5">
                  <c:v>-1.6677000000000001E-2</c:v>
                </c:pt>
                <c:pt idx="6">
                  <c:v>-2.0147000000000002E-2</c:v>
                </c:pt>
                <c:pt idx="7">
                  <c:v>-2.2110000000000001E-2</c:v>
                </c:pt>
                <c:pt idx="8">
                  <c:v>-2.128E-2</c:v>
                </c:pt>
                <c:pt idx="9">
                  <c:v>-2.4698000000000001E-2</c:v>
                </c:pt>
                <c:pt idx="10">
                  <c:v>-3.9655999999999997E-2</c:v>
                </c:pt>
                <c:pt idx="11">
                  <c:v>-2.9444000000000001E-2</c:v>
                </c:pt>
                <c:pt idx="12">
                  <c:v>-3.4791999999999997E-2</c:v>
                </c:pt>
                <c:pt idx="13">
                  <c:v>-3.9758000000000002E-2</c:v>
                </c:pt>
                <c:pt idx="14">
                  <c:v>-5.9207999999999997E-2</c:v>
                </c:pt>
                <c:pt idx="15">
                  <c:v>-6.7906999999999995E-2</c:v>
                </c:pt>
                <c:pt idx="16">
                  <c:v>-8.1299999999999997E-2</c:v>
                </c:pt>
                <c:pt idx="17">
                  <c:v>-8.8028999999999996E-2</c:v>
                </c:pt>
                <c:pt idx="18">
                  <c:v>-8.7647000000000003E-2</c:v>
                </c:pt>
                <c:pt idx="19">
                  <c:v>-9.1188000000000005E-2</c:v>
                </c:pt>
                <c:pt idx="20">
                  <c:v>-8.6664000000000005E-2</c:v>
                </c:pt>
                <c:pt idx="21">
                  <c:v>-8.5526000000000005E-2</c:v>
                </c:pt>
                <c:pt idx="22">
                  <c:v>-8.6763000000000007E-2</c:v>
                </c:pt>
                <c:pt idx="23">
                  <c:v>-8.9274000000000006E-2</c:v>
                </c:pt>
                <c:pt idx="24">
                  <c:v>-8.5604E-2</c:v>
                </c:pt>
                <c:pt idx="25">
                  <c:v>-8.7654999999999997E-2</c:v>
                </c:pt>
                <c:pt idx="26">
                  <c:v>-9.2130000000000004E-2</c:v>
                </c:pt>
                <c:pt idx="27">
                  <c:v>-9.8706000000000002E-2</c:v>
                </c:pt>
                <c:pt idx="28">
                  <c:v>-9.8656999999999995E-2</c:v>
                </c:pt>
                <c:pt idx="29">
                  <c:v>-0.101143</c:v>
                </c:pt>
                <c:pt idx="30">
                  <c:v>-9.6068000000000001E-2</c:v>
                </c:pt>
                <c:pt idx="31">
                  <c:v>-9.4061000000000006E-2</c:v>
                </c:pt>
                <c:pt idx="32">
                  <c:v>-9.6291000000000002E-2</c:v>
                </c:pt>
                <c:pt idx="33">
                  <c:v>-9.5322000000000004E-2</c:v>
                </c:pt>
                <c:pt idx="34">
                  <c:v>-0.10377699999999999</c:v>
                </c:pt>
                <c:pt idx="35">
                  <c:v>-0.114983</c:v>
                </c:pt>
                <c:pt idx="36">
                  <c:v>-0.11661000000000001</c:v>
                </c:pt>
                <c:pt idx="37">
                  <c:v>-0.117271</c:v>
                </c:pt>
                <c:pt idx="38">
                  <c:v>-0.12606999999999999</c:v>
                </c:pt>
                <c:pt idx="39">
                  <c:v>-0.12995899999999999</c:v>
                </c:pt>
                <c:pt idx="40">
                  <c:v>-0.13350600000000001</c:v>
                </c:pt>
                <c:pt idx="41">
                  <c:v>-0.13678999999999999</c:v>
                </c:pt>
                <c:pt idx="42">
                  <c:v>-0.13580700000000001</c:v>
                </c:pt>
                <c:pt idx="43">
                  <c:v>-0.136124</c:v>
                </c:pt>
                <c:pt idx="44">
                  <c:v>-0.14480499999999999</c:v>
                </c:pt>
                <c:pt idx="45">
                  <c:v>-0.15060499999999999</c:v>
                </c:pt>
                <c:pt idx="46">
                  <c:v>-0.16153899999999999</c:v>
                </c:pt>
                <c:pt idx="47">
                  <c:v>-0.16261700000000001</c:v>
                </c:pt>
                <c:pt idx="48">
                  <c:v>-0.162913</c:v>
                </c:pt>
                <c:pt idx="49">
                  <c:v>-0.158556</c:v>
                </c:pt>
                <c:pt idx="50">
                  <c:v>-0.16478100000000001</c:v>
                </c:pt>
                <c:pt idx="51">
                  <c:v>-0.16198299999999999</c:v>
                </c:pt>
                <c:pt idx="52">
                  <c:v>-0.16614899999999999</c:v>
                </c:pt>
                <c:pt idx="53">
                  <c:v>-0.12740099999999999</c:v>
                </c:pt>
                <c:pt idx="54">
                  <c:v>-0.13472500000000001</c:v>
                </c:pt>
                <c:pt idx="55">
                  <c:v>-0.132495</c:v>
                </c:pt>
                <c:pt idx="56">
                  <c:v>-0.134931</c:v>
                </c:pt>
                <c:pt idx="57">
                  <c:v>-0.13570099999999999</c:v>
                </c:pt>
                <c:pt idx="58">
                  <c:v>-0.118823</c:v>
                </c:pt>
                <c:pt idx="59">
                  <c:v>-0.120392</c:v>
                </c:pt>
                <c:pt idx="60">
                  <c:v>-0.12123299999999999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87-EB43-BF66-62978BB8AEA8}"/>
            </c:ext>
          </c:extLst>
        </c:ser>
        <c:ser>
          <c:idx val="1"/>
          <c:order val="1"/>
          <c:tx>
            <c:strRef>
              <c:f>'Delta Trends'!$I$2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Trends'!$I$3:$I$64</c:f>
              <c:numCache>
                <c:formatCode>General</c:formatCode>
                <c:ptCount val="62"/>
                <c:pt idx="0">
                  <c:v>0</c:v>
                </c:pt>
                <c:pt idx="1">
                  <c:v>3.581E-3</c:v>
                </c:pt>
                <c:pt idx="2">
                  <c:v>1.0958000000000001E-2</c:v>
                </c:pt>
                <c:pt idx="3">
                  <c:v>1.5970000000000002E-2</c:v>
                </c:pt>
                <c:pt idx="4">
                  <c:v>2.6440000000000001E-3</c:v>
                </c:pt>
                <c:pt idx="5">
                  <c:v>-1.1559999999999999E-3</c:v>
                </c:pt>
                <c:pt idx="6">
                  <c:v>9.5549999999999993E-3</c:v>
                </c:pt>
                <c:pt idx="7">
                  <c:v>1.3283E-2</c:v>
                </c:pt>
                <c:pt idx="8">
                  <c:v>2.5618999999999999E-2</c:v>
                </c:pt>
                <c:pt idx="9">
                  <c:v>2.3324000000000001E-2</c:v>
                </c:pt>
                <c:pt idx="10">
                  <c:v>2.3889000000000001E-2</c:v>
                </c:pt>
                <c:pt idx="11">
                  <c:v>4.7613000000000003E-2</c:v>
                </c:pt>
                <c:pt idx="12">
                  <c:v>5.4418000000000001E-2</c:v>
                </c:pt>
                <c:pt idx="13">
                  <c:v>6.2664999999999998E-2</c:v>
                </c:pt>
                <c:pt idx="14">
                  <c:v>5.2350000000000001E-2</c:v>
                </c:pt>
                <c:pt idx="15">
                  <c:v>5.8964000000000003E-2</c:v>
                </c:pt>
                <c:pt idx="16">
                  <c:v>6.1435999999999998E-2</c:v>
                </c:pt>
                <c:pt idx="17">
                  <c:v>6.5196000000000004E-2</c:v>
                </c:pt>
                <c:pt idx="18">
                  <c:v>6.4982999999999999E-2</c:v>
                </c:pt>
                <c:pt idx="19">
                  <c:v>7.6200000000000004E-2</c:v>
                </c:pt>
                <c:pt idx="20">
                  <c:v>8.7248999999999993E-2</c:v>
                </c:pt>
                <c:pt idx="21">
                  <c:v>9.7209000000000004E-2</c:v>
                </c:pt>
                <c:pt idx="22">
                  <c:v>0.10510899999999999</c:v>
                </c:pt>
                <c:pt idx="23">
                  <c:v>0.10731400000000001</c:v>
                </c:pt>
                <c:pt idx="24">
                  <c:v>0.111121</c:v>
                </c:pt>
                <c:pt idx="25">
                  <c:v>0.117157</c:v>
                </c:pt>
                <c:pt idx="26">
                  <c:v>0.120244</c:v>
                </c:pt>
                <c:pt idx="27">
                  <c:v>0.117248</c:v>
                </c:pt>
                <c:pt idx="28">
                  <c:v>0.132054</c:v>
                </c:pt>
                <c:pt idx="29">
                  <c:v>0.13734299999999999</c:v>
                </c:pt>
                <c:pt idx="30">
                  <c:v>0.141962</c:v>
                </c:pt>
                <c:pt idx="31">
                  <c:v>0.14463100000000001</c:v>
                </c:pt>
                <c:pt idx="32">
                  <c:v>0.153751</c:v>
                </c:pt>
                <c:pt idx="33">
                  <c:v>0.15922700000000001</c:v>
                </c:pt>
                <c:pt idx="34">
                  <c:v>0.16797899999999999</c:v>
                </c:pt>
                <c:pt idx="35">
                  <c:v>0.140405</c:v>
                </c:pt>
                <c:pt idx="36">
                  <c:v>0.15104799999999999</c:v>
                </c:pt>
                <c:pt idx="37">
                  <c:v>0.149973</c:v>
                </c:pt>
                <c:pt idx="38">
                  <c:v>0.15424199999999999</c:v>
                </c:pt>
                <c:pt idx="39">
                  <c:v>0.16308</c:v>
                </c:pt>
                <c:pt idx="40">
                  <c:v>0.16564100000000001</c:v>
                </c:pt>
                <c:pt idx="41">
                  <c:v>0.14338200000000001</c:v>
                </c:pt>
                <c:pt idx="42">
                  <c:v>0.14765200000000001</c:v>
                </c:pt>
                <c:pt idx="43">
                  <c:v>0.14868999999999999</c:v>
                </c:pt>
                <c:pt idx="44">
                  <c:v>0.15587799999999999</c:v>
                </c:pt>
                <c:pt idx="45">
                  <c:v>0.16029399999999999</c:v>
                </c:pt>
                <c:pt idx="46">
                  <c:v>0.154586</c:v>
                </c:pt>
                <c:pt idx="47">
                  <c:v>0.15836</c:v>
                </c:pt>
                <c:pt idx="48">
                  <c:v>0.16433700000000001</c:v>
                </c:pt>
                <c:pt idx="49">
                  <c:v>0.17361299999999999</c:v>
                </c:pt>
                <c:pt idx="50">
                  <c:v>0.17757200000000001</c:v>
                </c:pt>
                <c:pt idx="51">
                  <c:v>0.177818</c:v>
                </c:pt>
                <c:pt idx="52">
                  <c:v>0.186858</c:v>
                </c:pt>
                <c:pt idx="53">
                  <c:v>0.16631199999999999</c:v>
                </c:pt>
                <c:pt idx="54">
                  <c:v>0.180616</c:v>
                </c:pt>
                <c:pt idx="55">
                  <c:v>0.18097099999999999</c:v>
                </c:pt>
                <c:pt idx="56">
                  <c:v>0.185499</c:v>
                </c:pt>
                <c:pt idx="57">
                  <c:v>0.18726699999999999</c:v>
                </c:pt>
                <c:pt idx="58">
                  <c:v>0.18765799999999999</c:v>
                </c:pt>
                <c:pt idx="59">
                  <c:v>0.209727</c:v>
                </c:pt>
                <c:pt idx="60">
                  <c:v>0.216919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87-EB43-BF66-62978BB8AEA8}"/>
            </c:ext>
          </c:extLst>
        </c:ser>
        <c:ser>
          <c:idx val="2"/>
          <c:order val="2"/>
          <c:tx>
            <c:strRef>
              <c:f>'Delta Trends'!$J$2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Trends'!$J$3:$J$64</c:f>
              <c:numCache>
                <c:formatCode>General</c:formatCode>
                <c:ptCount val="62"/>
                <c:pt idx="0">
                  <c:v>0</c:v>
                </c:pt>
                <c:pt idx="1">
                  <c:v>4.2490000000000002E-3</c:v>
                </c:pt>
                <c:pt idx="2">
                  <c:v>5.0860000000000002E-3</c:v>
                </c:pt>
                <c:pt idx="3">
                  <c:v>1.5518000000000001E-2</c:v>
                </c:pt>
                <c:pt idx="4">
                  <c:v>1.6246E-2</c:v>
                </c:pt>
                <c:pt idx="5">
                  <c:v>2.75E-2</c:v>
                </c:pt>
                <c:pt idx="6">
                  <c:v>3.8689000000000001E-2</c:v>
                </c:pt>
                <c:pt idx="7">
                  <c:v>4.6262999999999999E-2</c:v>
                </c:pt>
                <c:pt idx="8">
                  <c:v>5.3621000000000002E-2</c:v>
                </c:pt>
                <c:pt idx="9">
                  <c:v>7.7926999999999996E-2</c:v>
                </c:pt>
                <c:pt idx="10">
                  <c:v>7.5358999999999995E-2</c:v>
                </c:pt>
                <c:pt idx="11">
                  <c:v>7.6149999999999995E-2</c:v>
                </c:pt>
                <c:pt idx="12">
                  <c:v>9.9094000000000002E-2</c:v>
                </c:pt>
                <c:pt idx="13">
                  <c:v>0.12868499999999999</c:v>
                </c:pt>
                <c:pt idx="14">
                  <c:v>0.121919</c:v>
                </c:pt>
                <c:pt idx="15">
                  <c:v>0.138326</c:v>
                </c:pt>
                <c:pt idx="16">
                  <c:v>0.18887100000000001</c:v>
                </c:pt>
                <c:pt idx="17">
                  <c:v>0.23080200000000001</c:v>
                </c:pt>
                <c:pt idx="18">
                  <c:v>0.326851</c:v>
                </c:pt>
                <c:pt idx="19">
                  <c:v>0.33572600000000002</c:v>
                </c:pt>
                <c:pt idx="20">
                  <c:v>0.390212</c:v>
                </c:pt>
                <c:pt idx="21">
                  <c:v>0.42799500000000001</c:v>
                </c:pt>
                <c:pt idx="22">
                  <c:v>0.43821900000000003</c:v>
                </c:pt>
                <c:pt idx="23">
                  <c:v>0.48377300000000001</c:v>
                </c:pt>
                <c:pt idx="24">
                  <c:v>0.49097400000000002</c:v>
                </c:pt>
                <c:pt idx="25">
                  <c:v>0.55995600000000001</c:v>
                </c:pt>
                <c:pt idx="26">
                  <c:v>0.56850299999999998</c:v>
                </c:pt>
                <c:pt idx="27">
                  <c:v>0.56898300000000002</c:v>
                </c:pt>
                <c:pt idx="28">
                  <c:v>0.59738400000000003</c:v>
                </c:pt>
                <c:pt idx="29">
                  <c:v>0.61079300000000003</c:v>
                </c:pt>
                <c:pt idx="30">
                  <c:v>0.58869700000000003</c:v>
                </c:pt>
                <c:pt idx="31">
                  <c:v>0.64945299999999995</c:v>
                </c:pt>
                <c:pt idx="32">
                  <c:v>0.73642700000000005</c:v>
                </c:pt>
                <c:pt idx="33">
                  <c:v>0.69416699999999998</c:v>
                </c:pt>
                <c:pt idx="34">
                  <c:v>0.80125000000000002</c:v>
                </c:pt>
                <c:pt idx="35">
                  <c:v>0.83111500000000005</c:v>
                </c:pt>
                <c:pt idx="36">
                  <c:v>0.84796499999999997</c:v>
                </c:pt>
                <c:pt idx="37">
                  <c:v>0.80762199999999995</c:v>
                </c:pt>
                <c:pt idx="38">
                  <c:v>0.86389099999999996</c:v>
                </c:pt>
                <c:pt idx="39">
                  <c:v>0.76712199999999997</c:v>
                </c:pt>
                <c:pt idx="40">
                  <c:v>0.77402000000000004</c:v>
                </c:pt>
                <c:pt idx="41">
                  <c:v>0.63699700000000004</c:v>
                </c:pt>
                <c:pt idx="42">
                  <c:v>0.72388799999999998</c:v>
                </c:pt>
                <c:pt idx="43">
                  <c:v>0.76518299999999995</c:v>
                </c:pt>
                <c:pt idx="44">
                  <c:v>0.820052</c:v>
                </c:pt>
                <c:pt idx="45">
                  <c:v>0.80838600000000005</c:v>
                </c:pt>
                <c:pt idx="46">
                  <c:v>0.78320800000000002</c:v>
                </c:pt>
                <c:pt idx="47">
                  <c:v>0.72844399999999998</c:v>
                </c:pt>
                <c:pt idx="48">
                  <c:v>0.81396299999999999</c:v>
                </c:pt>
                <c:pt idx="49">
                  <c:v>0.814141</c:v>
                </c:pt>
                <c:pt idx="50">
                  <c:v>0.80979999999999996</c:v>
                </c:pt>
                <c:pt idx="51">
                  <c:v>0.89448300000000003</c:v>
                </c:pt>
                <c:pt idx="52">
                  <c:v>1.0341640000000001</c:v>
                </c:pt>
                <c:pt idx="53">
                  <c:v>0.85209800000000002</c:v>
                </c:pt>
                <c:pt idx="54">
                  <c:v>1.105234</c:v>
                </c:pt>
                <c:pt idx="55">
                  <c:v>1.1489549999999999</c:v>
                </c:pt>
                <c:pt idx="56">
                  <c:v>1.139947</c:v>
                </c:pt>
                <c:pt idx="57">
                  <c:v>1.1602779999999999</c:v>
                </c:pt>
                <c:pt idx="58">
                  <c:v>1.234499</c:v>
                </c:pt>
                <c:pt idx="59">
                  <c:v>1.2592429999999999</c:v>
                </c:pt>
                <c:pt idx="60">
                  <c:v>1.2256020000000001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687-EB43-BF66-62978BB8AEA8}"/>
            </c:ext>
          </c:extLst>
        </c:ser>
        <c:ser>
          <c:idx val="3"/>
          <c:order val="3"/>
          <c:tx>
            <c:strRef>
              <c:f>'Delta Trends'!$K$2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Trends'!$K$3:$K$64</c:f>
              <c:numCache>
                <c:formatCode>General</c:formatCode>
                <c:ptCount val="62"/>
                <c:pt idx="0">
                  <c:v>0</c:v>
                </c:pt>
                <c:pt idx="1">
                  <c:v>-1.6130000000000001E-3</c:v>
                </c:pt>
                <c:pt idx="2">
                  <c:v>-2.8140000000000001E-3</c:v>
                </c:pt>
                <c:pt idx="3">
                  <c:v>-3.9999999999999998E-6</c:v>
                </c:pt>
                <c:pt idx="4">
                  <c:v>-6.1440000000000002E-3</c:v>
                </c:pt>
                <c:pt idx="5">
                  <c:v>-1.8214000000000001E-2</c:v>
                </c:pt>
                <c:pt idx="6">
                  <c:v>-1.7392000000000001E-2</c:v>
                </c:pt>
                <c:pt idx="7">
                  <c:v>-1.8058000000000001E-2</c:v>
                </c:pt>
                <c:pt idx="8">
                  <c:v>-1.8335000000000001E-2</c:v>
                </c:pt>
                <c:pt idx="9">
                  <c:v>-1.6906000000000001E-2</c:v>
                </c:pt>
                <c:pt idx="10">
                  <c:v>-4.9911999999999998E-2</c:v>
                </c:pt>
                <c:pt idx="11">
                  <c:v>-5.6526E-2</c:v>
                </c:pt>
                <c:pt idx="12">
                  <c:v>-5.4554999999999999E-2</c:v>
                </c:pt>
                <c:pt idx="13">
                  <c:v>-4.8467999999999997E-2</c:v>
                </c:pt>
                <c:pt idx="14">
                  <c:v>-6.9426000000000002E-2</c:v>
                </c:pt>
                <c:pt idx="15">
                  <c:v>-7.6688000000000006E-2</c:v>
                </c:pt>
                <c:pt idx="16">
                  <c:v>-8.1601000000000007E-2</c:v>
                </c:pt>
                <c:pt idx="17">
                  <c:v>-8.6452000000000001E-2</c:v>
                </c:pt>
                <c:pt idx="18">
                  <c:v>-8.2294999999999993E-2</c:v>
                </c:pt>
                <c:pt idx="19">
                  <c:v>-8.0917000000000003E-2</c:v>
                </c:pt>
                <c:pt idx="20">
                  <c:v>-8.2021999999999998E-2</c:v>
                </c:pt>
                <c:pt idx="21">
                  <c:v>-7.7648999999999996E-2</c:v>
                </c:pt>
                <c:pt idx="22">
                  <c:v>-7.5309000000000001E-2</c:v>
                </c:pt>
                <c:pt idx="23">
                  <c:v>-7.0846999999999993E-2</c:v>
                </c:pt>
                <c:pt idx="24">
                  <c:v>-6.5840999999999997E-2</c:v>
                </c:pt>
                <c:pt idx="25">
                  <c:v>-6.2605999999999995E-2</c:v>
                </c:pt>
                <c:pt idx="26">
                  <c:v>-6.5942000000000001E-2</c:v>
                </c:pt>
                <c:pt idx="27">
                  <c:v>-6.1490999999999997E-2</c:v>
                </c:pt>
                <c:pt idx="28">
                  <c:v>-6.4729999999999996E-2</c:v>
                </c:pt>
                <c:pt idx="29">
                  <c:v>-6.3425999999999996E-2</c:v>
                </c:pt>
                <c:pt idx="30">
                  <c:v>-6.2472E-2</c:v>
                </c:pt>
                <c:pt idx="31">
                  <c:v>-6.3480999999999996E-2</c:v>
                </c:pt>
                <c:pt idx="32">
                  <c:v>-5.6543999999999997E-2</c:v>
                </c:pt>
                <c:pt idx="33">
                  <c:v>-5.7269E-2</c:v>
                </c:pt>
                <c:pt idx="34">
                  <c:v>-6.3601000000000005E-2</c:v>
                </c:pt>
                <c:pt idx="35">
                  <c:v>-6.3668000000000002E-2</c:v>
                </c:pt>
                <c:pt idx="36">
                  <c:v>-6.3811999999999994E-2</c:v>
                </c:pt>
                <c:pt idx="37">
                  <c:v>-6.5922999999999995E-2</c:v>
                </c:pt>
                <c:pt idx="38">
                  <c:v>-6.0766000000000001E-2</c:v>
                </c:pt>
                <c:pt idx="39">
                  <c:v>-5.9910999999999999E-2</c:v>
                </c:pt>
                <c:pt idx="40">
                  <c:v>-5.9163E-2</c:v>
                </c:pt>
                <c:pt idx="41">
                  <c:v>-8.6000999999999994E-2</c:v>
                </c:pt>
                <c:pt idx="42">
                  <c:v>-8.2150000000000001E-2</c:v>
                </c:pt>
                <c:pt idx="43">
                  <c:v>-8.5716000000000001E-2</c:v>
                </c:pt>
                <c:pt idx="44">
                  <c:v>-7.5378000000000001E-2</c:v>
                </c:pt>
                <c:pt idx="45">
                  <c:v>-7.4090000000000003E-2</c:v>
                </c:pt>
                <c:pt idx="46">
                  <c:v>-7.3547000000000001E-2</c:v>
                </c:pt>
                <c:pt idx="47">
                  <c:v>-7.0290000000000005E-2</c:v>
                </c:pt>
                <c:pt idx="48">
                  <c:v>-7.1831999999999993E-2</c:v>
                </c:pt>
                <c:pt idx="49">
                  <c:v>-6.8904999999999994E-2</c:v>
                </c:pt>
                <c:pt idx="50">
                  <c:v>-7.3996999999999993E-2</c:v>
                </c:pt>
                <c:pt idx="51">
                  <c:v>-7.2081999999999993E-2</c:v>
                </c:pt>
                <c:pt idx="52">
                  <c:v>-7.7317999999999998E-2</c:v>
                </c:pt>
                <c:pt idx="53">
                  <c:v>-7.5453999999999993E-2</c:v>
                </c:pt>
                <c:pt idx="54">
                  <c:v>-7.6814999999999994E-2</c:v>
                </c:pt>
                <c:pt idx="55">
                  <c:v>-7.7358999999999997E-2</c:v>
                </c:pt>
                <c:pt idx="56">
                  <c:v>-7.4352000000000001E-2</c:v>
                </c:pt>
                <c:pt idx="57">
                  <c:v>-7.3976E-2</c:v>
                </c:pt>
                <c:pt idx="58">
                  <c:v>-7.1857000000000004E-2</c:v>
                </c:pt>
                <c:pt idx="59">
                  <c:v>-8.6333999999999994E-2</c:v>
                </c:pt>
                <c:pt idx="60">
                  <c:v>-8.7847999999999996E-2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3687-EB43-BF66-62978BB8AE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MIX 100 nodes</a:t>
            </a:r>
          </a:p>
        </c:rich>
      </c:tx>
      <c:layout>
        <c:manualLayout>
          <c:xMode val="edge"/>
          <c:yMode val="edge"/>
          <c:x val="0.27598117283950613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'Delta Trends'!$N$2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Trends'!$N$3:$N$104</c:f>
              <c:numCache>
                <c:formatCode>General</c:formatCode>
                <c:ptCount val="102"/>
                <c:pt idx="0">
                  <c:v>0</c:v>
                </c:pt>
                <c:pt idx="1">
                  <c:v>-3.6311000000000003E-2</c:v>
                </c:pt>
                <c:pt idx="2">
                  <c:v>-5.6297E-2</c:v>
                </c:pt>
                <c:pt idx="3">
                  <c:v>-8.8549000000000003E-2</c:v>
                </c:pt>
                <c:pt idx="4">
                  <c:v>-0.104837</c:v>
                </c:pt>
                <c:pt idx="5">
                  <c:v>-0.11285299999999999</c:v>
                </c:pt>
                <c:pt idx="6">
                  <c:v>-0.130744</c:v>
                </c:pt>
                <c:pt idx="7">
                  <c:v>-0.1389</c:v>
                </c:pt>
                <c:pt idx="8">
                  <c:v>-0.15068300000000001</c:v>
                </c:pt>
                <c:pt idx="9">
                  <c:v>-0.164544</c:v>
                </c:pt>
                <c:pt idx="10">
                  <c:v>-0.23908099999999999</c:v>
                </c:pt>
                <c:pt idx="11">
                  <c:v>-0.27545199999999997</c:v>
                </c:pt>
                <c:pt idx="12">
                  <c:v>-0.28546100000000002</c:v>
                </c:pt>
                <c:pt idx="13">
                  <c:v>-0.29611599999999999</c:v>
                </c:pt>
                <c:pt idx="14">
                  <c:v>-0.31750800000000001</c:v>
                </c:pt>
                <c:pt idx="15">
                  <c:v>-0.34726400000000002</c:v>
                </c:pt>
                <c:pt idx="16">
                  <c:v>-0.37508000000000002</c:v>
                </c:pt>
                <c:pt idx="17">
                  <c:v>-0.38285200000000003</c:v>
                </c:pt>
                <c:pt idx="18">
                  <c:v>-0.40242699999999998</c:v>
                </c:pt>
                <c:pt idx="19">
                  <c:v>-0.413829</c:v>
                </c:pt>
                <c:pt idx="20">
                  <c:v>-0.42901</c:v>
                </c:pt>
                <c:pt idx="21">
                  <c:v>-0.41644399999999998</c:v>
                </c:pt>
                <c:pt idx="22">
                  <c:v>-0.426952</c:v>
                </c:pt>
                <c:pt idx="23">
                  <c:v>-0.43007699999999999</c:v>
                </c:pt>
                <c:pt idx="24">
                  <c:v>-0.451573</c:v>
                </c:pt>
                <c:pt idx="25">
                  <c:v>-0.470277</c:v>
                </c:pt>
                <c:pt idx="26">
                  <c:v>-0.476053</c:v>
                </c:pt>
                <c:pt idx="27">
                  <c:v>-0.48122599999999999</c:v>
                </c:pt>
                <c:pt idx="28">
                  <c:v>-0.48853600000000003</c:v>
                </c:pt>
                <c:pt idx="29">
                  <c:v>-0.49720599999999998</c:v>
                </c:pt>
                <c:pt idx="30">
                  <c:v>-0.49299599999999999</c:v>
                </c:pt>
                <c:pt idx="31">
                  <c:v>-0.48910500000000001</c:v>
                </c:pt>
                <c:pt idx="32">
                  <c:v>-0.52663000000000004</c:v>
                </c:pt>
                <c:pt idx="33">
                  <c:v>-0.54388999999999998</c:v>
                </c:pt>
                <c:pt idx="34">
                  <c:v>-0.56830199999999997</c:v>
                </c:pt>
                <c:pt idx="35">
                  <c:v>-0.577735</c:v>
                </c:pt>
                <c:pt idx="36">
                  <c:v>-0.59776399999999996</c:v>
                </c:pt>
                <c:pt idx="37">
                  <c:v>-0.60774499999999998</c:v>
                </c:pt>
                <c:pt idx="38">
                  <c:v>-0.63007400000000002</c:v>
                </c:pt>
                <c:pt idx="39">
                  <c:v>-0.64067499999999999</c:v>
                </c:pt>
                <c:pt idx="40">
                  <c:v>-0.65656199999999998</c:v>
                </c:pt>
                <c:pt idx="41">
                  <c:v>-0.664524</c:v>
                </c:pt>
                <c:pt idx="42">
                  <c:v>-0.67139800000000005</c:v>
                </c:pt>
                <c:pt idx="43">
                  <c:v>-0.677091</c:v>
                </c:pt>
                <c:pt idx="44">
                  <c:v>-0.67796199999999995</c:v>
                </c:pt>
                <c:pt idx="45">
                  <c:v>-0.68667100000000003</c:v>
                </c:pt>
                <c:pt idx="46">
                  <c:v>-0.69091899999999995</c:v>
                </c:pt>
                <c:pt idx="47">
                  <c:v>-0.700129</c:v>
                </c:pt>
                <c:pt idx="48">
                  <c:v>-0.70193099999999997</c:v>
                </c:pt>
                <c:pt idx="49">
                  <c:v>-0.70643199999999995</c:v>
                </c:pt>
                <c:pt idx="50">
                  <c:v>-0.71548999999999996</c:v>
                </c:pt>
                <c:pt idx="51">
                  <c:v>-0.71819100000000002</c:v>
                </c:pt>
                <c:pt idx="52">
                  <c:v>-0.70800600000000002</c:v>
                </c:pt>
                <c:pt idx="53">
                  <c:v>-0.73285599999999995</c:v>
                </c:pt>
                <c:pt idx="54">
                  <c:v>-0.73196300000000003</c:v>
                </c:pt>
                <c:pt idx="55">
                  <c:v>-0.73983699999999997</c:v>
                </c:pt>
                <c:pt idx="56">
                  <c:v>-0.74702599999999997</c:v>
                </c:pt>
                <c:pt idx="57">
                  <c:v>-0.749502</c:v>
                </c:pt>
                <c:pt idx="58">
                  <c:v>-0.77104600000000001</c:v>
                </c:pt>
                <c:pt idx="59">
                  <c:v>-0.71730799999999995</c:v>
                </c:pt>
                <c:pt idx="60">
                  <c:v>-0.78579600000000005</c:v>
                </c:pt>
                <c:pt idx="61">
                  <c:v>-0.80288899999999996</c:v>
                </c:pt>
                <c:pt idx="62">
                  <c:v>-0.79210100000000006</c:v>
                </c:pt>
                <c:pt idx="63">
                  <c:v>-0.82742300000000002</c:v>
                </c:pt>
                <c:pt idx="64">
                  <c:v>-0.84104900000000005</c:v>
                </c:pt>
                <c:pt idx="65">
                  <c:v>-0.85512200000000005</c:v>
                </c:pt>
                <c:pt idx="66">
                  <c:v>-0.85980400000000001</c:v>
                </c:pt>
                <c:pt idx="67">
                  <c:v>-0.86778999999999995</c:v>
                </c:pt>
                <c:pt idx="68">
                  <c:v>-0.87392400000000003</c:v>
                </c:pt>
                <c:pt idx="69">
                  <c:v>-0.86980299999999999</c:v>
                </c:pt>
                <c:pt idx="70">
                  <c:v>-0.87629199999999996</c:v>
                </c:pt>
                <c:pt idx="71">
                  <c:v>-0.89869500000000002</c:v>
                </c:pt>
                <c:pt idx="72">
                  <c:v>-0.90558499999999997</c:v>
                </c:pt>
                <c:pt idx="73">
                  <c:v>-0.90559000000000001</c:v>
                </c:pt>
                <c:pt idx="74">
                  <c:v>-0.88933499999999999</c:v>
                </c:pt>
                <c:pt idx="75">
                  <c:v>-0.954322</c:v>
                </c:pt>
                <c:pt idx="76">
                  <c:v>-0.98911700000000002</c:v>
                </c:pt>
                <c:pt idx="77">
                  <c:v>-0.99656999999999996</c:v>
                </c:pt>
                <c:pt idx="78">
                  <c:v>-0.966395</c:v>
                </c:pt>
                <c:pt idx="79">
                  <c:v>-0.98621700000000001</c:v>
                </c:pt>
                <c:pt idx="80">
                  <c:v>-0.97888900000000001</c:v>
                </c:pt>
                <c:pt idx="81">
                  <c:v>-1.029779</c:v>
                </c:pt>
                <c:pt idx="82">
                  <c:v>-1.062603</c:v>
                </c:pt>
                <c:pt idx="83">
                  <c:v>-1.0543279999999999</c:v>
                </c:pt>
                <c:pt idx="84">
                  <c:v>-1.0711079999999999</c:v>
                </c:pt>
                <c:pt idx="85">
                  <c:v>-1.069545</c:v>
                </c:pt>
                <c:pt idx="86">
                  <c:v>-1.0785229999999999</c:v>
                </c:pt>
                <c:pt idx="87">
                  <c:v>-1.081037</c:v>
                </c:pt>
                <c:pt idx="88">
                  <c:v>-1.1125849999999999</c:v>
                </c:pt>
                <c:pt idx="89">
                  <c:v>-1.082875</c:v>
                </c:pt>
                <c:pt idx="90">
                  <c:v>-1.0928629999999999</c:v>
                </c:pt>
                <c:pt idx="91">
                  <c:v>-1.126217</c:v>
                </c:pt>
                <c:pt idx="92">
                  <c:v>-1.139559</c:v>
                </c:pt>
                <c:pt idx="93">
                  <c:v>-1.144188</c:v>
                </c:pt>
                <c:pt idx="94">
                  <c:v>-1.149017</c:v>
                </c:pt>
                <c:pt idx="95">
                  <c:v>-1.162102</c:v>
                </c:pt>
                <c:pt idx="96">
                  <c:v>-1.177997</c:v>
                </c:pt>
                <c:pt idx="97">
                  <c:v>-1.180947</c:v>
                </c:pt>
                <c:pt idx="98">
                  <c:v>-1.168293</c:v>
                </c:pt>
                <c:pt idx="99">
                  <c:v>-1.188823</c:v>
                </c:pt>
                <c:pt idx="100">
                  <c:v>-1.1682490000000001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721-344F-B60A-C69F3AD96DC7}"/>
            </c:ext>
          </c:extLst>
        </c:ser>
        <c:ser>
          <c:idx val="1"/>
          <c:order val="1"/>
          <c:tx>
            <c:strRef>
              <c:f>'Delta Trends'!$O$2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Trends'!$O$3:$O$104</c:f>
              <c:numCache>
                <c:formatCode>General</c:formatCode>
                <c:ptCount val="102"/>
                <c:pt idx="0">
                  <c:v>0</c:v>
                </c:pt>
                <c:pt idx="1">
                  <c:v>-1.0848E-2</c:v>
                </c:pt>
                <c:pt idx="2">
                  <c:v>-1.0285000000000001E-2</c:v>
                </c:pt>
                <c:pt idx="3">
                  <c:v>-3.1251000000000001E-2</c:v>
                </c:pt>
                <c:pt idx="4">
                  <c:v>-5.2004000000000002E-2</c:v>
                </c:pt>
                <c:pt idx="5">
                  <c:v>-4.7551999999999997E-2</c:v>
                </c:pt>
                <c:pt idx="6">
                  <c:v>-2.7390999999999999E-2</c:v>
                </c:pt>
                <c:pt idx="7">
                  <c:v>-3.5324000000000001E-2</c:v>
                </c:pt>
                <c:pt idx="8">
                  <c:v>-3.6087000000000001E-2</c:v>
                </c:pt>
                <c:pt idx="9">
                  <c:v>-4.8561E-2</c:v>
                </c:pt>
                <c:pt idx="10">
                  <c:v>-1.1219E-2</c:v>
                </c:pt>
                <c:pt idx="11">
                  <c:v>-2.5676000000000001E-2</c:v>
                </c:pt>
                <c:pt idx="12">
                  <c:v>-2.7283999999999999E-2</c:v>
                </c:pt>
                <c:pt idx="13">
                  <c:v>-6.4146999999999996E-2</c:v>
                </c:pt>
                <c:pt idx="14">
                  <c:v>-8.2579E-2</c:v>
                </c:pt>
                <c:pt idx="15">
                  <c:v>-9.3350000000000002E-2</c:v>
                </c:pt>
                <c:pt idx="16">
                  <c:v>-0.129029</c:v>
                </c:pt>
                <c:pt idx="17">
                  <c:v>-0.118727</c:v>
                </c:pt>
                <c:pt idx="18">
                  <c:v>-0.120894</c:v>
                </c:pt>
                <c:pt idx="19">
                  <c:v>-0.11697</c:v>
                </c:pt>
                <c:pt idx="20">
                  <c:v>-0.158361</c:v>
                </c:pt>
                <c:pt idx="21">
                  <c:v>-0.16251599999999999</c:v>
                </c:pt>
                <c:pt idx="22">
                  <c:v>-0.159444</c:v>
                </c:pt>
                <c:pt idx="23">
                  <c:v>-0.16045899999999999</c:v>
                </c:pt>
                <c:pt idx="24">
                  <c:v>-0.17702200000000001</c:v>
                </c:pt>
                <c:pt idx="25">
                  <c:v>-0.179623</c:v>
                </c:pt>
                <c:pt idx="26">
                  <c:v>-0.18121300000000001</c:v>
                </c:pt>
                <c:pt idx="27">
                  <c:v>-0.184753</c:v>
                </c:pt>
                <c:pt idx="28">
                  <c:v>-0.19835800000000001</c:v>
                </c:pt>
                <c:pt idx="29">
                  <c:v>-0.20874599999999999</c:v>
                </c:pt>
                <c:pt idx="30">
                  <c:v>-0.214781</c:v>
                </c:pt>
                <c:pt idx="31">
                  <c:v>-0.21782599999999999</c:v>
                </c:pt>
                <c:pt idx="32">
                  <c:v>-0.25586500000000001</c:v>
                </c:pt>
                <c:pt idx="33">
                  <c:v>-0.25675799999999999</c:v>
                </c:pt>
                <c:pt idx="34">
                  <c:v>-0.269123</c:v>
                </c:pt>
                <c:pt idx="35">
                  <c:v>-0.288574</c:v>
                </c:pt>
                <c:pt idx="36">
                  <c:v>-0.29046499999999997</c:v>
                </c:pt>
                <c:pt idx="37">
                  <c:v>-0.31615500000000002</c:v>
                </c:pt>
                <c:pt idx="38">
                  <c:v>-0.33022800000000002</c:v>
                </c:pt>
                <c:pt idx="39">
                  <c:v>-0.33308700000000002</c:v>
                </c:pt>
                <c:pt idx="40">
                  <c:v>-0.345914</c:v>
                </c:pt>
                <c:pt idx="41">
                  <c:v>-0.36096600000000001</c:v>
                </c:pt>
                <c:pt idx="42">
                  <c:v>-0.36851200000000001</c:v>
                </c:pt>
                <c:pt idx="43">
                  <c:v>-0.36489199999999999</c:v>
                </c:pt>
                <c:pt idx="44">
                  <c:v>-0.372722</c:v>
                </c:pt>
                <c:pt idx="45">
                  <c:v>-0.38312499999999999</c:v>
                </c:pt>
                <c:pt idx="46">
                  <c:v>-0.39354899999999998</c:v>
                </c:pt>
                <c:pt idx="47">
                  <c:v>-0.40820200000000001</c:v>
                </c:pt>
                <c:pt idx="48">
                  <c:v>-0.40010400000000002</c:v>
                </c:pt>
                <c:pt idx="49">
                  <c:v>-0.39248100000000002</c:v>
                </c:pt>
                <c:pt idx="50">
                  <c:v>-0.40634100000000001</c:v>
                </c:pt>
                <c:pt idx="51">
                  <c:v>-0.39248499999999997</c:v>
                </c:pt>
                <c:pt idx="52">
                  <c:v>-0.36869400000000002</c:v>
                </c:pt>
                <c:pt idx="53">
                  <c:v>-0.40457900000000002</c:v>
                </c:pt>
                <c:pt idx="54">
                  <c:v>-0.40481800000000001</c:v>
                </c:pt>
                <c:pt idx="55">
                  <c:v>-0.38601799999999997</c:v>
                </c:pt>
                <c:pt idx="56">
                  <c:v>-0.40213300000000002</c:v>
                </c:pt>
                <c:pt idx="57">
                  <c:v>-0.41871900000000001</c:v>
                </c:pt>
                <c:pt idx="58">
                  <c:v>-0.40346599999999999</c:v>
                </c:pt>
                <c:pt idx="59">
                  <c:v>-0.39101999999999998</c:v>
                </c:pt>
                <c:pt idx="60">
                  <c:v>-0.412273</c:v>
                </c:pt>
                <c:pt idx="61">
                  <c:v>-0.42258299999999999</c:v>
                </c:pt>
                <c:pt idx="62">
                  <c:v>-0.432641</c:v>
                </c:pt>
                <c:pt idx="63">
                  <c:v>-0.448994</c:v>
                </c:pt>
                <c:pt idx="64">
                  <c:v>-0.46648099999999998</c:v>
                </c:pt>
                <c:pt idx="65">
                  <c:v>-0.47080499999999997</c:v>
                </c:pt>
                <c:pt idx="66">
                  <c:v>-0.47578100000000001</c:v>
                </c:pt>
                <c:pt idx="67">
                  <c:v>-0.490342</c:v>
                </c:pt>
                <c:pt idx="68">
                  <c:v>-0.48724400000000001</c:v>
                </c:pt>
                <c:pt idx="69">
                  <c:v>-0.48951</c:v>
                </c:pt>
                <c:pt idx="70">
                  <c:v>-0.49984800000000001</c:v>
                </c:pt>
                <c:pt idx="71">
                  <c:v>-0.50240399999999996</c:v>
                </c:pt>
                <c:pt idx="72">
                  <c:v>-0.50255700000000003</c:v>
                </c:pt>
                <c:pt idx="73">
                  <c:v>-0.51526400000000006</c:v>
                </c:pt>
                <c:pt idx="74">
                  <c:v>-0.51822400000000002</c:v>
                </c:pt>
                <c:pt idx="75">
                  <c:v>-0.53306200000000004</c:v>
                </c:pt>
                <c:pt idx="76">
                  <c:v>-0.54713800000000001</c:v>
                </c:pt>
                <c:pt idx="77">
                  <c:v>-0.558145</c:v>
                </c:pt>
                <c:pt idx="78">
                  <c:v>-0.57237199999999999</c:v>
                </c:pt>
                <c:pt idx="79">
                  <c:v>-0.55362599999999995</c:v>
                </c:pt>
                <c:pt idx="80">
                  <c:v>-0.59017200000000003</c:v>
                </c:pt>
                <c:pt idx="81">
                  <c:v>-0.60390900000000003</c:v>
                </c:pt>
                <c:pt idx="82">
                  <c:v>-0.644486</c:v>
                </c:pt>
                <c:pt idx="83">
                  <c:v>-0.65019800000000005</c:v>
                </c:pt>
                <c:pt idx="84">
                  <c:v>-0.68172200000000005</c:v>
                </c:pt>
                <c:pt idx="85">
                  <c:v>-0.67336300000000004</c:v>
                </c:pt>
                <c:pt idx="86">
                  <c:v>-0.71692299999999998</c:v>
                </c:pt>
                <c:pt idx="87">
                  <c:v>-0.725406</c:v>
                </c:pt>
                <c:pt idx="88">
                  <c:v>-0.739228</c:v>
                </c:pt>
                <c:pt idx="89">
                  <c:v>-0.75831599999999999</c:v>
                </c:pt>
                <c:pt idx="90">
                  <c:v>-0.77681599999999995</c:v>
                </c:pt>
                <c:pt idx="91">
                  <c:v>-0.78801100000000002</c:v>
                </c:pt>
                <c:pt idx="92">
                  <c:v>-0.79188599999999998</c:v>
                </c:pt>
                <c:pt idx="93">
                  <c:v>-0.77707000000000004</c:v>
                </c:pt>
                <c:pt idx="94">
                  <c:v>-0.80386800000000003</c:v>
                </c:pt>
                <c:pt idx="95">
                  <c:v>-0.80167900000000003</c:v>
                </c:pt>
                <c:pt idx="96">
                  <c:v>-0.81172500000000003</c:v>
                </c:pt>
                <c:pt idx="97">
                  <c:v>-0.81866300000000003</c:v>
                </c:pt>
                <c:pt idx="98">
                  <c:v>-0.82408499999999996</c:v>
                </c:pt>
                <c:pt idx="99">
                  <c:v>-0.83884199999999998</c:v>
                </c:pt>
                <c:pt idx="100">
                  <c:v>-0.82979400000000003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721-344F-B60A-C69F3AD96DC7}"/>
            </c:ext>
          </c:extLst>
        </c:ser>
        <c:ser>
          <c:idx val="2"/>
          <c:order val="2"/>
          <c:tx>
            <c:strRef>
              <c:f>'Delta Trends'!$P$2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Trends'!$P$3:$P$104</c:f>
              <c:numCache>
                <c:formatCode>General</c:formatCode>
                <c:ptCount val="102"/>
                <c:pt idx="0">
                  <c:v>0</c:v>
                </c:pt>
                <c:pt idx="1">
                  <c:v>-4.2195000000000003E-2</c:v>
                </c:pt>
                <c:pt idx="2">
                  <c:v>-3.8510000000000003E-2</c:v>
                </c:pt>
                <c:pt idx="3">
                  <c:v>-6.7956000000000003E-2</c:v>
                </c:pt>
                <c:pt idx="4">
                  <c:v>-6.3217999999999996E-2</c:v>
                </c:pt>
                <c:pt idx="5">
                  <c:v>-6.2233999999999998E-2</c:v>
                </c:pt>
                <c:pt idx="6">
                  <c:v>-3.9211999999999997E-2</c:v>
                </c:pt>
                <c:pt idx="7">
                  <c:v>-2.2676999999999999E-2</c:v>
                </c:pt>
                <c:pt idx="8">
                  <c:v>-0.12575500000000001</c:v>
                </c:pt>
                <c:pt idx="9">
                  <c:v>-0.15018599999999999</c:v>
                </c:pt>
                <c:pt idx="10">
                  <c:v>-0.12650400000000001</c:v>
                </c:pt>
                <c:pt idx="11">
                  <c:v>-0.158438</c:v>
                </c:pt>
                <c:pt idx="12">
                  <c:v>-0.14335300000000001</c:v>
                </c:pt>
                <c:pt idx="13">
                  <c:v>-0.17466699999999999</c:v>
                </c:pt>
                <c:pt idx="14">
                  <c:v>-0.179087</c:v>
                </c:pt>
                <c:pt idx="15">
                  <c:v>-0.19306400000000001</c:v>
                </c:pt>
                <c:pt idx="16">
                  <c:v>-0.24734600000000001</c:v>
                </c:pt>
                <c:pt idx="17">
                  <c:v>-0.236538</c:v>
                </c:pt>
                <c:pt idx="18">
                  <c:v>-0.24395800000000001</c:v>
                </c:pt>
                <c:pt idx="19">
                  <c:v>-0.26088099999999997</c:v>
                </c:pt>
                <c:pt idx="20">
                  <c:v>-0.30307800000000001</c:v>
                </c:pt>
                <c:pt idx="21">
                  <c:v>-0.261938</c:v>
                </c:pt>
                <c:pt idx="22">
                  <c:v>-0.224</c:v>
                </c:pt>
                <c:pt idx="23">
                  <c:v>-0.20919699999999999</c:v>
                </c:pt>
                <c:pt idx="24">
                  <c:v>-0.24826300000000001</c:v>
                </c:pt>
                <c:pt idx="25">
                  <c:v>-0.26003799999999999</c:v>
                </c:pt>
                <c:pt idx="26">
                  <c:v>-0.25663000000000002</c:v>
                </c:pt>
                <c:pt idx="27">
                  <c:v>-0.25434800000000002</c:v>
                </c:pt>
                <c:pt idx="28">
                  <c:v>-0.24912500000000001</c:v>
                </c:pt>
                <c:pt idx="29">
                  <c:v>-0.274644</c:v>
                </c:pt>
                <c:pt idx="30">
                  <c:v>-0.27569500000000002</c:v>
                </c:pt>
                <c:pt idx="31">
                  <c:v>-0.26244800000000001</c:v>
                </c:pt>
                <c:pt idx="32">
                  <c:v>-0.29939500000000002</c:v>
                </c:pt>
                <c:pt idx="33">
                  <c:v>-0.30960700000000002</c:v>
                </c:pt>
                <c:pt idx="34">
                  <c:v>-0.34096199999999999</c:v>
                </c:pt>
                <c:pt idx="35">
                  <c:v>-0.36950300000000003</c:v>
                </c:pt>
                <c:pt idx="36">
                  <c:v>-0.36530600000000002</c:v>
                </c:pt>
                <c:pt idx="37">
                  <c:v>-0.38255899999999998</c:v>
                </c:pt>
                <c:pt idx="38">
                  <c:v>-0.40549800000000003</c:v>
                </c:pt>
                <c:pt idx="39">
                  <c:v>-0.4118</c:v>
                </c:pt>
                <c:pt idx="40">
                  <c:v>-0.41584300000000002</c:v>
                </c:pt>
                <c:pt idx="41">
                  <c:v>-0.41927500000000001</c:v>
                </c:pt>
                <c:pt idx="42">
                  <c:v>-0.440971</c:v>
                </c:pt>
                <c:pt idx="43">
                  <c:v>-0.44249899999999998</c:v>
                </c:pt>
                <c:pt idx="44">
                  <c:v>-0.462783</c:v>
                </c:pt>
                <c:pt idx="45">
                  <c:v>-0.473665</c:v>
                </c:pt>
                <c:pt idx="46">
                  <c:v>-0.48042299999999999</c:v>
                </c:pt>
                <c:pt idx="47">
                  <c:v>-0.49143599999999998</c:v>
                </c:pt>
                <c:pt idx="48">
                  <c:v>-0.48883799999999999</c:v>
                </c:pt>
                <c:pt idx="49">
                  <c:v>-0.48924899999999999</c:v>
                </c:pt>
                <c:pt idx="50">
                  <c:v>-0.50331999999999999</c:v>
                </c:pt>
                <c:pt idx="51">
                  <c:v>-0.487485</c:v>
                </c:pt>
                <c:pt idx="52">
                  <c:v>-0.48673699999999998</c:v>
                </c:pt>
                <c:pt idx="53">
                  <c:v>-0.53009300000000004</c:v>
                </c:pt>
                <c:pt idx="54">
                  <c:v>-0.51275099999999996</c:v>
                </c:pt>
                <c:pt idx="55">
                  <c:v>-0.47083199999999997</c:v>
                </c:pt>
                <c:pt idx="56">
                  <c:v>-0.49821799999999999</c:v>
                </c:pt>
                <c:pt idx="57">
                  <c:v>-0.53182099999999999</c:v>
                </c:pt>
                <c:pt idx="58">
                  <c:v>-0.53503900000000004</c:v>
                </c:pt>
                <c:pt idx="59">
                  <c:v>-0.54059999999999997</c:v>
                </c:pt>
                <c:pt idx="60">
                  <c:v>-0.55841799999999997</c:v>
                </c:pt>
                <c:pt idx="61">
                  <c:v>-0.62715299999999996</c:v>
                </c:pt>
                <c:pt idx="62">
                  <c:v>-0.62482400000000005</c:v>
                </c:pt>
                <c:pt idx="63">
                  <c:v>-0.64488699999999999</c:v>
                </c:pt>
                <c:pt idx="64">
                  <c:v>-0.62040700000000004</c:v>
                </c:pt>
                <c:pt idx="65">
                  <c:v>-0.65446400000000005</c:v>
                </c:pt>
                <c:pt idx="66">
                  <c:v>-0.65641799999999995</c:v>
                </c:pt>
                <c:pt idx="67">
                  <c:v>-0.72869899999999999</c:v>
                </c:pt>
                <c:pt idx="68">
                  <c:v>-0.74085699999999999</c:v>
                </c:pt>
                <c:pt idx="69">
                  <c:v>-0.69103300000000001</c:v>
                </c:pt>
                <c:pt idx="70">
                  <c:v>-0.70980399999999999</c:v>
                </c:pt>
                <c:pt idx="71">
                  <c:v>-0.75782899999999997</c:v>
                </c:pt>
                <c:pt idx="72">
                  <c:v>-0.711758</c:v>
                </c:pt>
                <c:pt idx="73">
                  <c:v>-0.6764</c:v>
                </c:pt>
                <c:pt idx="74">
                  <c:v>-0.656837</c:v>
                </c:pt>
                <c:pt idx="75">
                  <c:v>-0.70498899999999998</c:v>
                </c:pt>
                <c:pt idx="76">
                  <c:v>-0.73309100000000005</c:v>
                </c:pt>
                <c:pt idx="77">
                  <c:v>-0.74568299999999998</c:v>
                </c:pt>
                <c:pt idx="78">
                  <c:v>-0.76316899999999999</c:v>
                </c:pt>
                <c:pt idx="79">
                  <c:v>-0.772401</c:v>
                </c:pt>
                <c:pt idx="80">
                  <c:v>-0.84904400000000002</c:v>
                </c:pt>
                <c:pt idx="81">
                  <c:v>-0.81281000000000003</c:v>
                </c:pt>
                <c:pt idx="82">
                  <c:v>-0.80379100000000003</c:v>
                </c:pt>
                <c:pt idx="83">
                  <c:v>-0.86345099999999997</c:v>
                </c:pt>
                <c:pt idx="84">
                  <c:v>-0.87556100000000003</c:v>
                </c:pt>
                <c:pt idx="85">
                  <c:v>-0.81308100000000005</c:v>
                </c:pt>
                <c:pt idx="86">
                  <c:v>-0.68201299999999998</c:v>
                </c:pt>
                <c:pt idx="87">
                  <c:v>-0.67944899999999997</c:v>
                </c:pt>
                <c:pt idx="88">
                  <c:v>-0.68435599999999996</c:v>
                </c:pt>
                <c:pt idx="89">
                  <c:v>-0.63835900000000001</c:v>
                </c:pt>
                <c:pt idx="90">
                  <c:v>-0.66914099999999999</c:v>
                </c:pt>
                <c:pt idx="91">
                  <c:v>-0.69115499999999996</c:v>
                </c:pt>
                <c:pt idx="92">
                  <c:v>-0.70630800000000005</c:v>
                </c:pt>
                <c:pt idx="93">
                  <c:v>-0.69347999999999999</c:v>
                </c:pt>
                <c:pt idx="94">
                  <c:v>-0.71768600000000005</c:v>
                </c:pt>
                <c:pt idx="95">
                  <c:v>-0.74484899999999998</c:v>
                </c:pt>
                <c:pt idx="96">
                  <c:v>-0.73404000000000003</c:v>
                </c:pt>
                <c:pt idx="97">
                  <c:v>-0.76424700000000001</c:v>
                </c:pt>
                <c:pt idx="98">
                  <c:v>-0.78142800000000001</c:v>
                </c:pt>
                <c:pt idx="99">
                  <c:v>-0.80385799999999996</c:v>
                </c:pt>
                <c:pt idx="100">
                  <c:v>-0.80690899999999999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721-344F-B60A-C69F3AD96DC7}"/>
            </c:ext>
          </c:extLst>
        </c:ser>
        <c:ser>
          <c:idx val="3"/>
          <c:order val="3"/>
          <c:tx>
            <c:strRef>
              <c:f>'Delta Trends'!$Q$2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Trends'!$Q$3:$Q$104</c:f>
              <c:numCache>
                <c:formatCode>General</c:formatCode>
                <c:ptCount val="102"/>
                <c:pt idx="0">
                  <c:v>0</c:v>
                </c:pt>
                <c:pt idx="1">
                  <c:v>-3.7443999999999998E-2</c:v>
                </c:pt>
                <c:pt idx="2">
                  <c:v>-2.4438000000000001E-2</c:v>
                </c:pt>
                <c:pt idx="3">
                  <c:v>-7.1870000000000003E-2</c:v>
                </c:pt>
                <c:pt idx="4">
                  <c:v>-0.118132</c:v>
                </c:pt>
                <c:pt idx="5">
                  <c:v>-0.130777</c:v>
                </c:pt>
                <c:pt idx="6">
                  <c:v>-0.15517900000000001</c:v>
                </c:pt>
                <c:pt idx="7">
                  <c:v>-0.175234</c:v>
                </c:pt>
                <c:pt idx="8">
                  <c:v>-0.14640700000000001</c:v>
                </c:pt>
                <c:pt idx="9">
                  <c:v>-0.19422900000000001</c:v>
                </c:pt>
                <c:pt idx="10">
                  <c:v>-0.26458900000000002</c:v>
                </c:pt>
                <c:pt idx="11">
                  <c:v>-0.30092400000000002</c:v>
                </c:pt>
                <c:pt idx="12">
                  <c:v>-0.30837700000000001</c:v>
                </c:pt>
                <c:pt idx="13">
                  <c:v>-0.31731399999999998</c:v>
                </c:pt>
                <c:pt idx="14">
                  <c:v>-0.34924300000000003</c:v>
                </c:pt>
                <c:pt idx="15">
                  <c:v>-0.37307899999999999</c:v>
                </c:pt>
                <c:pt idx="16">
                  <c:v>-0.414466</c:v>
                </c:pt>
                <c:pt idx="17">
                  <c:v>-0.443442</c:v>
                </c:pt>
                <c:pt idx="18">
                  <c:v>-0.458646</c:v>
                </c:pt>
                <c:pt idx="19">
                  <c:v>-0.464839</c:v>
                </c:pt>
                <c:pt idx="20">
                  <c:v>-0.47647699999999998</c:v>
                </c:pt>
                <c:pt idx="21">
                  <c:v>-0.48299700000000001</c:v>
                </c:pt>
                <c:pt idx="22">
                  <c:v>-0.48670400000000003</c:v>
                </c:pt>
                <c:pt idx="23">
                  <c:v>-0.50530699999999995</c:v>
                </c:pt>
                <c:pt idx="24">
                  <c:v>-0.51701799999999998</c:v>
                </c:pt>
                <c:pt idx="25">
                  <c:v>-0.52535500000000002</c:v>
                </c:pt>
                <c:pt idx="26">
                  <c:v>-0.52932500000000005</c:v>
                </c:pt>
                <c:pt idx="27">
                  <c:v>-0.53509099999999998</c:v>
                </c:pt>
                <c:pt idx="28">
                  <c:v>-0.539381</c:v>
                </c:pt>
                <c:pt idx="29">
                  <c:v>-0.54273499999999997</c:v>
                </c:pt>
                <c:pt idx="30">
                  <c:v>-0.541995</c:v>
                </c:pt>
                <c:pt idx="31">
                  <c:v>-0.55154199999999998</c:v>
                </c:pt>
                <c:pt idx="32">
                  <c:v>-0.587418</c:v>
                </c:pt>
                <c:pt idx="33">
                  <c:v>-0.60026400000000002</c:v>
                </c:pt>
                <c:pt idx="34">
                  <c:v>-0.623116</c:v>
                </c:pt>
                <c:pt idx="35">
                  <c:v>-0.63135399999999997</c:v>
                </c:pt>
                <c:pt idx="36">
                  <c:v>-0.65187300000000004</c:v>
                </c:pt>
                <c:pt idx="37">
                  <c:v>-0.65666500000000005</c:v>
                </c:pt>
                <c:pt idx="38">
                  <c:v>-0.67499200000000004</c:v>
                </c:pt>
                <c:pt idx="39">
                  <c:v>-0.67146899999999998</c:v>
                </c:pt>
                <c:pt idx="40">
                  <c:v>-0.68995200000000001</c:v>
                </c:pt>
                <c:pt idx="41">
                  <c:v>-0.69785799999999998</c:v>
                </c:pt>
                <c:pt idx="42">
                  <c:v>-0.70249499999999998</c:v>
                </c:pt>
                <c:pt idx="43">
                  <c:v>-0.65621600000000002</c:v>
                </c:pt>
                <c:pt idx="44">
                  <c:v>-0.67939300000000002</c:v>
                </c:pt>
                <c:pt idx="45">
                  <c:v>-0.68701800000000002</c:v>
                </c:pt>
                <c:pt idx="46">
                  <c:v>-0.69238500000000003</c:v>
                </c:pt>
                <c:pt idx="47">
                  <c:v>-0.70479700000000001</c:v>
                </c:pt>
                <c:pt idx="48">
                  <c:v>-0.70144899999999999</c:v>
                </c:pt>
                <c:pt idx="49">
                  <c:v>-0.70472999999999997</c:v>
                </c:pt>
                <c:pt idx="50">
                  <c:v>-0.73250800000000005</c:v>
                </c:pt>
                <c:pt idx="51">
                  <c:v>-0.732043</c:v>
                </c:pt>
                <c:pt idx="52">
                  <c:v>-0.74330399999999996</c:v>
                </c:pt>
                <c:pt idx="53">
                  <c:v>-0.75803299999999996</c:v>
                </c:pt>
                <c:pt idx="54">
                  <c:v>-0.75578699999999999</c:v>
                </c:pt>
                <c:pt idx="55">
                  <c:v>-0.76454599999999995</c:v>
                </c:pt>
                <c:pt idx="56">
                  <c:v>-0.75387099999999996</c:v>
                </c:pt>
                <c:pt idx="57">
                  <c:v>-0.77170000000000005</c:v>
                </c:pt>
                <c:pt idx="58">
                  <c:v>-0.79856000000000005</c:v>
                </c:pt>
                <c:pt idx="59">
                  <c:v>-0.80388899999999996</c:v>
                </c:pt>
                <c:pt idx="60">
                  <c:v>-0.79589299999999996</c:v>
                </c:pt>
                <c:pt idx="61">
                  <c:v>-0.81758399999999998</c:v>
                </c:pt>
                <c:pt idx="62">
                  <c:v>-0.80168899999999998</c:v>
                </c:pt>
                <c:pt idx="63">
                  <c:v>-0.83098899999999998</c:v>
                </c:pt>
                <c:pt idx="64">
                  <c:v>-0.83727200000000002</c:v>
                </c:pt>
                <c:pt idx="65">
                  <c:v>-0.84332700000000005</c:v>
                </c:pt>
                <c:pt idx="66">
                  <c:v>-0.84636500000000003</c:v>
                </c:pt>
                <c:pt idx="67">
                  <c:v>-0.85285699999999998</c:v>
                </c:pt>
                <c:pt idx="68">
                  <c:v>-0.85322900000000002</c:v>
                </c:pt>
                <c:pt idx="69">
                  <c:v>-0.84876799999999997</c:v>
                </c:pt>
                <c:pt idx="70">
                  <c:v>-0.86388799999999999</c:v>
                </c:pt>
                <c:pt idx="71">
                  <c:v>-0.88186699999999996</c:v>
                </c:pt>
                <c:pt idx="72">
                  <c:v>-0.87280500000000005</c:v>
                </c:pt>
                <c:pt idx="73">
                  <c:v>-0.90952999999999995</c:v>
                </c:pt>
                <c:pt idx="74">
                  <c:v>-0.90146599999999999</c:v>
                </c:pt>
                <c:pt idx="75">
                  <c:v>-0.91045100000000001</c:v>
                </c:pt>
                <c:pt idx="76">
                  <c:v>-0.94250500000000004</c:v>
                </c:pt>
                <c:pt idx="77">
                  <c:v>-0.95722700000000005</c:v>
                </c:pt>
                <c:pt idx="78">
                  <c:v>-0.92420800000000003</c:v>
                </c:pt>
                <c:pt idx="79">
                  <c:v>-0.924346</c:v>
                </c:pt>
                <c:pt idx="80">
                  <c:v>-1.000078</c:v>
                </c:pt>
                <c:pt idx="81">
                  <c:v>-0.979321</c:v>
                </c:pt>
                <c:pt idx="82">
                  <c:v>-1.007185</c:v>
                </c:pt>
                <c:pt idx="83">
                  <c:v>-1.025061</c:v>
                </c:pt>
                <c:pt idx="84">
                  <c:v>-1.04674</c:v>
                </c:pt>
                <c:pt idx="85">
                  <c:v>-1.0229220000000001</c:v>
                </c:pt>
                <c:pt idx="86">
                  <c:v>-1.050602</c:v>
                </c:pt>
                <c:pt idx="87">
                  <c:v>-1.0415000000000001</c:v>
                </c:pt>
                <c:pt idx="88">
                  <c:v>-1.0558529999999999</c:v>
                </c:pt>
                <c:pt idx="89">
                  <c:v>-1.075483</c:v>
                </c:pt>
                <c:pt idx="90">
                  <c:v>-1.0898969999999999</c:v>
                </c:pt>
                <c:pt idx="91">
                  <c:v>-1.080894</c:v>
                </c:pt>
                <c:pt idx="92">
                  <c:v>-1.0838540000000001</c:v>
                </c:pt>
                <c:pt idx="93">
                  <c:v>-1.0585370000000001</c:v>
                </c:pt>
                <c:pt idx="94">
                  <c:v>-1.085081</c:v>
                </c:pt>
                <c:pt idx="95">
                  <c:v>-1.078031</c:v>
                </c:pt>
                <c:pt idx="96">
                  <c:v>-1.093186</c:v>
                </c:pt>
                <c:pt idx="97">
                  <c:v>-1.1125659999999999</c:v>
                </c:pt>
                <c:pt idx="98">
                  <c:v>-1.0953489999999999</c:v>
                </c:pt>
                <c:pt idx="99">
                  <c:v>-1.1221289999999999</c:v>
                </c:pt>
                <c:pt idx="100">
                  <c:v>-1.104663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721-344F-B60A-C69F3AD96D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PRO 60 nodes</a:t>
            </a:r>
          </a:p>
        </c:rich>
      </c:tx>
      <c:layout>
        <c:manualLayout>
          <c:xMode val="edge"/>
          <c:yMode val="edge"/>
          <c:x val="0.27498657407407406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'Delta Trends'!$T$2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Trends'!$T$3:$T$64</c:f>
              <c:numCache>
                <c:formatCode>General</c:formatCode>
                <c:ptCount val="62"/>
                <c:pt idx="0">
                  <c:v>0</c:v>
                </c:pt>
                <c:pt idx="1">
                  <c:v>-7.9360000000000003E-3</c:v>
                </c:pt>
                <c:pt idx="2">
                  <c:v>-1.451E-2</c:v>
                </c:pt>
                <c:pt idx="3">
                  <c:v>-1.4592000000000001E-2</c:v>
                </c:pt>
                <c:pt idx="4">
                  <c:v>-1.7070999999999999E-2</c:v>
                </c:pt>
                <c:pt idx="5">
                  <c:v>-4.5009E-2</c:v>
                </c:pt>
                <c:pt idx="6">
                  <c:v>-4.6226000000000003E-2</c:v>
                </c:pt>
                <c:pt idx="7">
                  <c:v>-5.2801000000000001E-2</c:v>
                </c:pt>
                <c:pt idx="8">
                  <c:v>-5.5011999999999998E-2</c:v>
                </c:pt>
                <c:pt idx="9">
                  <c:v>-5.7324E-2</c:v>
                </c:pt>
                <c:pt idx="10">
                  <c:v>-8.6111999999999994E-2</c:v>
                </c:pt>
                <c:pt idx="11">
                  <c:v>-9.5651E-2</c:v>
                </c:pt>
                <c:pt idx="12">
                  <c:v>-0.105111</c:v>
                </c:pt>
                <c:pt idx="13">
                  <c:v>-0.11129799999999999</c:v>
                </c:pt>
                <c:pt idx="14">
                  <c:v>-0.13996700000000001</c:v>
                </c:pt>
                <c:pt idx="15">
                  <c:v>-0.153696</c:v>
                </c:pt>
                <c:pt idx="16">
                  <c:v>-0.175841</c:v>
                </c:pt>
                <c:pt idx="17">
                  <c:v>-0.186971</c:v>
                </c:pt>
                <c:pt idx="18">
                  <c:v>-0.19258</c:v>
                </c:pt>
                <c:pt idx="19">
                  <c:v>-0.20146</c:v>
                </c:pt>
                <c:pt idx="20">
                  <c:v>-0.204065</c:v>
                </c:pt>
                <c:pt idx="21">
                  <c:v>-0.18062900000000001</c:v>
                </c:pt>
                <c:pt idx="22">
                  <c:v>-0.17929</c:v>
                </c:pt>
                <c:pt idx="23">
                  <c:v>-0.190612</c:v>
                </c:pt>
                <c:pt idx="24">
                  <c:v>-0.19714899999999999</c:v>
                </c:pt>
                <c:pt idx="25">
                  <c:v>-0.20255999999999999</c:v>
                </c:pt>
                <c:pt idx="26">
                  <c:v>-0.20824000000000001</c:v>
                </c:pt>
                <c:pt idx="27">
                  <c:v>-0.22294700000000001</c:v>
                </c:pt>
                <c:pt idx="28">
                  <c:v>-0.224742</c:v>
                </c:pt>
                <c:pt idx="29">
                  <c:v>-0.22936100000000001</c:v>
                </c:pt>
                <c:pt idx="30">
                  <c:v>-0.22261900000000001</c:v>
                </c:pt>
                <c:pt idx="31">
                  <c:v>-0.228579</c:v>
                </c:pt>
                <c:pt idx="32">
                  <c:v>-0.23565</c:v>
                </c:pt>
                <c:pt idx="33">
                  <c:v>-0.24266299999999999</c:v>
                </c:pt>
                <c:pt idx="34">
                  <c:v>-0.24660299999999999</c:v>
                </c:pt>
                <c:pt idx="35">
                  <c:v>-0.26374500000000001</c:v>
                </c:pt>
                <c:pt idx="36">
                  <c:v>-0.27997499999999997</c:v>
                </c:pt>
                <c:pt idx="37">
                  <c:v>-0.29628300000000002</c:v>
                </c:pt>
                <c:pt idx="38">
                  <c:v>-0.31431799999999999</c:v>
                </c:pt>
                <c:pt idx="39">
                  <c:v>-0.32800000000000001</c:v>
                </c:pt>
                <c:pt idx="40">
                  <c:v>-0.33194299999999999</c:v>
                </c:pt>
                <c:pt idx="41">
                  <c:v>-0.336399</c:v>
                </c:pt>
                <c:pt idx="42">
                  <c:v>-0.33431499999999997</c:v>
                </c:pt>
                <c:pt idx="43">
                  <c:v>-0.34103699999999998</c:v>
                </c:pt>
                <c:pt idx="44">
                  <c:v>-0.35408200000000001</c:v>
                </c:pt>
                <c:pt idx="45">
                  <c:v>-0.36062300000000003</c:v>
                </c:pt>
                <c:pt idx="46">
                  <c:v>-0.37020700000000001</c:v>
                </c:pt>
                <c:pt idx="47">
                  <c:v>-0.36842200000000003</c:v>
                </c:pt>
                <c:pt idx="48">
                  <c:v>-0.37426300000000001</c:v>
                </c:pt>
                <c:pt idx="49">
                  <c:v>-0.37868800000000002</c:v>
                </c:pt>
                <c:pt idx="50">
                  <c:v>-0.38633200000000001</c:v>
                </c:pt>
                <c:pt idx="51">
                  <c:v>-0.40845599999999999</c:v>
                </c:pt>
                <c:pt idx="52">
                  <c:v>-0.42069000000000001</c:v>
                </c:pt>
                <c:pt idx="53">
                  <c:v>-0.37255199999999999</c:v>
                </c:pt>
                <c:pt idx="54">
                  <c:v>-0.39048100000000002</c:v>
                </c:pt>
                <c:pt idx="55">
                  <c:v>-0.39364399999999999</c:v>
                </c:pt>
                <c:pt idx="56">
                  <c:v>-0.400169</c:v>
                </c:pt>
                <c:pt idx="57">
                  <c:v>-0.405335</c:v>
                </c:pt>
                <c:pt idx="58">
                  <c:v>-0.40960299999999999</c:v>
                </c:pt>
                <c:pt idx="59">
                  <c:v>-0.40230100000000002</c:v>
                </c:pt>
                <c:pt idx="60">
                  <c:v>-0.40472200000000003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99E-0549-ABFB-1304DF2A8C7F}"/>
            </c:ext>
          </c:extLst>
        </c:ser>
        <c:ser>
          <c:idx val="1"/>
          <c:order val="1"/>
          <c:tx>
            <c:strRef>
              <c:f>'Delta Trends'!$U$2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Trends'!$U$3:$U$64</c:f>
              <c:numCache>
                <c:formatCode>General</c:formatCode>
                <c:ptCount val="62"/>
                <c:pt idx="0">
                  <c:v>0</c:v>
                </c:pt>
                <c:pt idx="1">
                  <c:v>-2.794E-3</c:v>
                </c:pt>
                <c:pt idx="2">
                  <c:v>6.6799999999999997E-4</c:v>
                </c:pt>
                <c:pt idx="3">
                  <c:v>1.841E-3</c:v>
                </c:pt>
                <c:pt idx="4">
                  <c:v>1.2389000000000001E-2</c:v>
                </c:pt>
                <c:pt idx="5">
                  <c:v>-3.9439999999999996E-3</c:v>
                </c:pt>
                <c:pt idx="6">
                  <c:v>5.9379999999999997E-3</c:v>
                </c:pt>
                <c:pt idx="7">
                  <c:v>1.3417999999999999E-2</c:v>
                </c:pt>
                <c:pt idx="8">
                  <c:v>1.0737E-2</c:v>
                </c:pt>
                <c:pt idx="9">
                  <c:v>9.2549999999999993E-3</c:v>
                </c:pt>
                <c:pt idx="10">
                  <c:v>2.5460000000000001E-3</c:v>
                </c:pt>
                <c:pt idx="11">
                  <c:v>5.757E-3</c:v>
                </c:pt>
                <c:pt idx="12">
                  <c:v>9.4799999999999995E-4</c:v>
                </c:pt>
                <c:pt idx="13">
                  <c:v>-1.1969999999999999E-3</c:v>
                </c:pt>
                <c:pt idx="14">
                  <c:v>-7.9100000000000004E-3</c:v>
                </c:pt>
                <c:pt idx="15">
                  <c:v>-4.7460000000000002E-3</c:v>
                </c:pt>
                <c:pt idx="16">
                  <c:v>-1.4189999999999999E-3</c:v>
                </c:pt>
                <c:pt idx="17">
                  <c:v>-4.6319999999999998E-3</c:v>
                </c:pt>
                <c:pt idx="18">
                  <c:v>1.2279999999999999E-3</c:v>
                </c:pt>
                <c:pt idx="19">
                  <c:v>2.6719999999999999E-3</c:v>
                </c:pt>
                <c:pt idx="20">
                  <c:v>-1.884E-3</c:v>
                </c:pt>
                <c:pt idx="21">
                  <c:v>8.0199999999999994E-3</c:v>
                </c:pt>
                <c:pt idx="22">
                  <c:v>1.8089000000000001E-2</c:v>
                </c:pt>
                <c:pt idx="23">
                  <c:v>1.3979999999999999E-2</c:v>
                </c:pt>
                <c:pt idx="24">
                  <c:v>1.3184E-2</c:v>
                </c:pt>
                <c:pt idx="25">
                  <c:v>2.8367E-2</c:v>
                </c:pt>
                <c:pt idx="26">
                  <c:v>3.1583E-2</c:v>
                </c:pt>
                <c:pt idx="27">
                  <c:v>1.3341E-2</c:v>
                </c:pt>
                <c:pt idx="28">
                  <c:v>1.4536E-2</c:v>
                </c:pt>
                <c:pt idx="29">
                  <c:v>2.2327E-2</c:v>
                </c:pt>
                <c:pt idx="30">
                  <c:v>2.1309999999999999E-2</c:v>
                </c:pt>
                <c:pt idx="31">
                  <c:v>2.4292000000000001E-2</c:v>
                </c:pt>
                <c:pt idx="32">
                  <c:v>2.0836E-2</c:v>
                </c:pt>
                <c:pt idx="33">
                  <c:v>2.2245999999999998E-2</c:v>
                </c:pt>
                <c:pt idx="34">
                  <c:v>2.4988E-2</c:v>
                </c:pt>
                <c:pt idx="35">
                  <c:v>-9.6539999999999994E-3</c:v>
                </c:pt>
                <c:pt idx="36">
                  <c:v>-2.9588E-2</c:v>
                </c:pt>
                <c:pt idx="37">
                  <c:v>-2.5978000000000001E-2</c:v>
                </c:pt>
                <c:pt idx="38">
                  <c:v>-2.5464000000000001E-2</c:v>
                </c:pt>
                <c:pt idx="39">
                  <c:v>-2.5059000000000001E-2</c:v>
                </c:pt>
                <c:pt idx="40">
                  <c:v>-2.1568E-2</c:v>
                </c:pt>
                <c:pt idx="41">
                  <c:v>-0.11808399999999999</c:v>
                </c:pt>
                <c:pt idx="42">
                  <c:v>-0.126639</c:v>
                </c:pt>
                <c:pt idx="43">
                  <c:v>-0.122863</c:v>
                </c:pt>
                <c:pt idx="44">
                  <c:v>-0.127775</c:v>
                </c:pt>
                <c:pt idx="45">
                  <c:v>-0.12617700000000001</c:v>
                </c:pt>
                <c:pt idx="46">
                  <c:v>-0.12659599999999999</c:v>
                </c:pt>
                <c:pt idx="47">
                  <c:v>-0.129001</c:v>
                </c:pt>
                <c:pt idx="48">
                  <c:v>-0.136517</c:v>
                </c:pt>
                <c:pt idx="49">
                  <c:v>-0.13631299999999999</c:v>
                </c:pt>
                <c:pt idx="50">
                  <c:v>-0.12388299999999999</c:v>
                </c:pt>
                <c:pt idx="51">
                  <c:v>-0.119895</c:v>
                </c:pt>
                <c:pt idx="52">
                  <c:v>-0.12640499999999999</c:v>
                </c:pt>
                <c:pt idx="53">
                  <c:v>-0.14791799999999999</c:v>
                </c:pt>
                <c:pt idx="54">
                  <c:v>-0.16298399999999999</c:v>
                </c:pt>
                <c:pt idx="55">
                  <c:v>-0.15869900000000001</c:v>
                </c:pt>
                <c:pt idx="56">
                  <c:v>-0.14626</c:v>
                </c:pt>
                <c:pt idx="57">
                  <c:v>-0.14923900000000001</c:v>
                </c:pt>
                <c:pt idx="58">
                  <c:v>-0.14882699999999999</c:v>
                </c:pt>
                <c:pt idx="59">
                  <c:v>-0.137184</c:v>
                </c:pt>
                <c:pt idx="60">
                  <c:v>-0.162244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99E-0549-ABFB-1304DF2A8C7F}"/>
            </c:ext>
          </c:extLst>
        </c:ser>
        <c:ser>
          <c:idx val="2"/>
          <c:order val="2"/>
          <c:tx>
            <c:strRef>
              <c:f>'Delta Trends'!$V$2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Trends'!$V$3:$V$64</c:f>
              <c:numCache>
                <c:formatCode>General</c:formatCode>
                <c:ptCount val="62"/>
                <c:pt idx="0">
                  <c:v>0</c:v>
                </c:pt>
                <c:pt idx="1">
                  <c:v>-1.9726E-2</c:v>
                </c:pt>
                <c:pt idx="2">
                  <c:v>-1.6496E-2</c:v>
                </c:pt>
                <c:pt idx="3">
                  <c:v>-6.4440000000000001E-3</c:v>
                </c:pt>
                <c:pt idx="4">
                  <c:v>-3.9199999999999999E-3</c:v>
                </c:pt>
                <c:pt idx="5">
                  <c:v>-1.494E-2</c:v>
                </c:pt>
                <c:pt idx="6">
                  <c:v>-2.3092000000000001E-2</c:v>
                </c:pt>
                <c:pt idx="7">
                  <c:v>-2.1231E-2</c:v>
                </c:pt>
                <c:pt idx="8">
                  <c:v>-8.4622000000000003E-2</c:v>
                </c:pt>
                <c:pt idx="9">
                  <c:v>-7.8552999999999998E-2</c:v>
                </c:pt>
                <c:pt idx="10">
                  <c:v>-8.4583000000000005E-2</c:v>
                </c:pt>
                <c:pt idx="11">
                  <c:v>-9.3447000000000002E-2</c:v>
                </c:pt>
                <c:pt idx="12">
                  <c:v>-9.6551999999999999E-2</c:v>
                </c:pt>
                <c:pt idx="13">
                  <c:v>-9.5682000000000003E-2</c:v>
                </c:pt>
                <c:pt idx="14">
                  <c:v>-0.115797</c:v>
                </c:pt>
                <c:pt idx="15">
                  <c:v>-9.6892000000000006E-2</c:v>
                </c:pt>
                <c:pt idx="16">
                  <c:v>-8.5081000000000004E-2</c:v>
                </c:pt>
                <c:pt idx="17">
                  <c:v>-9.9465999999999999E-2</c:v>
                </c:pt>
                <c:pt idx="18">
                  <c:v>-9.4108999999999998E-2</c:v>
                </c:pt>
                <c:pt idx="19">
                  <c:v>-8.3704000000000001E-2</c:v>
                </c:pt>
                <c:pt idx="20">
                  <c:v>-8.4750000000000006E-2</c:v>
                </c:pt>
                <c:pt idx="21">
                  <c:v>-0.102856</c:v>
                </c:pt>
                <c:pt idx="22">
                  <c:v>-3.6577999999999999E-2</c:v>
                </c:pt>
                <c:pt idx="23">
                  <c:v>-3.9609999999999999E-2</c:v>
                </c:pt>
                <c:pt idx="24">
                  <c:v>-3.7630999999999998E-2</c:v>
                </c:pt>
                <c:pt idx="25">
                  <c:v>-4.6767000000000003E-2</c:v>
                </c:pt>
                <c:pt idx="26">
                  <c:v>-5.0659999999999997E-2</c:v>
                </c:pt>
                <c:pt idx="27">
                  <c:v>-7.1631E-2</c:v>
                </c:pt>
                <c:pt idx="28">
                  <c:v>-7.1795999999999999E-2</c:v>
                </c:pt>
                <c:pt idx="29">
                  <c:v>-7.1603E-2</c:v>
                </c:pt>
                <c:pt idx="30">
                  <c:v>-6.7429000000000003E-2</c:v>
                </c:pt>
                <c:pt idx="31">
                  <c:v>-8.5620000000000002E-3</c:v>
                </c:pt>
                <c:pt idx="32">
                  <c:v>-9.3123999999999998E-2</c:v>
                </c:pt>
                <c:pt idx="33">
                  <c:v>-5.8997000000000001E-2</c:v>
                </c:pt>
                <c:pt idx="34">
                  <c:v>-7.0163000000000003E-2</c:v>
                </c:pt>
                <c:pt idx="35">
                  <c:v>-7.0152999999999993E-2</c:v>
                </c:pt>
                <c:pt idx="36">
                  <c:v>-8.5875999999999994E-2</c:v>
                </c:pt>
                <c:pt idx="37">
                  <c:v>7.3125999999999997E-2</c:v>
                </c:pt>
                <c:pt idx="38">
                  <c:v>9.3718999999999997E-2</c:v>
                </c:pt>
                <c:pt idx="39">
                  <c:v>8.4361000000000005E-2</c:v>
                </c:pt>
                <c:pt idx="40">
                  <c:v>6.2491999999999999E-2</c:v>
                </c:pt>
                <c:pt idx="41">
                  <c:v>-0.12823799999999999</c:v>
                </c:pt>
                <c:pt idx="42">
                  <c:v>-0.14086399999999999</c:v>
                </c:pt>
                <c:pt idx="43">
                  <c:v>-0.15296699999999999</c:v>
                </c:pt>
                <c:pt idx="44">
                  <c:v>-0.149508</c:v>
                </c:pt>
                <c:pt idx="45">
                  <c:v>-0.15593699999999999</c:v>
                </c:pt>
                <c:pt idx="46">
                  <c:v>-0.179092</c:v>
                </c:pt>
                <c:pt idx="47">
                  <c:v>-0.22414700000000001</c:v>
                </c:pt>
                <c:pt idx="48">
                  <c:v>-0.253025</c:v>
                </c:pt>
                <c:pt idx="49">
                  <c:v>-0.253</c:v>
                </c:pt>
                <c:pt idx="50">
                  <c:v>5.0429999999999997E-3</c:v>
                </c:pt>
                <c:pt idx="51">
                  <c:v>-7.5159000000000004E-2</c:v>
                </c:pt>
                <c:pt idx="52">
                  <c:v>5.6087999999999999E-2</c:v>
                </c:pt>
                <c:pt idx="53">
                  <c:v>4.2314999999999998E-2</c:v>
                </c:pt>
                <c:pt idx="54">
                  <c:v>6.0277999999999998E-2</c:v>
                </c:pt>
                <c:pt idx="55">
                  <c:v>6.7012000000000002E-2</c:v>
                </c:pt>
                <c:pt idx="56">
                  <c:v>0.16107299999999999</c:v>
                </c:pt>
                <c:pt idx="57">
                  <c:v>0.171374</c:v>
                </c:pt>
                <c:pt idx="58">
                  <c:v>0.20955199999999999</c:v>
                </c:pt>
                <c:pt idx="59">
                  <c:v>0.24857399999999999</c:v>
                </c:pt>
                <c:pt idx="60">
                  <c:v>0.218504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99E-0549-ABFB-1304DF2A8C7F}"/>
            </c:ext>
          </c:extLst>
        </c:ser>
        <c:ser>
          <c:idx val="3"/>
          <c:order val="3"/>
          <c:tx>
            <c:strRef>
              <c:f>'Delta Trends'!$W$2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Trends'!$W$3:$W$64</c:f>
              <c:numCache>
                <c:formatCode>General</c:formatCode>
                <c:ptCount val="62"/>
                <c:pt idx="0">
                  <c:v>0</c:v>
                </c:pt>
                <c:pt idx="1">
                  <c:v>-6.2350000000000001E-3</c:v>
                </c:pt>
                <c:pt idx="2">
                  <c:v>-1.2638E-2</c:v>
                </c:pt>
                <c:pt idx="3">
                  <c:v>-1.4276E-2</c:v>
                </c:pt>
                <c:pt idx="4">
                  <c:v>-2.5555999999999999E-2</c:v>
                </c:pt>
                <c:pt idx="5">
                  <c:v>-4.9283E-2</c:v>
                </c:pt>
                <c:pt idx="6">
                  <c:v>-5.5661000000000002E-2</c:v>
                </c:pt>
                <c:pt idx="7">
                  <c:v>-5.8397999999999999E-2</c:v>
                </c:pt>
                <c:pt idx="8">
                  <c:v>-6.2765000000000001E-2</c:v>
                </c:pt>
                <c:pt idx="9">
                  <c:v>-6.9308999999999996E-2</c:v>
                </c:pt>
                <c:pt idx="10">
                  <c:v>-9.9557000000000007E-2</c:v>
                </c:pt>
                <c:pt idx="11">
                  <c:v>-0.107104</c:v>
                </c:pt>
                <c:pt idx="12">
                  <c:v>-0.109904</c:v>
                </c:pt>
                <c:pt idx="13">
                  <c:v>-0.109156</c:v>
                </c:pt>
                <c:pt idx="14">
                  <c:v>-0.15395200000000001</c:v>
                </c:pt>
                <c:pt idx="15">
                  <c:v>-0.165966</c:v>
                </c:pt>
                <c:pt idx="16">
                  <c:v>-0.16802400000000001</c:v>
                </c:pt>
                <c:pt idx="17">
                  <c:v>-0.182335</c:v>
                </c:pt>
                <c:pt idx="18">
                  <c:v>-0.19348699999999999</c:v>
                </c:pt>
                <c:pt idx="19">
                  <c:v>-0.203407</c:v>
                </c:pt>
                <c:pt idx="20">
                  <c:v>-0.20946600000000001</c:v>
                </c:pt>
                <c:pt idx="21">
                  <c:v>-0.224496</c:v>
                </c:pt>
                <c:pt idx="22">
                  <c:v>-0.22858100000000001</c:v>
                </c:pt>
                <c:pt idx="23">
                  <c:v>-0.22790299999999999</c:v>
                </c:pt>
                <c:pt idx="24">
                  <c:v>-0.225045</c:v>
                </c:pt>
                <c:pt idx="25">
                  <c:v>-0.22928100000000001</c:v>
                </c:pt>
                <c:pt idx="26">
                  <c:v>-0.241448</c:v>
                </c:pt>
                <c:pt idx="27">
                  <c:v>-0.25183100000000003</c:v>
                </c:pt>
                <c:pt idx="28">
                  <c:v>-0.25076399999999999</c:v>
                </c:pt>
                <c:pt idx="29">
                  <c:v>-0.257272</c:v>
                </c:pt>
                <c:pt idx="30">
                  <c:v>-0.26214799999999999</c:v>
                </c:pt>
                <c:pt idx="31">
                  <c:v>-0.26458300000000001</c:v>
                </c:pt>
                <c:pt idx="32">
                  <c:v>-0.26440000000000002</c:v>
                </c:pt>
                <c:pt idx="33">
                  <c:v>-0.27696900000000002</c:v>
                </c:pt>
                <c:pt idx="34">
                  <c:v>-0.287657</c:v>
                </c:pt>
                <c:pt idx="35">
                  <c:v>-0.29048600000000002</c:v>
                </c:pt>
                <c:pt idx="36">
                  <c:v>-0.29942999999999997</c:v>
                </c:pt>
                <c:pt idx="37">
                  <c:v>-0.30650100000000002</c:v>
                </c:pt>
                <c:pt idx="38">
                  <c:v>-0.30590499999999998</c:v>
                </c:pt>
                <c:pt idx="39">
                  <c:v>-0.301927</c:v>
                </c:pt>
                <c:pt idx="40">
                  <c:v>-0.30595299999999997</c:v>
                </c:pt>
                <c:pt idx="41">
                  <c:v>-0.32240600000000003</c:v>
                </c:pt>
                <c:pt idx="42">
                  <c:v>-0.31444299999999997</c:v>
                </c:pt>
                <c:pt idx="43">
                  <c:v>-0.32419700000000001</c:v>
                </c:pt>
                <c:pt idx="44">
                  <c:v>-0.32497199999999998</c:v>
                </c:pt>
                <c:pt idx="45">
                  <c:v>-0.32832600000000001</c:v>
                </c:pt>
                <c:pt idx="46">
                  <c:v>-0.34331699999999998</c:v>
                </c:pt>
                <c:pt idx="47">
                  <c:v>-0.34300199999999997</c:v>
                </c:pt>
                <c:pt idx="48">
                  <c:v>-0.35639199999999999</c:v>
                </c:pt>
                <c:pt idx="49">
                  <c:v>-0.35026299999999999</c:v>
                </c:pt>
                <c:pt idx="50">
                  <c:v>-0.35744599999999999</c:v>
                </c:pt>
                <c:pt idx="51">
                  <c:v>-0.36683500000000002</c:v>
                </c:pt>
                <c:pt idx="52">
                  <c:v>-0.37926799999999999</c:v>
                </c:pt>
                <c:pt idx="53">
                  <c:v>-0.372861</c:v>
                </c:pt>
                <c:pt idx="54">
                  <c:v>-0.39555200000000001</c:v>
                </c:pt>
                <c:pt idx="55">
                  <c:v>-0.39734700000000001</c:v>
                </c:pt>
                <c:pt idx="56">
                  <c:v>-0.39606599999999997</c:v>
                </c:pt>
                <c:pt idx="57">
                  <c:v>-0.39356200000000002</c:v>
                </c:pt>
                <c:pt idx="58">
                  <c:v>-0.39549899999999999</c:v>
                </c:pt>
                <c:pt idx="59">
                  <c:v>-0.40173999999999999</c:v>
                </c:pt>
                <c:pt idx="60">
                  <c:v>-0.39962799999999998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99E-0549-ABFB-1304DF2A8C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0</xdr:colOff>
      <xdr:row>9</xdr:row>
      <xdr:rowOff>0</xdr:rowOff>
    </xdr:from>
    <xdr:ext cx="7920000" cy="43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71FFA9D-B44A-7D49-BA2E-A4A41728BD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0.1308</cdr:x>
      <cdr:y>0.11395</cdr:y>
    </cdr:from>
    <cdr:to>
      <cdr:x>0.2797</cdr:x>
      <cdr:y>0.16855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BAF4A93-9140-8508-E5AF-9857DC10AF00}"/>
            </a:ext>
          </a:extLst>
        </cdr:cNvPr>
        <cdr:cNvSpPr txBox="1"/>
      </cdr:nvSpPr>
      <cdr:spPr>
        <a:xfrm xmlns:a="http://schemas.openxmlformats.org/drawingml/2006/main">
          <a:off x="1035957" y="492275"/>
          <a:ext cx="1179286" cy="2358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0.55734</cdr:x>
      <cdr:y>0.12305</cdr:y>
    </cdr:from>
    <cdr:to>
      <cdr:x>0.7357</cdr:x>
      <cdr:y>0.18429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4414157" y="531586"/>
          <a:ext cx="1412566" cy="26456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 MIX 100 nodes</a:t>
          </a:r>
        </a:p>
      </cdr:txBody>
    </cdr:sp>
  </cdr:relSizeAnchor>
  <cdr:relSizeAnchor xmlns:cdr="http://schemas.openxmlformats.org/drawingml/2006/chartDrawing">
    <cdr:from>
      <cdr:x>0.80704</cdr:x>
      <cdr:y>0.9042</cdr:y>
    </cdr:from>
    <cdr:to>
      <cdr:x>0.97808</cdr:x>
      <cdr:y>0.96544</cdr:y>
    </cdr:to>
    <cdr:sp macro="" textlink="">
      <cdr:nvSpPr>
        <cdr:cNvPr id="4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391729" y="3906157"/>
          <a:ext cx="1354666" cy="26456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</a:t>
          </a:r>
          <a:r>
            <a:rPr lang="en-GB" sz="1100" baseline="0"/>
            <a:t> PRO 60 </a:t>
          </a:r>
          <a:r>
            <a:rPr lang="en-GB" sz="1100"/>
            <a:t>nodes</a:t>
          </a:r>
        </a:p>
      </cdr:txBody>
    </cdr:sp>
  </cdr:relSizeAnchor>
  <cdr:relSizeAnchor xmlns:cdr="http://schemas.openxmlformats.org/drawingml/2006/chartDrawing">
    <cdr:from>
      <cdr:x>0.09782</cdr:x>
      <cdr:y>0.03528</cdr:y>
    </cdr:from>
    <cdr:to>
      <cdr:x>0.27617</cdr:x>
      <cdr:y>0.09652</cdr:y>
    </cdr:to>
    <cdr:sp macro="" textlink="">
      <cdr:nvSpPr>
        <cdr:cNvPr id="5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774700" y="152400"/>
          <a:ext cx="1412566" cy="26456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MIX 100 nodes</a:t>
          </a:r>
        </a:p>
      </cdr:txBody>
    </cdr:sp>
  </cdr:relSizeAnchor>
  <cdr:relSizeAnchor xmlns:cdr="http://schemas.openxmlformats.org/drawingml/2006/chartDrawing">
    <cdr:from>
      <cdr:x>0.33514</cdr:x>
      <cdr:y>0.88488</cdr:y>
    </cdr:from>
    <cdr:to>
      <cdr:x>0.50618</cdr:x>
      <cdr:y>0.94613</cdr:y>
    </cdr:to>
    <cdr:sp macro="" textlink="">
      <cdr:nvSpPr>
        <cdr:cNvPr id="6" name="TextBox 3">
          <a:extLst xmlns:a="http://schemas.openxmlformats.org/drawingml/2006/main">
            <a:ext uri="{FF2B5EF4-FFF2-40B4-BE49-F238E27FC236}">
              <a16:creationId xmlns:a16="http://schemas.microsoft.com/office/drawing/2014/main" id="{A607E5DC-95C0-3F4E-AA29-53B099ECEC74}"/>
            </a:ext>
          </a:extLst>
        </cdr:cNvPr>
        <cdr:cNvSpPr txBox="1"/>
      </cdr:nvSpPr>
      <cdr:spPr>
        <a:xfrm xmlns:a="http://schemas.openxmlformats.org/drawingml/2006/main">
          <a:off x="2654300" y="3822700"/>
          <a:ext cx="1354666" cy="26456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PRO 60 nodes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181430</xdr:colOff>
      <xdr:row>3</xdr:row>
      <xdr:rowOff>0</xdr:rowOff>
    </xdr:from>
    <xdr:ext cx="648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26</xdr:col>
      <xdr:colOff>181429</xdr:colOff>
      <xdr:row>24</xdr:row>
      <xdr:rowOff>129592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26</xdr:col>
      <xdr:colOff>181429</xdr:colOff>
      <xdr:row>45</xdr:row>
      <xdr:rowOff>181427</xdr:rowOff>
    </xdr:from>
    <xdr:ext cx="648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26</xdr:col>
      <xdr:colOff>181430</xdr:colOff>
      <xdr:row>67</xdr:row>
      <xdr:rowOff>25919</xdr:rowOff>
    </xdr:from>
    <xdr:ext cx="6480000" cy="36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0_Research-project_GPT4o-mini.xlsx" TargetMode="External"/><Relationship Id="rId1" Type="http://schemas.openxmlformats.org/officeDocument/2006/relationships/externalLinkPath" Target="temp-0_Research-project_GPT4o-mini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default_Research-project_GPT4o-mini.xlsx" TargetMode="External"/><Relationship Id="rId1" Type="http://schemas.openxmlformats.org/officeDocument/2006/relationships/externalLinkPath" Target="temp-default_Research-project_GPT4o-mini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1.5_Research-project_GPT4o-mini.xlsx" TargetMode="External"/><Relationship Id="rId1" Type="http://schemas.openxmlformats.org/officeDocument/2006/relationships/externalLinkPath" Target="temp-1.5_Research-project_GPT4o-mini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seed-4321_Research-project_GPT4o-mini.xlsx" TargetMode="External"/><Relationship Id="rId1" Type="http://schemas.openxmlformats.org/officeDocument/2006/relationships/externalLinkPath" Target="seed-4321_Research-project_GPT4o-min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-7.0520000000000001E-3</v>
          </cell>
        </row>
        <row r="4">
          <cell r="L4">
            <v>-1.2291E-2</v>
          </cell>
          <cell r="O4">
            <v>0</v>
          </cell>
        </row>
        <row r="5">
          <cell r="L5">
            <v>-2.2422999999999998E-2</v>
          </cell>
          <cell r="O5">
            <v>1</v>
          </cell>
        </row>
        <row r="6">
          <cell r="L6">
            <v>-3.1123000000000001E-2</v>
          </cell>
          <cell r="O6">
            <v>-0.63621700000000003</v>
          </cell>
        </row>
        <row r="7">
          <cell r="L7">
            <v>-3.6815000000000001E-2</v>
          </cell>
        </row>
        <row r="8">
          <cell r="L8">
            <v>-4.7058999999999997E-2</v>
          </cell>
        </row>
        <row r="9">
          <cell r="L9">
            <v>-4.7681000000000001E-2</v>
          </cell>
        </row>
        <row r="10">
          <cell r="L10">
            <v>-2.9097999999999999E-2</v>
          </cell>
        </row>
        <row r="11">
          <cell r="L11">
            <v>-3.4410000000000003E-2</v>
          </cell>
        </row>
        <row r="12">
          <cell r="L12">
            <v>-7.6438999999999993E-2</v>
          </cell>
        </row>
        <row r="13">
          <cell r="L13">
            <v>-9.1869999999999993E-2</v>
          </cell>
        </row>
        <row r="14">
          <cell r="L14">
            <v>-8.8586999999999999E-2</v>
          </cell>
        </row>
        <row r="15">
          <cell r="L15">
            <v>-9.2279E-2</v>
          </cell>
        </row>
        <row r="16">
          <cell r="L16">
            <v>-9.8380999999999996E-2</v>
          </cell>
        </row>
        <row r="17">
          <cell r="L17">
            <v>-0.10999100000000001</v>
          </cell>
        </row>
        <row r="18">
          <cell r="L18">
            <v>-0.12612499999999999</v>
          </cell>
        </row>
        <row r="19">
          <cell r="L19">
            <v>-0.13206899999999999</v>
          </cell>
        </row>
        <row r="20">
          <cell r="L20">
            <v>-0.142203</v>
          </cell>
        </row>
        <row r="21">
          <cell r="L21">
            <v>-0.150198</v>
          </cell>
        </row>
        <row r="22">
          <cell r="L22">
            <v>-0.16265499999999999</v>
          </cell>
        </row>
        <row r="23">
          <cell r="L23">
            <v>-0.16550100000000001</v>
          </cell>
        </row>
        <row r="24">
          <cell r="L24">
            <v>-0.16795399999999999</v>
          </cell>
        </row>
        <row r="25">
          <cell r="L25">
            <v>-0.16903899999999999</v>
          </cell>
        </row>
        <row r="26">
          <cell r="L26">
            <v>-0.17469299999999999</v>
          </cell>
        </row>
        <row r="27">
          <cell r="L27">
            <v>-0.18169199999999999</v>
          </cell>
        </row>
        <row r="28">
          <cell r="L28">
            <v>-0.18351400000000001</v>
          </cell>
        </row>
        <row r="29">
          <cell r="L29">
            <v>-0.18842900000000001</v>
          </cell>
        </row>
        <row r="30">
          <cell r="L30">
            <v>-0.19315199999999999</v>
          </cell>
        </row>
        <row r="31">
          <cell r="L31">
            <v>-0.19778399999999999</v>
          </cell>
        </row>
        <row r="32">
          <cell r="L32">
            <v>-0.20032</v>
          </cell>
        </row>
        <row r="33">
          <cell r="L33">
            <v>-0.207589</v>
          </cell>
        </row>
        <row r="34">
          <cell r="L34">
            <v>-0.22323799999999999</v>
          </cell>
        </row>
        <row r="35">
          <cell r="L35">
            <v>-0.23053799999999999</v>
          </cell>
        </row>
        <row r="36">
          <cell r="L36">
            <v>-0.23095399999999999</v>
          </cell>
        </row>
        <row r="37">
          <cell r="L37">
            <v>-0.23224400000000001</v>
          </cell>
        </row>
        <row r="38">
          <cell r="L38">
            <v>-0.23829</v>
          </cell>
        </row>
        <row r="39">
          <cell r="L39">
            <v>-0.24157899999999999</v>
          </cell>
        </row>
        <row r="40">
          <cell r="L40">
            <v>-0.244339</v>
          </cell>
        </row>
        <row r="41">
          <cell r="L41">
            <v>-0.25019599999999997</v>
          </cell>
        </row>
        <row r="42">
          <cell r="L42">
            <v>-0.26334200000000002</v>
          </cell>
        </row>
        <row r="43">
          <cell r="L43">
            <v>-0.273283</v>
          </cell>
        </row>
        <row r="44">
          <cell r="L44">
            <v>-0.27764899999999998</v>
          </cell>
        </row>
        <row r="45">
          <cell r="L45">
            <v>-0.28048200000000001</v>
          </cell>
        </row>
        <row r="46">
          <cell r="L46">
            <v>-0.28049299999999999</v>
          </cell>
        </row>
        <row r="47">
          <cell r="L47">
            <v>-0.28450300000000001</v>
          </cell>
        </row>
        <row r="48">
          <cell r="L48">
            <v>-0.28868300000000002</v>
          </cell>
        </row>
        <row r="49">
          <cell r="L49">
            <v>-0.29620999999999997</v>
          </cell>
        </row>
        <row r="50">
          <cell r="L50">
            <v>-0.30202200000000001</v>
          </cell>
        </row>
        <row r="51">
          <cell r="L51">
            <v>-0.307029</v>
          </cell>
        </row>
        <row r="52">
          <cell r="L52">
            <v>-0.31669999999999998</v>
          </cell>
        </row>
        <row r="53">
          <cell r="L53">
            <v>-0.31929600000000002</v>
          </cell>
        </row>
        <row r="54">
          <cell r="L54">
            <v>-0.32494699999999999</v>
          </cell>
        </row>
        <row r="55">
          <cell r="L55">
            <v>-0.33687400000000001</v>
          </cell>
        </row>
        <row r="56">
          <cell r="L56">
            <v>-0.34012500000000001</v>
          </cell>
        </row>
        <row r="57">
          <cell r="L57">
            <v>-0.34717900000000002</v>
          </cell>
        </row>
        <row r="58">
          <cell r="L58">
            <v>-0.35692400000000002</v>
          </cell>
        </row>
        <row r="59">
          <cell r="L59">
            <v>-0.39018700000000001</v>
          </cell>
        </row>
        <row r="60">
          <cell r="L60">
            <v>-0.40405000000000002</v>
          </cell>
        </row>
        <row r="61">
          <cell r="L61">
            <v>-0.409134</v>
          </cell>
        </row>
        <row r="62">
          <cell r="L62">
            <v>-0.428149</v>
          </cell>
        </row>
        <row r="63">
          <cell r="L63">
            <v>-0.44175399999999998</v>
          </cell>
        </row>
        <row r="64">
          <cell r="L64">
            <v>-0.43745299999999998</v>
          </cell>
        </row>
        <row r="65">
          <cell r="L65">
            <v>-0.45815</v>
          </cell>
        </row>
        <row r="66">
          <cell r="L66">
            <v>-0.46174599999999999</v>
          </cell>
        </row>
        <row r="67">
          <cell r="L67">
            <v>-0.473246</v>
          </cell>
        </row>
        <row r="68">
          <cell r="L68">
            <v>-0.47869899999999999</v>
          </cell>
        </row>
        <row r="69">
          <cell r="L69">
            <v>-0.48391600000000001</v>
          </cell>
        </row>
        <row r="70">
          <cell r="L70">
            <v>-0.48582700000000001</v>
          </cell>
        </row>
        <row r="71">
          <cell r="L71">
            <v>-0.48110799999999998</v>
          </cell>
        </row>
        <row r="72">
          <cell r="L72">
            <v>-0.49836900000000001</v>
          </cell>
        </row>
        <row r="73">
          <cell r="L73">
            <v>-0.5111</v>
          </cell>
        </row>
        <row r="74">
          <cell r="L74">
            <v>-0.516934</v>
          </cell>
        </row>
        <row r="75">
          <cell r="L75">
            <v>-0.52703800000000001</v>
          </cell>
        </row>
        <row r="76">
          <cell r="L76">
            <v>-0.51617999999999997</v>
          </cell>
        </row>
        <row r="77">
          <cell r="L77">
            <v>-0.56554599999999999</v>
          </cell>
        </row>
        <row r="78">
          <cell r="L78">
            <v>-0.579515</v>
          </cell>
        </row>
        <row r="79">
          <cell r="L79">
            <v>-0.579453</v>
          </cell>
        </row>
        <row r="80">
          <cell r="L80">
            <v>-0.56903899999999996</v>
          </cell>
        </row>
        <row r="81">
          <cell r="L81">
            <v>-0.528366</v>
          </cell>
        </row>
        <row r="82">
          <cell r="L82">
            <v>-0.55744899999999997</v>
          </cell>
        </row>
        <row r="83">
          <cell r="L83">
            <v>-0.53135600000000005</v>
          </cell>
        </row>
        <row r="84">
          <cell r="L84">
            <v>-0.55629200000000001</v>
          </cell>
        </row>
        <row r="85">
          <cell r="L85">
            <v>-0.53253499999999998</v>
          </cell>
        </row>
        <row r="86">
          <cell r="L86">
            <v>-0.55162699999999998</v>
          </cell>
        </row>
        <row r="87">
          <cell r="L87">
            <v>-0.54917700000000003</v>
          </cell>
        </row>
        <row r="88">
          <cell r="L88">
            <v>-0.576963</v>
          </cell>
        </row>
        <row r="89">
          <cell r="L89">
            <v>-0.58078700000000005</v>
          </cell>
        </row>
        <row r="90">
          <cell r="L90">
            <v>-0.59518300000000002</v>
          </cell>
        </row>
        <row r="91">
          <cell r="L91">
            <v>-0.57799599999999995</v>
          </cell>
        </row>
        <row r="92">
          <cell r="L92">
            <v>-0.57972699999999999</v>
          </cell>
        </row>
        <row r="93">
          <cell r="L93">
            <v>-0.60439900000000002</v>
          </cell>
        </row>
        <row r="94">
          <cell r="L94">
            <v>-0.60814299999999999</v>
          </cell>
        </row>
        <row r="95">
          <cell r="L95">
            <v>-0.61302999999999996</v>
          </cell>
        </row>
        <row r="96">
          <cell r="L96">
            <v>-0.61558999999999997</v>
          </cell>
        </row>
        <row r="97">
          <cell r="L97">
            <v>-0.624054</v>
          </cell>
        </row>
        <row r="98">
          <cell r="L98">
            <v>-0.62823899999999999</v>
          </cell>
        </row>
        <row r="99">
          <cell r="L99">
            <v>-0.63127</v>
          </cell>
        </row>
        <row r="100">
          <cell r="L100">
            <v>-0.63309499999999996</v>
          </cell>
        </row>
        <row r="101">
          <cell r="L101">
            <v>-0.63656599999999997</v>
          </cell>
        </row>
        <row r="102">
          <cell r="L102">
            <v>-0.63621700000000003</v>
          </cell>
        </row>
      </sheetData>
      <sheetData sheetId="1">
        <row r="2">
          <cell r="AA2">
            <v>1</v>
          </cell>
        </row>
        <row r="3">
          <cell r="AA3">
            <v>0.99</v>
          </cell>
        </row>
        <row r="4">
          <cell r="AA4">
            <v>0.99966699999999997</v>
          </cell>
        </row>
      </sheetData>
      <sheetData sheetId="2">
        <row r="2">
          <cell r="L2">
            <v>0</v>
          </cell>
        </row>
        <row r="3">
          <cell r="L3">
            <v>-2.447E-3</v>
          </cell>
        </row>
        <row r="4">
          <cell r="L4">
            <v>-4.4889999999999999E-3</v>
          </cell>
          <cell r="O4">
            <v>0</v>
          </cell>
        </row>
        <row r="5">
          <cell r="L5">
            <v>-4.7410000000000004E-3</v>
          </cell>
          <cell r="O5">
            <v>1</v>
          </cell>
        </row>
        <row r="6">
          <cell r="L6">
            <v>-1.9319999999999999E-3</v>
          </cell>
          <cell r="O6">
            <v>-0.12123299999999999</v>
          </cell>
        </row>
        <row r="7">
          <cell r="L7">
            <v>-1.6677000000000001E-2</v>
          </cell>
        </row>
        <row r="8">
          <cell r="L8">
            <v>-2.0147000000000002E-2</v>
          </cell>
        </row>
        <row r="9">
          <cell r="L9">
            <v>-2.2110000000000001E-2</v>
          </cell>
        </row>
        <row r="10">
          <cell r="L10">
            <v>-2.128E-2</v>
          </cell>
        </row>
        <row r="11">
          <cell r="L11">
            <v>-2.4698000000000001E-2</v>
          </cell>
        </row>
        <row r="12">
          <cell r="L12">
            <v>-3.9655999999999997E-2</v>
          </cell>
        </row>
        <row r="13">
          <cell r="L13">
            <v>-2.9444000000000001E-2</v>
          </cell>
        </row>
        <row r="14">
          <cell r="L14">
            <v>-3.4791999999999997E-2</v>
          </cell>
        </row>
        <row r="15">
          <cell r="L15">
            <v>-3.9758000000000002E-2</v>
          </cell>
        </row>
        <row r="16">
          <cell r="L16">
            <v>-5.9207999999999997E-2</v>
          </cell>
        </row>
        <row r="17">
          <cell r="L17">
            <v>-6.7906999999999995E-2</v>
          </cell>
        </row>
        <row r="18">
          <cell r="L18">
            <v>-8.1299999999999997E-2</v>
          </cell>
        </row>
        <row r="19">
          <cell r="L19">
            <v>-8.8028999999999996E-2</v>
          </cell>
        </row>
        <row r="20">
          <cell r="L20">
            <v>-8.7647000000000003E-2</v>
          </cell>
        </row>
        <row r="21">
          <cell r="L21">
            <v>-9.1188000000000005E-2</v>
          </cell>
        </row>
        <row r="22">
          <cell r="L22">
            <v>-8.6664000000000005E-2</v>
          </cell>
        </row>
        <row r="23">
          <cell r="L23">
            <v>-8.5526000000000005E-2</v>
          </cell>
        </row>
        <row r="24">
          <cell r="L24">
            <v>-8.6763000000000007E-2</v>
          </cell>
        </row>
        <row r="25">
          <cell r="L25">
            <v>-8.9274000000000006E-2</v>
          </cell>
        </row>
        <row r="26">
          <cell r="L26">
            <v>-8.5604E-2</v>
          </cell>
        </row>
        <row r="27">
          <cell r="L27">
            <v>-8.7654999999999997E-2</v>
          </cell>
        </row>
        <row r="28">
          <cell r="L28">
            <v>-9.2130000000000004E-2</v>
          </cell>
        </row>
        <row r="29">
          <cell r="L29">
            <v>-9.8706000000000002E-2</v>
          </cell>
        </row>
        <row r="30">
          <cell r="L30">
            <v>-9.8656999999999995E-2</v>
          </cell>
        </row>
        <row r="31">
          <cell r="L31">
            <v>-0.101143</v>
          </cell>
        </row>
        <row r="32">
          <cell r="L32">
            <v>-9.6068000000000001E-2</v>
          </cell>
        </row>
        <row r="33">
          <cell r="L33">
            <v>-9.4061000000000006E-2</v>
          </cell>
        </row>
        <row r="34">
          <cell r="L34">
            <v>-9.6291000000000002E-2</v>
          </cell>
        </row>
        <row r="35">
          <cell r="L35">
            <v>-9.5322000000000004E-2</v>
          </cell>
        </row>
        <row r="36">
          <cell r="L36">
            <v>-0.10377699999999999</v>
          </cell>
        </row>
        <row r="37">
          <cell r="L37">
            <v>-0.114983</v>
          </cell>
        </row>
        <row r="38">
          <cell r="L38">
            <v>-0.11661000000000001</v>
          </cell>
        </row>
        <row r="39">
          <cell r="L39">
            <v>-0.117271</v>
          </cell>
        </row>
        <row r="40">
          <cell r="L40">
            <v>-0.12606999999999999</v>
          </cell>
        </row>
        <row r="41">
          <cell r="L41">
            <v>-0.12995899999999999</v>
          </cell>
        </row>
        <row r="42">
          <cell r="L42">
            <v>-0.13350600000000001</v>
          </cell>
        </row>
        <row r="43">
          <cell r="L43">
            <v>-0.13678999999999999</v>
          </cell>
        </row>
        <row r="44">
          <cell r="L44">
            <v>-0.13580700000000001</v>
          </cell>
        </row>
        <row r="45">
          <cell r="L45">
            <v>-0.136124</v>
          </cell>
        </row>
        <row r="46">
          <cell r="L46">
            <v>-0.14480499999999999</v>
          </cell>
        </row>
        <row r="47">
          <cell r="L47">
            <v>-0.15060499999999999</v>
          </cell>
        </row>
        <row r="48">
          <cell r="L48">
            <v>-0.16153899999999999</v>
          </cell>
        </row>
        <row r="49">
          <cell r="L49">
            <v>-0.16261700000000001</v>
          </cell>
        </row>
        <row r="50">
          <cell r="L50">
            <v>-0.162913</v>
          </cell>
        </row>
        <row r="51">
          <cell r="L51">
            <v>-0.158556</v>
          </cell>
        </row>
        <row r="52">
          <cell r="L52">
            <v>-0.16478100000000001</v>
          </cell>
        </row>
        <row r="53">
          <cell r="L53">
            <v>-0.16198299999999999</v>
          </cell>
        </row>
        <row r="54">
          <cell r="L54">
            <v>-0.16614899999999999</v>
          </cell>
        </row>
        <row r="55">
          <cell r="L55">
            <v>-0.12740099999999999</v>
          </cell>
        </row>
        <row r="56">
          <cell r="L56">
            <v>-0.13472500000000001</v>
          </cell>
        </row>
        <row r="57">
          <cell r="L57">
            <v>-0.132495</v>
          </cell>
        </row>
        <row r="58">
          <cell r="L58">
            <v>-0.134931</v>
          </cell>
        </row>
        <row r="59">
          <cell r="L59">
            <v>-0.13570099999999999</v>
          </cell>
        </row>
        <row r="60">
          <cell r="L60">
            <v>-0.118823</v>
          </cell>
        </row>
        <row r="61">
          <cell r="L61">
            <v>-0.120392</v>
          </cell>
        </row>
        <row r="62">
          <cell r="L62">
            <v>-0.12123299999999999</v>
          </cell>
        </row>
      </sheetData>
      <sheetData sheetId="3">
        <row r="2">
          <cell r="AA2">
            <v>1</v>
          </cell>
        </row>
        <row r="3">
          <cell r="AA3">
            <v>0.86666699999999997</v>
          </cell>
        </row>
        <row r="4">
          <cell r="AA4">
            <v>0.98166699999999996</v>
          </cell>
        </row>
      </sheetData>
      <sheetData sheetId="4">
        <row r="2">
          <cell r="L2">
            <v>0</v>
          </cell>
        </row>
        <row r="3">
          <cell r="L3">
            <v>-3.6311000000000003E-2</v>
          </cell>
        </row>
        <row r="4">
          <cell r="L4">
            <v>-5.6297E-2</v>
          </cell>
          <cell r="O4">
            <v>0</v>
          </cell>
        </row>
        <row r="5">
          <cell r="L5">
            <v>-8.8549000000000003E-2</v>
          </cell>
          <cell r="O5">
            <v>1</v>
          </cell>
        </row>
        <row r="6">
          <cell r="L6">
            <v>-0.104837</v>
          </cell>
          <cell r="O6">
            <v>-1.1682490000000001</v>
          </cell>
        </row>
        <row r="7">
          <cell r="L7">
            <v>-0.11285299999999999</v>
          </cell>
        </row>
        <row r="8">
          <cell r="L8">
            <v>-0.130744</v>
          </cell>
        </row>
        <row r="9">
          <cell r="L9">
            <v>-0.1389</v>
          </cell>
        </row>
        <row r="10">
          <cell r="L10">
            <v>-0.15068300000000001</v>
          </cell>
        </row>
        <row r="11">
          <cell r="L11">
            <v>-0.164544</v>
          </cell>
        </row>
        <row r="12">
          <cell r="L12">
            <v>-0.23908099999999999</v>
          </cell>
        </row>
        <row r="13">
          <cell r="L13">
            <v>-0.27545199999999997</v>
          </cell>
        </row>
        <row r="14">
          <cell r="L14">
            <v>-0.28546100000000002</v>
          </cell>
        </row>
        <row r="15">
          <cell r="L15">
            <v>-0.29611599999999999</v>
          </cell>
        </row>
        <row r="16">
          <cell r="L16">
            <v>-0.31750800000000001</v>
          </cell>
        </row>
        <row r="17">
          <cell r="L17">
            <v>-0.34726400000000002</v>
          </cell>
        </row>
        <row r="18">
          <cell r="L18">
            <v>-0.37508000000000002</v>
          </cell>
        </row>
        <row r="19">
          <cell r="L19">
            <v>-0.38285200000000003</v>
          </cell>
        </row>
        <row r="20">
          <cell r="L20">
            <v>-0.40242699999999998</v>
          </cell>
        </row>
        <row r="21">
          <cell r="L21">
            <v>-0.413829</v>
          </cell>
        </row>
        <row r="22">
          <cell r="L22">
            <v>-0.42901</v>
          </cell>
        </row>
        <row r="23">
          <cell r="L23">
            <v>-0.41644399999999998</v>
          </cell>
        </row>
        <row r="24">
          <cell r="L24">
            <v>-0.426952</v>
          </cell>
        </row>
        <row r="25">
          <cell r="L25">
            <v>-0.43007699999999999</v>
          </cell>
        </row>
        <row r="26">
          <cell r="L26">
            <v>-0.451573</v>
          </cell>
        </row>
        <row r="27">
          <cell r="L27">
            <v>-0.470277</v>
          </cell>
        </row>
        <row r="28">
          <cell r="L28">
            <v>-0.476053</v>
          </cell>
        </row>
        <row r="29">
          <cell r="L29">
            <v>-0.48122599999999999</v>
          </cell>
        </row>
        <row r="30">
          <cell r="L30">
            <v>-0.48853600000000003</v>
          </cell>
        </row>
        <row r="31">
          <cell r="L31">
            <v>-0.49720599999999998</v>
          </cell>
        </row>
        <row r="32">
          <cell r="L32">
            <v>-0.49299599999999999</v>
          </cell>
        </row>
        <row r="33">
          <cell r="L33">
            <v>-0.48910500000000001</v>
          </cell>
        </row>
        <row r="34">
          <cell r="L34">
            <v>-0.52663000000000004</v>
          </cell>
        </row>
        <row r="35">
          <cell r="L35">
            <v>-0.54388999999999998</v>
          </cell>
        </row>
        <row r="36">
          <cell r="L36">
            <v>-0.56830199999999997</v>
          </cell>
        </row>
        <row r="37">
          <cell r="L37">
            <v>-0.577735</v>
          </cell>
        </row>
        <row r="38">
          <cell r="L38">
            <v>-0.59776399999999996</v>
          </cell>
        </row>
        <row r="39">
          <cell r="L39">
            <v>-0.60774499999999998</v>
          </cell>
        </row>
        <row r="40">
          <cell r="L40">
            <v>-0.63007400000000002</v>
          </cell>
        </row>
        <row r="41">
          <cell r="L41">
            <v>-0.64067499999999999</v>
          </cell>
        </row>
        <row r="42">
          <cell r="L42">
            <v>-0.65656199999999998</v>
          </cell>
        </row>
        <row r="43">
          <cell r="L43">
            <v>-0.664524</v>
          </cell>
        </row>
        <row r="44">
          <cell r="L44">
            <v>-0.67139800000000005</v>
          </cell>
        </row>
        <row r="45">
          <cell r="L45">
            <v>-0.677091</v>
          </cell>
        </row>
        <row r="46">
          <cell r="L46">
            <v>-0.67796199999999995</v>
          </cell>
        </row>
        <row r="47">
          <cell r="L47">
            <v>-0.68667100000000003</v>
          </cell>
        </row>
        <row r="48">
          <cell r="L48">
            <v>-0.69091899999999995</v>
          </cell>
        </row>
        <row r="49">
          <cell r="L49">
            <v>-0.700129</v>
          </cell>
        </row>
        <row r="50">
          <cell r="L50">
            <v>-0.70193099999999997</v>
          </cell>
        </row>
        <row r="51">
          <cell r="L51">
            <v>-0.70643199999999995</v>
          </cell>
        </row>
        <row r="52">
          <cell r="L52">
            <v>-0.71548999999999996</v>
          </cell>
        </row>
        <row r="53">
          <cell r="L53">
            <v>-0.71819100000000002</v>
          </cell>
        </row>
        <row r="54">
          <cell r="L54">
            <v>-0.70800600000000002</v>
          </cell>
        </row>
        <row r="55">
          <cell r="L55">
            <v>-0.73285599999999995</v>
          </cell>
        </row>
        <row r="56">
          <cell r="L56">
            <v>-0.73196300000000003</v>
          </cell>
        </row>
        <row r="57">
          <cell r="L57">
            <v>-0.73983699999999997</v>
          </cell>
        </row>
        <row r="58">
          <cell r="L58">
            <v>-0.74702599999999997</v>
          </cell>
        </row>
        <row r="59">
          <cell r="L59">
            <v>-0.749502</v>
          </cell>
        </row>
        <row r="60">
          <cell r="L60">
            <v>-0.77104600000000001</v>
          </cell>
        </row>
        <row r="61">
          <cell r="L61">
            <v>-0.71730799999999995</v>
          </cell>
        </row>
        <row r="62">
          <cell r="L62">
            <v>-0.78579600000000005</v>
          </cell>
        </row>
        <row r="63">
          <cell r="L63">
            <v>-0.80288899999999996</v>
          </cell>
        </row>
        <row r="64">
          <cell r="L64">
            <v>-0.79210100000000006</v>
          </cell>
        </row>
        <row r="65">
          <cell r="L65">
            <v>-0.82742300000000002</v>
          </cell>
        </row>
        <row r="66">
          <cell r="L66">
            <v>-0.84104900000000005</v>
          </cell>
        </row>
        <row r="67">
          <cell r="L67">
            <v>-0.85512200000000005</v>
          </cell>
        </row>
        <row r="68">
          <cell r="L68">
            <v>-0.85980400000000001</v>
          </cell>
        </row>
        <row r="69">
          <cell r="L69">
            <v>-0.86778999999999995</v>
          </cell>
        </row>
        <row r="70">
          <cell r="L70">
            <v>-0.87392400000000003</v>
          </cell>
        </row>
        <row r="71">
          <cell r="L71">
            <v>-0.86980299999999999</v>
          </cell>
        </row>
        <row r="72">
          <cell r="L72">
            <v>-0.87629199999999996</v>
          </cell>
        </row>
        <row r="73">
          <cell r="L73">
            <v>-0.89869500000000002</v>
          </cell>
        </row>
        <row r="74">
          <cell r="L74">
            <v>-0.90558499999999997</v>
          </cell>
        </row>
        <row r="75">
          <cell r="L75">
            <v>-0.90559000000000001</v>
          </cell>
        </row>
        <row r="76">
          <cell r="L76">
            <v>-0.88933499999999999</v>
          </cell>
        </row>
        <row r="77">
          <cell r="L77">
            <v>-0.954322</v>
          </cell>
        </row>
        <row r="78">
          <cell r="L78">
            <v>-0.98911700000000002</v>
          </cell>
        </row>
        <row r="79">
          <cell r="L79">
            <v>-0.99656999999999996</v>
          </cell>
        </row>
        <row r="80">
          <cell r="L80">
            <v>-0.966395</v>
          </cell>
        </row>
        <row r="81">
          <cell r="L81">
            <v>-0.98621700000000001</v>
          </cell>
        </row>
        <row r="82">
          <cell r="L82">
            <v>-0.97888900000000001</v>
          </cell>
        </row>
        <row r="83">
          <cell r="L83">
            <v>-1.029779</v>
          </cell>
        </row>
        <row r="84">
          <cell r="L84">
            <v>-1.062603</v>
          </cell>
        </row>
        <row r="85">
          <cell r="L85">
            <v>-1.0543279999999999</v>
          </cell>
        </row>
        <row r="86">
          <cell r="L86">
            <v>-1.0711079999999999</v>
          </cell>
        </row>
        <row r="87">
          <cell r="L87">
            <v>-1.069545</v>
          </cell>
        </row>
        <row r="88">
          <cell r="L88">
            <v>-1.0785229999999999</v>
          </cell>
        </row>
        <row r="89">
          <cell r="L89">
            <v>-1.081037</v>
          </cell>
        </row>
        <row r="90">
          <cell r="L90">
            <v>-1.1125849999999999</v>
          </cell>
        </row>
        <row r="91">
          <cell r="L91">
            <v>-1.082875</v>
          </cell>
        </row>
        <row r="92">
          <cell r="L92">
            <v>-1.0928629999999999</v>
          </cell>
        </row>
        <row r="93">
          <cell r="L93">
            <v>-1.126217</v>
          </cell>
        </row>
        <row r="94">
          <cell r="L94">
            <v>-1.139559</v>
          </cell>
        </row>
        <row r="95">
          <cell r="L95">
            <v>-1.144188</v>
          </cell>
        </row>
        <row r="96">
          <cell r="L96">
            <v>-1.149017</v>
          </cell>
        </row>
        <row r="97">
          <cell r="L97">
            <v>-1.162102</v>
          </cell>
        </row>
        <row r="98">
          <cell r="L98">
            <v>-1.177997</v>
          </cell>
        </row>
        <row r="99">
          <cell r="L99">
            <v>-1.180947</v>
          </cell>
        </row>
        <row r="100">
          <cell r="L100">
            <v>-1.168293</v>
          </cell>
        </row>
        <row r="101">
          <cell r="L101">
            <v>-1.188823</v>
          </cell>
        </row>
        <row r="102">
          <cell r="L102">
            <v>-1.1682490000000001</v>
          </cell>
        </row>
      </sheetData>
      <sheetData sheetId="5">
        <row r="2">
          <cell r="AA2">
            <v>1</v>
          </cell>
        </row>
        <row r="3">
          <cell r="AA3">
            <v>0.99</v>
          </cell>
        </row>
        <row r="4">
          <cell r="AA4">
            <v>0.99966699999999997</v>
          </cell>
        </row>
      </sheetData>
      <sheetData sheetId="6">
        <row r="2">
          <cell r="L2">
            <v>0</v>
          </cell>
        </row>
        <row r="3">
          <cell r="L3">
            <v>-7.9360000000000003E-3</v>
          </cell>
        </row>
        <row r="4">
          <cell r="L4">
            <v>-1.451E-2</v>
          </cell>
          <cell r="O4">
            <v>0</v>
          </cell>
        </row>
        <row r="5">
          <cell r="L5">
            <v>-1.4592000000000001E-2</v>
          </cell>
          <cell r="O5">
            <v>1</v>
          </cell>
        </row>
        <row r="6">
          <cell r="L6">
            <v>-1.7070999999999999E-2</v>
          </cell>
          <cell r="O6">
            <v>-0.40472200000000003</v>
          </cell>
        </row>
        <row r="7">
          <cell r="L7">
            <v>-4.5009E-2</v>
          </cell>
        </row>
        <row r="8">
          <cell r="L8">
            <v>-4.6226000000000003E-2</v>
          </cell>
        </row>
        <row r="9">
          <cell r="L9">
            <v>-5.2801000000000001E-2</v>
          </cell>
        </row>
        <row r="10">
          <cell r="L10">
            <v>-5.5011999999999998E-2</v>
          </cell>
        </row>
        <row r="11">
          <cell r="L11">
            <v>-5.7324E-2</v>
          </cell>
        </row>
        <row r="12">
          <cell r="L12">
            <v>-8.6111999999999994E-2</v>
          </cell>
        </row>
        <row r="13">
          <cell r="L13">
            <v>-9.5651E-2</v>
          </cell>
        </row>
        <row r="14">
          <cell r="L14">
            <v>-0.105111</v>
          </cell>
        </row>
        <row r="15">
          <cell r="L15">
            <v>-0.11129799999999999</v>
          </cell>
        </row>
        <row r="16">
          <cell r="L16">
            <v>-0.13996700000000001</v>
          </cell>
        </row>
        <row r="17">
          <cell r="L17">
            <v>-0.153696</v>
          </cell>
        </row>
        <row r="18">
          <cell r="L18">
            <v>-0.175841</v>
          </cell>
        </row>
        <row r="19">
          <cell r="L19">
            <v>-0.186971</v>
          </cell>
        </row>
        <row r="20">
          <cell r="L20">
            <v>-0.19258</v>
          </cell>
        </row>
        <row r="21">
          <cell r="L21">
            <v>-0.20146</v>
          </cell>
        </row>
        <row r="22">
          <cell r="L22">
            <v>-0.204065</v>
          </cell>
        </row>
        <row r="23">
          <cell r="L23">
            <v>-0.18062900000000001</v>
          </cell>
        </row>
        <row r="24">
          <cell r="L24">
            <v>-0.17929</v>
          </cell>
        </row>
        <row r="25">
          <cell r="L25">
            <v>-0.190612</v>
          </cell>
        </row>
        <row r="26">
          <cell r="L26">
            <v>-0.19714899999999999</v>
          </cell>
        </row>
        <row r="27">
          <cell r="L27">
            <v>-0.20255999999999999</v>
          </cell>
        </row>
        <row r="28">
          <cell r="L28">
            <v>-0.20824000000000001</v>
          </cell>
        </row>
        <row r="29">
          <cell r="L29">
            <v>-0.22294700000000001</v>
          </cell>
        </row>
        <row r="30">
          <cell r="L30">
            <v>-0.224742</v>
          </cell>
        </row>
        <row r="31">
          <cell r="L31">
            <v>-0.22936100000000001</v>
          </cell>
        </row>
        <row r="32">
          <cell r="L32">
            <v>-0.22261900000000001</v>
          </cell>
        </row>
        <row r="33">
          <cell r="L33">
            <v>-0.228579</v>
          </cell>
        </row>
        <row r="34">
          <cell r="L34">
            <v>-0.23565</v>
          </cell>
        </row>
        <row r="35">
          <cell r="L35">
            <v>-0.24266299999999999</v>
          </cell>
        </row>
        <row r="36">
          <cell r="L36">
            <v>-0.24660299999999999</v>
          </cell>
        </row>
        <row r="37">
          <cell r="L37">
            <v>-0.26374500000000001</v>
          </cell>
        </row>
        <row r="38">
          <cell r="L38">
            <v>-0.27997499999999997</v>
          </cell>
        </row>
        <row r="39">
          <cell r="L39">
            <v>-0.29628300000000002</v>
          </cell>
        </row>
        <row r="40">
          <cell r="L40">
            <v>-0.31431799999999999</v>
          </cell>
        </row>
        <row r="41">
          <cell r="L41">
            <v>-0.32800000000000001</v>
          </cell>
        </row>
        <row r="42">
          <cell r="L42">
            <v>-0.33194299999999999</v>
          </cell>
        </row>
        <row r="43">
          <cell r="L43">
            <v>-0.336399</v>
          </cell>
        </row>
        <row r="44">
          <cell r="L44">
            <v>-0.33431499999999997</v>
          </cell>
        </row>
        <row r="45">
          <cell r="L45">
            <v>-0.34103699999999998</v>
          </cell>
        </row>
        <row r="46">
          <cell r="L46">
            <v>-0.35408200000000001</v>
          </cell>
        </row>
        <row r="47">
          <cell r="L47">
            <v>-0.36062300000000003</v>
          </cell>
        </row>
        <row r="48">
          <cell r="L48">
            <v>-0.37020700000000001</v>
          </cell>
        </row>
        <row r="49">
          <cell r="L49">
            <v>-0.36842200000000003</v>
          </cell>
        </row>
        <row r="50">
          <cell r="L50">
            <v>-0.37426300000000001</v>
          </cell>
        </row>
        <row r="51">
          <cell r="L51">
            <v>-0.37868800000000002</v>
          </cell>
        </row>
        <row r="52">
          <cell r="L52">
            <v>-0.38633200000000001</v>
          </cell>
        </row>
        <row r="53">
          <cell r="L53">
            <v>-0.40845599999999999</v>
          </cell>
        </row>
        <row r="54">
          <cell r="L54">
            <v>-0.42069000000000001</v>
          </cell>
        </row>
        <row r="55">
          <cell r="L55">
            <v>-0.37255199999999999</v>
          </cell>
        </row>
        <row r="56">
          <cell r="L56">
            <v>-0.39048100000000002</v>
          </cell>
        </row>
        <row r="57">
          <cell r="L57">
            <v>-0.39364399999999999</v>
          </cell>
        </row>
        <row r="58">
          <cell r="L58">
            <v>-0.400169</v>
          </cell>
        </row>
        <row r="59">
          <cell r="L59">
            <v>-0.405335</v>
          </cell>
        </row>
        <row r="60">
          <cell r="L60">
            <v>-0.40960299999999999</v>
          </cell>
        </row>
        <row r="61">
          <cell r="L61">
            <v>-0.40230100000000002</v>
          </cell>
        </row>
        <row r="62">
          <cell r="L62">
            <v>-0.40472200000000003</v>
          </cell>
        </row>
      </sheetData>
      <sheetData sheetId="7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-1.1637E-2</v>
          </cell>
        </row>
        <row r="4">
          <cell r="L4">
            <v>1.2215E-2</v>
          </cell>
          <cell r="O4">
            <v>99</v>
          </cell>
        </row>
        <row r="5">
          <cell r="L5">
            <v>1.7527999999999998E-2</v>
          </cell>
          <cell r="O5">
            <v>0.01</v>
          </cell>
        </row>
        <row r="6">
          <cell r="L6">
            <v>1.2034E-2</v>
          </cell>
          <cell r="O6">
            <v>0.21617</v>
          </cell>
        </row>
        <row r="7">
          <cell r="L7">
            <v>3.1413999999999997E-2</v>
          </cell>
        </row>
        <row r="8">
          <cell r="L8">
            <v>4.6698999999999997E-2</v>
          </cell>
        </row>
        <row r="9">
          <cell r="L9">
            <v>6.6404000000000005E-2</v>
          </cell>
        </row>
        <row r="10">
          <cell r="L10">
            <v>7.0305999999999993E-2</v>
          </cell>
        </row>
        <row r="11">
          <cell r="L11">
            <v>8.0559000000000006E-2</v>
          </cell>
        </row>
        <row r="12">
          <cell r="L12">
            <v>6.5502000000000005E-2</v>
          </cell>
        </row>
        <row r="13">
          <cell r="L13">
            <v>6.9342000000000001E-2</v>
          </cell>
        </row>
        <row r="14">
          <cell r="L14">
            <v>7.4526999999999996E-2</v>
          </cell>
        </row>
        <row r="15">
          <cell r="L15">
            <v>0.109627</v>
          </cell>
        </row>
        <row r="16">
          <cell r="L16">
            <v>0.119599</v>
          </cell>
        </row>
        <row r="17">
          <cell r="L17">
            <v>0.14033000000000001</v>
          </cell>
        </row>
        <row r="18">
          <cell r="L18">
            <v>0.122976</v>
          </cell>
        </row>
        <row r="19">
          <cell r="L19">
            <v>0.13050600000000001</v>
          </cell>
        </row>
        <row r="20">
          <cell r="L20">
            <v>0.12903800000000001</v>
          </cell>
        </row>
        <row r="21">
          <cell r="L21">
            <v>0.16117999999999999</v>
          </cell>
        </row>
        <row r="22">
          <cell r="L22">
            <v>0.15046300000000001</v>
          </cell>
        </row>
        <row r="23">
          <cell r="L23">
            <v>0.158974</v>
          </cell>
        </row>
        <row r="24">
          <cell r="L24">
            <v>0.15257100000000001</v>
          </cell>
        </row>
        <row r="25">
          <cell r="L25">
            <v>0.152557</v>
          </cell>
        </row>
        <row r="26">
          <cell r="L26">
            <v>0.139292</v>
          </cell>
        </row>
        <row r="27">
          <cell r="L27">
            <v>0.14255799999999999</v>
          </cell>
        </row>
        <row r="28">
          <cell r="L28">
            <v>0.15001500000000001</v>
          </cell>
        </row>
        <row r="29">
          <cell r="L29">
            <v>0.149285</v>
          </cell>
        </row>
        <row r="30">
          <cell r="L30">
            <v>0.14699999999999999</v>
          </cell>
        </row>
        <row r="31">
          <cell r="L31">
            <v>0.14574500000000001</v>
          </cell>
        </row>
        <row r="32">
          <cell r="L32">
            <v>0.14624599999999999</v>
          </cell>
        </row>
        <row r="33">
          <cell r="L33">
            <v>0.123025</v>
          </cell>
        </row>
        <row r="34">
          <cell r="L34">
            <v>0.12990399999999999</v>
          </cell>
        </row>
        <row r="35">
          <cell r="L35">
            <v>0.100248</v>
          </cell>
        </row>
        <row r="36">
          <cell r="L36">
            <v>0.10652399999999999</v>
          </cell>
        </row>
        <row r="37">
          <cell r="L37">
            <v>9.4353999999999993E-2</v>
          </cell>
        </row>
        <row r="38">
          <cell r="L38">
            <v>0.102483</v>
          </cell>
        </row>
        <row r="39">
          <cell r="L39">
            <v>9.4463000000000005E-2</v>
          </cell>
        </row>
        <row r="40">
          <cell r="L40">
            <v>9.4092999999999996E-2</v>
          </cell>
        </row>
        <row r="41">
          <cell r="L41">
            <v>9.6724000000000004E-2</v>
          </cell>
        </row>
        <row r="42">
          <cell r="L42">
            <v>0.106617</v>
          </cell>
        </row>
        <row r="43">
          <cell r="L43">
            <v>0.103898</v>
          </cell>
        </row>
        <row r="44">
          <cell r="L44">
            <v>0.109226</v>
          </cell>
        </row>
        <row r="45">
          <cell r="L45">
            <v>0.127611</v>
          </cell>
        </row>
        <row r="46">
          <cell r="L46">
            <v>0.12969900000000001</v>
          </cell>
        </row>
        <row r="47">
          <cell r="L47">
            <v>0.12731100000000001</v>
          </cell>
        </row>
        <row r="48">
          <cell r="L48">
            <v>0.12171899999999999</v>
          </cell>
        </row>
        <row r="49">
          <cell r="L49">
            <v>0.115286</v>
          </cell>
        </row>
        <row r="50">
          <cell r="L50">
            <v>0.117897</v>
          </cell>
        </row>
        <row r="51">
          <cell r="L51">
            <v>0.119709</v>
          </cell>
        </row>
        <row r="52">
          <cell r="L52">
            <v>0.119183</v>
          </cell>
        </row>
        <row r="53">
          <cell r="L53">
            <v>0.117185</v>
          </cell>
        </row>
        <row r="54">
          <cell r="L54">
            <v>0.108472</v>
          </cell>
        </row>
        <row r="55">
          <cell r="L55">
            <v>0.11328299999999999</v>
          </cell>
        </row>
        <row r="56">
          <cell r="L56">
            <v>0.116243</v>
          </cell>
        </row>
        <row r="57">
          <cell r="L57">
            <v>0.136042</v>
          </cell>
        </row>
        <row r="58">
          <cell r="L58">
            <v>0.13079199999999999</v>
          </cell>
        </row>
        <row r="59">
          <cell r="L59">
            <v>0.12694900000000001</v>
          </cell>
        </row>
        <row r="60">
          <cell r="L60">
            <v>0.13905999999999999</v>
          </cell>
        </row>
        <row r="61">
          <cell r="L61">
            <v>0.14049900000000001</v>
          </cell>
        </row>
        <row r="62">
          <cell r="L62">
            <v>0.13502</v>
          </cell>
        </row>
        <row r="63">
          <cell r="L63">
            <v>0.14659700000000001</v>
          </cell>
        </row>
        <row r="64">
          <cell r="L64">
            <v>0.133269</v>
          </cell>
        </row>
        <row r="65">
          <cell r="L65">
            <v>0.14343800000000001</v>
          </cell>
        </row>
        <row r="66">
          <cell r="L66">
            <v>0.13886499999999999</v>
          </cell>
        </row>
        <row r="67">
          <cell r="L67">
            <v>0.141843</v>
          </cell>
        </row>
        <row r="68">
          <cell r="L68">
            <v>0.13755899999999999</v>
          </cell>
        </row>
        <row r="69">
          <cell r="L69">
            <v>0.125862</v>
          </cell>
        </row>
        <row r="70">
          <cell r="L70">
            <v>0.13219500000000001</v>
          </cell>
        </row>
        <row r="71">
          <cell r="L71">
            <v>0.12979299999999999</v>
          </cell>
        </row>
        <row r="72">
          <cell r="L72">
            <v>0.125529</v>
          </cell>
        </row>
        <row r="73">
          <cell r="L73">
            <v>0.13444999999999999</v>
          </cell>
        </row>
        <row r="74">
          <cell r="L74">
            <v>0.147754</v>
          </cell>
        </row>
        <row r="75">
          <cell r="L75">
            <v>0.15820999999999999</v>
          </cell>
        </row>
        <row r="76">
          <cell r="L76">
            <v>0.15006</v>
          </cell>
        </row>
        <row r="77">
          <cell r="L77">
            <v>0.18001900000000001</v>
          </cell>
        </row>
        <row r="78">
          <cell r="L78">
            <v>0.19143199999999999</v>
          </cell>
        </row>
        <row r="79">
          <cell r="L79">
            <v>0.19395499999999999</v>
          </cell>
        </row>
        <row r="80">
          <cell r="L80">
            <v>0.18751899999999999</v>
          </cell>
        </row>
        <row r="81">
          <cell r="L81">
            <v>0.19862299999999999</v>
          </cell>
        </row>
        <row r="82">
          <cell r="L82">
            <v>0.21582299999999999</v>
          </cell>
        </row>
        <row r="83">
          <cell r="L83">
            <v>0.23053100000000001</v>
          </cell>
        </row>
        <row r="84">
          <cell r="L84">
            <v>0.233379</v>
          </cell>
        </row>
        <row r="85">
          <cell r="L85">
            <v>0.22000800000000001</v>
          </cell>
        </row>
        <row r="86">
          <cell r="L86">
            <v>0.22701099999999999</v>
          </cell>
        </row>
        <row r="87">
          <cell r="L87">
            <v>0.2084</v>
          </cell>
        </row>
        <row r="88">
          <cell r="L88">
            <v>0.216282</v>
          </cell>
        </row>
        <row r="89">
          <cell r="L89">
            <v>0.217893</v>
          </cell>
        </row>
        <row r="90">
          <cell r="L90">
            <v>0.24627199999999999</v>
          </cell>
        </row>
        <row r="91">
          <cell r="L91">
            <v>0.249699</v>
          </cell>
        </row>
        <row r="92">
          <cell r="L92">
            <v>0.22913600000000001</v>
          </cell>
        </row>
        <row r="93">
          <cell r="L93">
            <v>0.239506</v>
          </cell>
        </row>
        <row r="94">
          <cell r="L94">
            <v>0.23149600000000001</v>
          </cell>
        </row>
        <row r="95">
          <cell r="L95">
            <v>0.24496899999999999</v>
          </cell>
        </row>
        <row r="96">
          <cell r="L96">
            <v>0.24191799999999999</v>
          </cell>
        </row>
        <row r="97">
          <cell r="L97">
            <v>0.23647299999999999</v>
          </cell>
        </row>
        <row r="98">
          <cell r="L98">
            <v>0.23425099999999999</v>
          </cell>
        </row>
        <row r="99">
          <cell r="L99">
            <v>0.23454900000000001</v>
          </cell>
        </row>
        <row r="100">
          <cell r="L100">
            <v>0.223972</v>
          </cell>
        </row>
        <row r="101">
          <cell r="L101">
            <v>0.23002900000000001</v>
          </cell>
        </row>
        <row r="102">
          <cell r="L102">
            <v>0.21617</v>
          </cell>
        </row>
      </sheetData>
      <sheetData sheetId="1">
        <row r="2">
          <cell r="AA2">
            <v>0.64</v>
          </cell>
        </row>
        <row r="3">
          <cell r="AA3">
            <v>0.01</v>
          </cell>
        </row>
        <row r="4">
          <cell r="AA4">
            <v>0.20866699999999999</v>
          </cell>
        </row>
      </sheetData>
      <sheetData sheetId="2">
        <row r="2">
          <cell r="L2">
            <v>0</v>
          </cell>
        </row>
        <row r="3">
          <cell r="L3">
            <v>3.581E-3</v>
          </cell>
        </row>
        <row r="4">
          <cell r="L4">
            <v>1.0958000000000001E-2</v>
          </cell>
          <cell r="O4">
            <v>59</v>
          </cell>
        </row>
        <row r="5">
          <cell r="L5">
            <v>1.5970000000000002E-2</v>
          </cell>
          <cell r="O5">
            <v>1.6667000000000001E-2</v>
          </cell>
        </row>
        <row r="6">
          <cell r="L6">
            <v>2.6440000000000001E-3</v>
          </cell>
          <cell r="O6">
            <v>0.216919</v>
          </cell>
        </row>
        <row r="7">
          <cell r="L7">
            <v>-1.1559999999999999E-3</v>
          </cell>
        </row>
        <row r="8">
          <cell r="L8">
            <v>9.5549999999999993E-3</v>
          </cell>
        </row>
        <row r="9">
          <cell r="L9">
            <v>1.3283E-2</v>
          </cell>
        </row>
        <row r="10">
          <cell r="L10">
            <v>2.5618999999999999E-2</v>
          </cell>
        </row>
        <row r="11">
          <cell r="L11">
            <v>2.3324000000000001E-2</v>
          </cell>
        </row>
        <row r="12">
          <cell r="L12">
            <v>2.3889000000000001E-2</v>
          </cell>
        </row>
        <row r="13">
          <cell r="L13">
            <v>4.7613000000000003E-2</v>
          </cell>
        </row>
        <row r="14">
          <cell r="L14">
            <v>5.4418000000000001E-2</v>
          </cell>
        </row>
        <row r="15">
          <cell r="L15">
            <v>6.2664999999999998E-2</v>
          </cell>
        </row>
        <row r="16">
          <cell r="L16">
            <v>5.2350000000000001E-2</v>
          </cell>
        </row>
        <row r="17">
          <cell r="L17">
            <v>5.8964000000000003E-2</v>
          </cell>
        </row>
        <row r="18">
          <cell r="L18">
            <v>6.1435999999999998E-2</v>
          </cell>
        </row>
        <row r="19">
          <cell r="L19">
            <v>6.5196000000000004E-2</v>
          </cell>
        </row>
        <row r="20">
          <cell r="L20">
            <v>6.4982999999999999E-2</v>
          </cell>
        </row>
        <row r="21">
          <cell r="L21">
            <v>7.6200000000000004E-2</v>
          </cell>
        </row>
        <row r="22">
          <cell r="L22">
            <v>8.7248999999999993E-2</v>
          </cell>
        </row>
        <row r="23">
          <cell r="L23">
            <v>9.7209000000000004E-2</v>
          </cell>
        </row>
        <row r="24">
          <cell r="L24">
            <v>0.10510899999999999</v>
          </cell>
        </row>
        <row r="25">
          <cell r="L25">
            <v>0.10731400000000001</v>
          </cell>
        </row>
        <row r="26">
          <cell r="L26">
            <v>0.111121</v>
          </cell>
        </row>
        <row r="27">
          <cell r="L27">
            <v>0.117157</v>
          </cell>
        </row>
        <row r="28">
          <cell r="L28">
            <v>0.120244</v>
          </cell>
        </row>
        <row r="29">
          <cell r="L29">
            <v>0.117248</v>
          </cell>
        </row>
        <row r="30">
          <cell r="L30">
            <v>0.132054</v>
          </cell>
        </row>
        <row r="31">
          <cell r="L31">
            <v>0.13734299999999999</v>
          </cell>
        </row>
        <row r="32">
          <cell r="L32">
            <v>0.141962</v>
          </cell>
        </row>
        <row r="33">
          <cell r="L33">
            <v>0.14463100000000001</v>
          </cell>
        </row>
        <row r="34">
          <cell r="L34">
            <v>0.153751</v>
          </cell>
        </row>
        <row r="35">
          <cell r="L35">
            <v>0.15922700000000001</v>
          </cell>
        </row>
        <row r="36">
          <cell r="L36">
            <v>0.16797899999999999</v>
          </cell>
        </row>
        <row r="37">
          <cell r="L37">
            <v>0.140405</v>
          </cell>
        </row>
        <row r="38">
          <cell r="L38">
            <v>0.15104799999999999</v>
          </cell>
        </row>
        <row r="39">
          <cell r="L39">
            <v>0.149973</v>
          </cell>
        </row>
        <row r="40">
          <cell r="L40">
            <v>0.15424199999999999</v>
          </cell>
        </row>
        <row r="41">
          <cell r="L41">
            <v>0.16308</v>
          </cell>
        </row>
        <row r="42">
          <cell r="L42">
            <v>0.16564100000000001</v>
          </cell>
        </row>
        <row r="43">
          <cell r="L43">
            <v>0.14338200000000001</v>
          </cell>
        </row>
        <row r="44">
          <cell r="L44">
            <v>0.14765200000000001</v>
          </cell>
        </row>
        <row r="45">
          <cell r="L45">
            <v>0.14868999999999999</v>
          </cell>
        </row>
        <row r="46">
          <cell r="L46">
            <v>0.15587799999999999</v>
          </cell>
        </row>
        <row r="47">
          <cell r="L47">
            <v>0.16029399999999999</v>
          </cell>
        </row>
        <row r="48">
          <cell r="L48">
            <v>0.154586</v>
          </cell>
        </row>
        <row r="49">
          <cell r="L49">
            <v>0.15836</v>
          </cell>
        </row>
        <row r="50">
          <cell r="L50">
            <v>0.16433700000000001</v>
          </cell>
        </row>
        <row r="51">
          <cell r="L51">
            <v>0.17361299999999999</v>
          </cell>
        </row>
        <row r="52">
          <cell r="L52">
            <v>0.17757200000000001</v>
          </cell>
        </row>
        <row r="53">
          <cell r="L53">
            <v>0.177818</v>
          </cell>
        </row>
        <row r="54">
          <cell r="L54">
            <v>0.186858</v>
          </cell>
        </row>
        <row r="55">
          <cell r="L55">
            <v>0.16631199999999999</v>
          </cell>
        </row>
        <row r="56">
          <cell r="L56">
            <v>0.180616</v>
          </cell>
        </row>
        <row r="57">
          <cell r="L57">
            <v>0.18097099999999999</v>
          </cell>
        </row>
        <row r="58">
          <cell r="L58">
            <v>0.185499</v>
          </cell>
        </row>
        <row r="59">
          <cell r="L59">
            <v>0.18726699999999999</v>
          </cell>
        </row>
        <row r="60">
          <cell r="L60">
            <v>0.18765799999999999</v>
          </cell>
        </row>
        <row r="61">
          <cell r="L61">
            <v>0.209727</v>
          </cell>
        </row>
        <row r="62">
          <cell r="L62">
            <v>0.216919</v>
          </cell>
        </row>
      </sheetData>
      <sheetData sheetId="3">
        <row r="2">
          <cell r="AA2">
            <v>0.2</v>
          </cell>
        </row>
        <row r="3">
          <cell r="AA3">
            <v>0</v>
          </cell>
        </row>
        <row r="4">
          <cell r="AA4">
            <v>6.0832999999999998E-2</v>
          </cell>
        </row>
      </sheetData>
      <sheetData sheetId="4">
        <row r="2">
          <cell r="L2">
            <v>0</v>
          </cell>
        </row>
        <row r="3">
          <cell r="L3">
            <v>-1.0848E-2</v>
          </cell>
        </row>
        <row r="4">
          <cell r="L4">
            <v>-1.0285000000000001E-2</v>
          </cell>
          <cell r="O4">
            <v>0</v>
          </cell>
        </row>
        <row r="5">
          <cell r="L5">
            <v>-3.1251000000000001E-2</v>
          </cell>
          <cell r="O5">
            <v>1</v>
          </cell>
        </row>
        <row r="6">
          <cell r="L6">
            <v>-5.2004000000000002E-2</v>
          </cell>
          <cell r="O6">
            <v>-0.82979400000000003</v>
          </cell>
        </row>
        <row r="7">
          <cell r="L7">
            <v>-4.7551999999999997E-2</v>
          </cell>
        </row>
        <row r="8">
          <cell r="L8">
            <v>-2.7390999999999999E-2</v>
          </cell>
        </row>
        <row r="9">
          <cell r="L9">
            <v>-3.5324000000000001E-2</v>
          </cell>
        </row>
        <row r="10">
          <cell r="L10">
            <v>-3.6087000000000001E-2</v>
          </cell>
        </row>
        <row r="11">
          <cell r="L11">
            <v>-4.8561E-2</v>
          </cell>
        </row>
        <row r="12">
          <cell r="L12">
            <v>-1.1219E-2</v>
          </cell>
        </row>
        <row r="13">
          <cell r="L13">
            <v>-2.5676000000000001E-2</v>
          </cell>
        </row>
        <row r="14">
          <cell r="L14">
            <v>-2.7283999999999999E-2</v>
          </cell>
        </row>
        <row r="15">
          <cell r="L15">
            <v>-6.4146999999999996E-2</v>
          </cell>
        </row>
        <row r="16">
          <cell r="L16">
            <v>-8.2579E-2</v>
          </cell>
        </row>
        <row r="17">
          <cell r="L17">
            <v>-9.3350000000000002E-2</v>
          </cell>
        </row>
        <row r="18">
          <cell r="L18">
            <v>-0.129029</v>
          </cell>
        </row>
        <row r="19">
          <cell r="L19">
            <v>-0.118727</v>
          </cell>
        </row>
        <row r="20">
          <cell r="L20">
            <v>-0.120894</v>
          </cell>
        </row>
        <row r="21">
          <cell r="L21">
            <v>-0.11697</v>
          </cell>
        </row>
        <row r="22">
          <cell r="L22">
            <v>-0.158361</v>
          </cell>
        </row>
        <row r="23">
          <cell r="L23">
            <v>-0.16251599999999999</v>
          </cell>
        </row>
        <row r="24">
          <cell r="L24">
            <v>-0.159444</v>
          </cell>
        </row>
        <row r="25">
          <cell r="L25">
            <v>-0.16045899999999999</v>
          </cell>
        </row>
        <row r="26">
          <cell r="L26">
            <v>-0.17702200000000001</v>
          </cell>
        </row>
        <row r="27">
          <cell r="L27">
            <v>-0.179623</v>
          </cell>
        </row>
        <row r="28">
          <cell r="L28">
            <v>-0.18121300000000001</v>
          </cell>
        </row>
        <row r="29">
          <cell r="L29">
            <v>-0.184753</v>
          </cell>
        </row>
        <row r="30">
          <cell r="L30">
            <v>-0.19835800000000001</v>
          </cell>
        </row>
        <row r="31">
          <cell r="L31">
            <v>-0.20874599999999999</v>
          </cell>
        </row>
        <row r="32">
          <cell r="L32">
            <v>-0.214781</v>
          </cell>
        </row>
        <row r="33">
          <cell r="L33">
            <v>-0.21782599999999999</v>
          </cell>
        </row>
        <row r="34">
          <cell r="L34">
            <v>-0.25586500000000001</v>
          </cell>
        </row>
        <row r="35">
          <cell r="L35">
            <v>-0.25675799999999999</v>
          </cell>
        </row>
        <row r="36">
          <cell r="L36">
            <v>-0.269123</v>
          </cell>
        </row>
        <row r="37">
          <cell r="L37">
            <v>-0.288574</v>
          </cell>
        </row>
        <row r="38">
          <cell r="L38">
            <v>-0.29046499999999997</v>
          </cell>
        </row>
        <row r="39">
          <cell r="L39">
            <v>-0.31615500000000002</v>
          </cell>
        </row>
        <row r="40">
          <cell r="L40">
            <v>-0.33022800000000002</v>
          </cell>
        </row>
        <row r="41">
          <cell r="L41">
            <v>-0.33308700000000002</v>
          </cell>
        </row>
        <row r="42">
          <cell r="L42">
            <v>-0.345914</v>
          </cell>
        </row>
        <row r="43">
          <cell r="L43">
            <v>-0.36096600000000001</v>
          </cell>
        </row>
        <row r="44">
          <cell r="L44">
            <v>-0.36851200000000001</v>
          </cell>
        </row>
        <row r="45">
          <cell r="L45">
            <v>-0.36489199999999999</v>
          </cell>
        </row>
        <row r="46">
          <cell r="L46">
            <v>-0.372722</v>
          </cell>
        </row>
        <row r="47">
          <cell r="L47">
            <v>-0.38312499999999999</v>
          </cell>
        </row>
        <row r="48">
          <cell r="L48">
            <v>-0.39354899999999998</v>
          </cell>
        </row>
        <row r="49">
          <cell r="L49">
            <v>-0.40820200000000001</v>
          </cell>
        </row>
        <row r="50">
          <cell r="L50">
            <v>-0.40010400000000002</v>
          </cell>
        </row>
        <row r="51">
          <cell r="L51">
            <v>-0.39248100000000002</v>
          </cell>
        </row>
        <row r="52">
          <cell r="L52">
            <v>-0.40634100000000001</v>
          </cell>
        </row>
        <row r="53">
          <cell r="L53">
            <v>-0.39248499999999997</v>
          </cell>
        </row>
        <row r="54">
          <cell r="L54">
            <v>-0.36869400000000002</v>
          </cell>
        </row>
        <row r="55">
          <cell r="L55">
            <v>-0.40457900000000002</v>
          </cell>
        </row>
        <row r="56">
          <cell r="L56">
            <v>-0.40481800000000001</v>
          </cell>
        </row>
        <row r="57">
          <cell r="L57">
            <v>-0.38601799999999997</v>
          </cell>
        </row>
        <row r="58">
          <cell r="L58">
            <v>-0.40213300000000002</v>
          </cell>
        </row>
        <row r="59">
          <cell r="L59">
            <v>-0.41871900000000001</v>
          </cell>
        </row>
        <row r="60">
          <cell r="L60">
            <v>-0.40346599999999999</v>
          </cell>
        </row>
        <row r="61">
          <cell r="L61">
            <v>-0.39101999999999998</v>
          </cell>
        </row>
        <row r="62">
          <cell r="L62">
            <v>-0.412273</v>
          </cell>
        </row>
        <row r="63">
          <cell r="L63">
            <v>-0.42258299999999999</v>
          </cell>
        </row>
        <row r="64">
          <cell r="L64">
            <v>-0.432641</v>
          </cell>
        </row>
        <row r="65">
          <cell r="L65">
            <v>-0.448994</v>
          </cell>
        </row>
        <row r="66">
          <cell r="L66">
            <v>-0.46648099999999998</v>
          </cell>
        </row>
        <row r="67">
          <cell r="L67">
            <v>-0.47080499999999997</v>
          </cell>
        </row>
        <row r="68">
          <cell r="L68">
            <v>-0.47578100000000001</v>
          </cell>
        </row>
        <row r="69">
          <cell r="L69">
            <v>-0.490342</v>
          </cell>
        </row>
        <row r="70">
          <cell r="L70">
            <v>-0.48724400000000001</v>
          </cell>
        </row>
        <row r="71">
          <cell r="L71">
            <v>-0.48951</v>
          </cell>
        </row>
        <row r="72">
          <cell r="L72">
            <v>-0.49984800000000001</v>
          </cell>
        </row>
        <row r="73">
          <cell r="L73">
            <v>-0.50240399999999996</v>
          </cell>
        </row>
        <row r="74">
          <cell r="L74">
            <v>-0.50255700000000003</v>
          </cell>
        </row>
        <row r="75">
          <cell r="L75">
            <v>-0.51526400000000006</v>
          </cell>
        </row>
        <row r="76">
          <cell r="L76">
            <v>-0.51822400000000002</v>
          </cell>
        </row>
        <row r="77">
          <cell r="L77">
            <v>-0.53306200000000004</v>
          </cell>
        </row>
        <row r="78">
          <cell r="L78">
            <v>-0.54713800000000001</v>
          </cell>
        </row>
        <row r="79">
          <cell r="L79">
            <v>-0.558145</v>
          </cell>
        </row>
        <row r="80">
          <cell r="L80">
            <v>-0.57237199999999999</v>
          </cell>
        </row>
        <row r="81">
          <cell r="L81">
            <v>-0.55362599999999995</v>
          </cell>
        </row>
        <row r="82">
          <cell r="L82">
            <v>-0.59017200000000003</v>
          </cell>
        </row>
        <row r="83">
          <cell r="L83">
            <v>-0.60390900000000003</v>
          </cell>
        </row>
        <row r="84">
          <cell r="L84">
            <v>-0.644486</v>
          </cell>
        </row>
        <row r="85">
          <cell r="L85">
            <v>-0.65019800000000005</v>
          </cell>
        </row>
        <row r="86">
          <cell r="L86">
            <v>-0.68172200000000005</v>
          </cell>
        </row>
        <row r="87">
          <cell r="L87">
            <v>-0.67336300000000004</v>
          </cell>
        </row>
        <row r="88">
          <cell r="L88">
            <v>-0.71692299999999998</v>
          </cell>
        </row>
        <row r="89">
          <cell r="L89">
            <v>-0.725406</v>
          </cell>
        </row>
        <row r="90">
          <cell r="L90">
            <v>-0.739228</v>
          </cell>
        </row>
        <row r="91">
          <cell r="L91">
            <v>-0.75831599999999999</v>
          </cell>
        </row>
        <row r="92">
          <cell r="L92">
            <v>-0.77681599999999995</v>
          </cell>
        </row>
        <row r="93">
          <cell r="L93">
            <v>-0.78801100000000002</v>
          </cell>
        </row>
        <row r="94">
          <cell r="L94">
            <v>-0.79188599999999998</v>
          </cell>
        </row>
        <row r="95">
          <cell r="L95">
            <v>-0.77707000000000004</v>
          </cell>
        </row>
        <row r="96">
          <cell r="L96">
            <v>-0.80386800000000003</v>
          </cell>
        </row>
        <row r="97">
          <cell r="L97">
            <v>-0.80167900000000003</v>
          </cell>
        </row>
        <row r="98">
          <cell r="L98">
            <v>-0.81172500000000003</v>
          </cell>
        </row>
        <row r="99">
          <cell r="L99">
            <v>-0.81866300000000003</v>
          </cell>
        </row>
        <row r="100">
          <cell r="L100">
            <v>-0.82408499999999996</v>
          </cell>
        </row>
        <row r="101">
          <cell r="L101">
            <v>-0.83884199999999998</v>
          </cell>
        </row>
        <row r="102">
          <cell r="L102">
            <v>-0.82979400000000003</v>
          </cell>
        </row>
      </sheetData>
      <sheetData sheetId="5">
        <row r="2">
          <cell r="AA2">
            <v>1</v>
          </cell>
        </row>
        <row r="3">
          <cell r="AA3">
            <v>0.99</v>
          </cell>
        </row>
        <row r="4">
          <cell r="AA4">
            <v>0.99966699999999997</v>
          </cell>
        </row>
      </sheetData>
      <sheetData sheetId="6">
        <row r="2">
          <cell r="L2">
            <v>0</v>
          </cell>
        </row>
        <row r="3">
          <cell r="L3">
            <v>-2.794E-3</v>
          </cell>
        </row>
        <row r="4">
          <cell r="L4">
            <v>6.6799999999999997E-4</v>
          </cell>
          <cell r="O4">
            <v>26</v>
          </cell>
        </row>
        <row r="5">
          <cell r="L5">
            <v>1.841E-3</v>
          </cell>
          <cell r="O5">
            <v>0.56666700000000003</v>
          </cell>
        </row>
        <row r="6">
          <cell r="L6">
            <v>1.2389000000000001E-2</v>
          </cell>
          <cell r="O6">
            <v>-0.162244</v>
          </cell>
        </row>
        <row r="7">
          <cell r="L7">
            <v>-3.9439999999999996E-3</v>
          </cell>
        </row>
        <row r="8">
          <cell r="L8">
            <v>5.9379999999999997E-3</v>
          </cell>
        </row>
        <row r="9">
          <cell r="L9">
            <v>1.3417999999999999E-2</v>
          </cell>
        </row>
        <row r="10">
          <cell r="L10">
            <v>1.0737E-2</v>
          </cell>
        </row>
        <row r="11">
          <cell r="L11">
            <v>9.2549999999999993E-3</v>
          </cell>
        </row>
        <row r="12">
          <cell r="L12">
            <v>2.5460000000000001E-3</v>
          </cell>
        </row>
        <row r="13">
          <cell r="L13">
            <v>5.757E-3</v>
          </cell>
        </row>
        <row r="14">
          <cell r="L14">
            <v>9.4799999999999995E-4</v>
          </cell>
        </row>
        <row r="15">
          <cell r="L15">
            <v>-1.1969999999999999E-3</v>
          </cell>
        </row>
        <row r="16">
          <cell r="L16">
            <v>-7.9100000000000004E-3</v>
          </cell>
        </row>
        <row r="17">
          <cell r="L17">
            <v>-4.7460000000000002E-3</v>
          </cell>
        </row>
        <row r="18">
          <cell r="L18">
            <v>-1.4189999999999999E-3</v>
          </cell>
        </row>
        <row r="19">
          <cell r="L19">
            <v>-4.6319999999999998E-3</v>
          </cell>
        </row>
        <row r="20">
          <cell r="L20">
            <v>1.2279999999999999E-3</v>
          </cell>
        </row>
        <row r="21">
          <cell r="L21">
            <v>2.6719999999999999E-3</v>
          </cell>
        </row>
        <row r="22">
          <cell r="L22">
            <v>-1.884E-3</v>
          </cell>
        </row>
        <row r="23">
          <cell r="L23">
            <v>8.0199999999999994E-3</v>
          </cell>
        </row>
        <row r="24">
          <cell r="L24">
            <v>1.8089000000000001E-2</v>
          </cell>
        </row>
        <row r="25">
          <cell r="L25">
            <v>1.3979999999999999E-2</v>
          </cell>
        </row>
        <row r="26">
          <cell r="L26">
            <v>1.3184E-2</v>
          </cell>
        </row>
        <row r="27">
          <cell r="L27">
            <v>2.8367E-2</v>
          </cell>
        </row>
        <row r="28">
          <cell r="L28">
            <v>3.1583E-2</v>
          </cell>
        </row>
        <row r="29">
          <cell r="L29">
            <v>1.3341E-2</v>
          </cell>
        </row>
        <row r="30">
          <cell r="L30">
            <v>1.4536E-2</v>
          </cell>
        </row>
        <row r="31">
          <cell r="L31">
            <v>2.2327E-2</v>
          </cell>
        </row>
        <row r="32">
          <cell r="L32">
            <v>2.1309999999999999E-2</v>
          </cell>
        </row>
        <row r="33">
          <cell r="L33">
            <v>2.4292000000000001E-2</v>
          </cell>
        </row>
        <row r="34">
          <cell r="L34">
            <v>2.0836E-2</v>
          </cell>
        </row>
        <row r="35">
          <cell r="L35">
            <v>2.2245999999999998E-2</v>
          </cell>
        </row>
        <row r="36">
          <cell r="L36">
            <v>2.4988E-2</v>
          </cell>
        </row>
        <row r="37">
          <cell r="L37">
            <v>-9.6539999999999994E-3</v>
          </cell>
        </row>
        <row r="38">
          <cell r="L38">
            <v>-2.9588E-2</v>
          </cell>
        </row>
        <row r="39">
          <cell r="L39">
            <v>-2.5978000000000001E-2</v>
          </cell>
        </row>
        <row r="40">
          <cell r="L40">
            <v>-2.5464000000000001E-2</v>
          </cell>
        </row>
        <row r="41">
          <cell r="L41">
            <v>-2.5059000000000001E-2</v>
          </cell>
        </row>
        <row r="42">
          <cell r="L42">
            <v>-2.1568E-2</v>
          </cell>
        </row>
        <row r="43">
          <cell r="L43">
            <v>-0.11808399999999999</v>
          </cell>
        </row>
        <row r="44">
          <cell r="L44">
            <v>-0.126639</v>
          </cell>
        </row>
        <row r="45">
          <cell r="L45">
            <v>-0.122863</v>
          </cell>
        </row>
        <row r="46">
          <cell r="L46">
            <v>-0.127775</v>
          </cell>
        </row>
        <row r="47">
          <cell r="L47">
            <v>-0.12617700000000001</v>
          </cell>
        </row>
        <row r="48">
          <cell r="L48">
            <v>-0.12659599999999999</v>
          </cell>
        </row>
        <row r="49">
          <cell r="L49">
            <v>-0.129001</v>
          </cell>
        </row>
        <row r="50">
          <cell r="L50">
            <v>-0.136517</v>
          </cell>
        </row>
        <row r="51">
          <cell r="L51">
            <v>-0.13631299999999999</v>
          </cell>
        </row>
        <row r="52">
          <cell r="L52">
            <v>-0.12388299999999999</v>
          </cell>
        </row>
        <row r="53">
          <cell r="L53">
            <v>-0.119895</v>
          </cell>
        </row>
        <row r="54">
          <cell r="L54">
            <v>-0.12640499999999999</v>
          </cell>
        </row>
        <row r="55">
          <cell r="L55">
            <v>-0.14791799999999999</v>
          </cell>
        </row>
        <row r="56">
          <cell r="L56">
            <v>-0.16298399999999999</v>
          </cell>
        </row>
        <row r="57">
          <cell r="L57">
            <v>-0.15869900000000001</v>
          </cell>
        </row>
        <row r="58">
          <cell r="L58">
            <v>-0.14626</v>
          </cell>
        </row>
        <row r="59">
          <cell r="L59">
            <v>-0.14923900000000001</v>
          </cell>
        </row>
        <row r="60">
          <cell r="L60">
            <v>-0.14882699999999999</v>
          </cell>
        </row>
        <row r="61">
          <cell r="L61">
            <v>-0.137184</v>
          </cell>
        </row>
        <row r="62">
          <cell r="L62">
            <v>-0.162244</v>
          </cell>
        </row>
      </sheetData>
      <sheetData sheetId="7">
        <row r="2">
          <cell r="AA2">
            <v>1</v>
          </cell>
        </row>
        <row r="3">
          <cell r="AA3">
            <v>0.45</v>
          </cell>
        </row>
        <row r="4">
          <cell r="AA4">
            <v>0.91166700000000001</v>
          </cell>
        </row>
      </sheetData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-1.374E-3</v>
          </cell>
        </row>
        <row r="4">
          <cell r="L4">
            <v>7.0349999999999996E-3</v>
          </cell>
          <cell r="O4">
            <v>99</v>
          </cell>
        </row>
        <row r="5">
          <cell r="L5">
            <v>3.0006000000000001E-2</v>
          </cell>
          <cell r="O5">
            <v>0.01</v>
          </cell>
        </row>
        <row r="6">
          <cell r="L6">
            <v>3.7472999999999999E-2</v>
          </cell>
          <cell r="O6">
            <v>0.64480199999999999</v>
          </cell>
        </row>
        <row r="7">
          <cell r="L7">
            <v>5.1175999999999999E-2</v>
          </cell>
        </row>
        <row r="8">
          <cell r="L8">
            <v>6.4715999999999996E-2</v>
          </cell>
        </row>
        <row r="9">
          <cell r="L9">
            <v>9.8687999999999998E-2</v>
          </cell>
        </row>
        <row r="10">
          <cell r="L10">
            <v>0.115589</v>
          </cell>
        </row>
        <row r="11">
          <cell r="L11">
            <v>0.12725500000000001</v>
          </cell>
        </row>
        <row r="12">
          <cell r="L12">
            <v>9.6585000000000004E-2</v>
          </cell>
        </row>
        <row r="13">
          <cell r="L13">
            <v>0.105115</v>
          </cell>
        </row>
        <row r="14">
          <cell r="L14">
            <v>0.125444</v>
          </cell>
        </row>
        <row r="15">
          <cell r="L15">
            <v>0.12612100000000001</v>
          </cell>
        </row>
        <row r="16">
          <cell r="L16">
            <v>0.122116</v>
          </cell>
        </row>
        <row r="17">
          <cell r="L17">
            <v>0.140736</v>
          </cell>
        </row>
        <row r="18">
          <cell r="L18">
            <v>0.12587100000000001</v>
          </cell>
        </row>
        <row r="19">
          <cell r="L19">
            <v>0.14223</v>
          </cell>
        </row>
        <row r="20">
          <cell r="L20">
            <v>0.18520900000000001</v>
          </cell>
        </row>
        <row r="21">
          <cell r="L21">
            <v>0.24598700000000001</v>
          </cell>
        </row>
        <row r="22">
          <cell r="L22">
            <v>0.24298700000000001</v>
          </cell>
        </row>
        <row r="23">
          <cell r="L23">
            <v>0.27637099999999998</v>
          </cell>
        </row>
        <row r="24">
          <cell r="L24">
            <v>0.28136499999999998</v>
          </cell>
        </row>
        <row r="25">
          <cell r="L25">
            <v>0.27383400000000002</v>
          </cell>
        </row>
        <row r="26">
          <cell r="L26">
            <v>0.271702</v>
          </cell>
        </row>
        <row r="27">
          <cell r="L27">
            <v>0.27511600000000003</v>
          </cell>
        </row>
        <row r="28">
          <cell r="L28">
            <v>0.28917599999999999</v>
          </cell>
        </row>
        <row r="29">
          <cell r="L29">
            <v>0.29477700000000001</v>
          </cell>
        </row>
        <row r="30">
          <cell r="L30">
            <v>0.28842299999999998</v>
          </cell>
        </row>
        <row r="31">
          <cell r="L31">
            <v>0.29561100000000001</v>
          </cell>
        </row>
        <row r="32">
          <cell r="L32">
            <v>0.29716700000000001</v>
          </cell>
        </row>
        <row r="33">
          <cell r="L33">
            <v>0.28876000000000002</v>
          </cell>
        </row>
        <row r="34">
          <cell r="L34">
            <v>0.30979000000000001</v>
          </cell>
        </row>
        <row r="35">
          <cell r="L35">
            <v>0.27041799999999999</v>
          </cell>
        </row>
        <row r="36">
          <cell r="L36">
            <v>0.28459499999999999</v>
          </cell>
        </row>
        <row r="37">
          <cell r="L37">
            <v>0.27108700000000002</v>
          </cell>
        </row>
        <row r="38">
          <cell r="L38">
            <v>0.28348499999999999</v>
          </cell>
        </row>
        <row r="39">
          <cell r="L39">
            <v>0.27454499999999998</v>
          </cell>
        </row>
        <row r="40">
          <cell r="L40">
            <v>0.28199000000000002</v>
          </cell>
        </row>
        <row r="41">
          <cell r="L41">
            <v>0.291408</v>
          </cell>
        </row>
        <row r="42">
          <cell r="L42">
            <v>0.31329600000000002</v>
          </cell>
        </row>
        <row r="43">
          <cell r="L43">
            <v>0.31417200000000001</v>
          </cell>
        </row>
        <row r="44">
          <cell r="L44">
            <v>0.30976500000000001</v>
          </cell>
        </row>
        <row r="45">
          <cell r="L45">
            <v>0.30383300000000002</v>
          </cell>
        </row>
        <row r="46">
          <cell r="L46">
            <v>0.33019399999999999</v>
          </cell>
        </row>
        <row r="47">
          <cell r="L47">
            <v>0.33906700000000001</v>
          </cell>
        </row>
        <row r="48">
          <cell r="L48">
            <v>0.30179600000000001</v>
          </cell>
        </row>
        <row r="49">
          <cell r="L49">
            <v>0.310141</v>
          </cell>
        </row>
        <row r="50">
          <cell r="L50">
            <v>0.315332</v>
          </cell>
        </row>
        <row r="51">
          <cell r="L51">
            <v>0.31852000000000003</v>
          </cell>
        </row>
        <row r="52">
          <cell r="L52">
            <v>0.32228099999999998</v>
          </cell>
        </row>
        <row r="53">
          <cell r="L53">
            <v>0.35072799999999998</v>
          </cell>
        </row>
        <row r="54">
          <cell r="L54">
            <v>0.29616799999999999</v>
          </cell>
        </row>
        <row r="55">
          <cell r="L55">
            <v>0.33698299999999998</v>
          </cell>
        </row>
        <row r="56">
          <cell r="L56">
            <v>0.32627800000000001</v>
          </cell>
        </row>
        <row r="57">
          <cell r="L57">
            <v>0.32903700000000002</v>
          </cell>
        </row>
        <row r="58">
          <cell r="L58">
            <v>0.29027700000000001</v>
          </cell>
        </row>
        <row r="59">
          <cell r="L59">
            <v>0.31490099999999999</v>
          </cell>
        </row>
        <row r="60">
          <cell r="L60">
            <v>0.31592599999999998</v>
          </cell>
        </row>
        <row r="61">
          <cell r="L61">
            <v>0.32020300000000002</v>
          </cell>
        </row>
        <row r="62">
          <cell r="L62">
            <v>0.34365800000000002</v>
          </cell>
        </row>
        <row r="63">
          <cell r="L63">
            <v>0.35386600000000001</v>
          </cell>
        </row>
        <row r="64">
          <cell r="L64">
            <v>0.35081800000000002</v>
          </cell>
        </row>
        <row r="65">
          <cell r="L65">
            <v>0.35249999999999998</v>
          </cell>
        </row>
        <row r="66">
          <cell r="L66">
            <v>0.37334000000000001</v>
          </cell>
        </row>
        <row r="67">
          <cell r="L67">
            <v>0.37986500000000001</v>
          </cell>
        </row>
        <row r="68">
          <cell r="L68">
            <v>0.40271000000000001</v>
          </cell>
        </row>
        <row r="69">
          <cell r="L69">
            <v>0.40555400000000003</v>
          </cell>
        </row>
        <row r="70">
          <cell r="L70">
            <v>0.42366300000000001</v>
          </cell>
        </row>
        <row r="71">
          <cell r="L71">
            <v>0.42948199999999997</v>
          </cell>
        </row>
        <row r="72">
          <cell r="L72">
            <v>0.461451</v>
          </cell>
        </row>
        <row r="73">
          <cell r="L73">
            <v>0.46528199999999997</v>
          </cell>
        </row>
        <row r="74">
          <cell r="L74">
            <v>0.40828199999999998</v>
          </cell>
        </row>
        <row r="75">
          <cell r="L75">
            <v>0.44181500000000001</v>
          </cell>
        </row>
        <row r="76">
          <cell r="L76">
            <v>0.41270499999999999</v>
          </cell>
        </row>
        <row r="77">
          <cell r="L77">
            <v>0.46358700000000003</v>
          </cell>
        </row>
        <row r="78">
          <cell r="L78">
            <v>0.477244</v>
          </cell>
        </row>
        <row r="79">
          <cell r="L79">
            <v>0.48032999999999998</v>
          </cell>
        </row>
        <row r="80">
          <cell r="L80">
            <v>0.47008800000000001</v>
          </cell>
        </row>
        <row r="81">
          <cell r="L81">
            <v>0.461669</v>
          </cell>
        </row>
        <row r="82">
          <cell r="L82">
            <v>0.52017999999999998</v>
          </cell>
        </row>
        <row r="83">
          <cell r="L83">
            <v>0.53406600000000004</v>
          </cell>
        </row>
        <row r="84">
          <cell r="L84">
            <v>0.50226899999999997</v>
          </cell>
        </row>
        <row r="85">
          <cell r="L85">
            <v>0.52320800000000001</v>
          </cell>
        </row>
        <row r="86">
          <cell r="L86">
            <v>0.55291699999999999</v>
          </cell>
        </row>
        <row r="87">
          <cell r="L87">
            <v>0.53144000000000002</v>
          </cell>
        </row>
        <row r="88">
          <cell r="L88">
            <v>0.54763600000000001</v>
          </cell>
        </row>
        <row r="89">
          <cell r="L89">
            <v>0.57463799999999998</v>
          </cell>
        </row>
        <row r="90">
          <cell r="L90">
            <v>0.59272100000000005</v>
          </cell>
        </row>
        <row r="91">
          <cell r="L91">
            <v>0.60869399999999996</v>
          </cell>
        </row>
        <row r="92">
          <cell r="L92">
            <v>0.61405500000000002</v>
          </cell>
        </row>
        <row r="93">
          <cell r="L93">
            <v>0.60801499999999997</v>
          </cell>
        </row>
        <row r="94">
          <cell r="L94">
            <v>0.61709800000000004</v>
          </cell>
        </row>
        <row r="95">
          <cell r="L95">
            <v>0.62547600000000003</v>
          </cell>
        </row>
        <row r="96">
          <cell r="L96">
            <v>0.61411700000000002</v>
          </cell>
        </row>
        <row r="97">
          <cell r="L97">
            <v>0.640463</v>
          </cell>
        </row>
        <row r="98">
          <cell r="L98">
            <v>0.62914199999999998</v>
          </cell>
        </row>
        <row r="99">
          <cell r="L99">
            <v>0.66372799999999998</v>
          </cell>
        </row>
        <row r="100">
          <cell r="L100">
            <v>0.65401399999999998</v>
          </cell>
        </row>
        <row r="101">
          <cell r="L101">
            <v>0.67313599999999996</v>
          </cell>
        </row>
        <row r="102">
          <cell r="L102">
            <v>0.64480199999999999</v>
          </cell>
        </row>
      </sheetData>
      <sheetData sheetId="1">
        <row r="2">
          <cell r="AA2">
            <v>0.2</v>
          </cell>
        </row>
        <row r="3">
          <cell r="AA3">
            <v>0</v>
          </cell>
        </row>
        <row r="4">
          <cell r="AA4">
            <v>6.1667E-2</v>
          </cell>
        </row>
      </sheetData>
      <sheetData sheetId="2">
        <row r="2">
          <cell r="L2">
            <v>0</v>
          </cell>
        </row>
        <row r="3">
          <cell r="L3">
            <v>4.2490000000000002E-3</v>
          </cell>
        </row>
        <row r="4">
          <cell r="L4">
            <v>5.0860000000000002E-3</v>
          </cell>
          <cell r="O4">
            <v>60</v>
          </cell>
        </row>
        <row r="5">
          <cell r="L5">
            <v>1.5518000000000001E-2</v>
          </cell>
          <cell r="O5">
            <v>0</v>
          </cell>
        </row>
        <row r="6">
          <cell r="L6">
            <v>1.6246E-2</v>
          </cell>
          <cell r="O6">
            <v>1.2256020000000001</v>
          </cell>
        </row>
        <row r="7">
          <cell r="L7">
            <v>2.75E-2</v>
          </cell>
        </row>
        <row r="8">
          <cell r="L8">
            <v>3.8689000000000001E-2</v>
          </cell>
        </row>
        <row r="9">
          <cell r="L9">
            <v>4.6262999999999999E-2</v>
          </cell>
        </row>
        <row r="10">
          <cell r="L10">
            <v>5.3621000000000002E-2</v>
          </cell>
        </row>
        <row r="11">
          <cell r="L11">
            <v>7.7926999999999996E-2</v>
          </cell>
        </row>
        <row r="12">
          <cell r="L12">
            <v>7.5358999999999995E-2</v>
          </cell>
        </row>
        <row r="13">
          <cell r="L13">
            <v>7.6149999999999995E-2</v>
          </cell>
        </row>
        <row r="14">
          <cell r="L14">
            <v>9.9094000000000002E-2</v>
          </cell>
        </row>
        <row r="15">
          <cell r="L15">
            <v>0.12868499999999999</v>
          </cell>
        </row>
        <row r="16">
          <cell r="L16">
            <v>0.121919</v>
          </cell>
        </row>
        <row r="17">
          <cell r="L17">
            <v>0.138326</v>
          </cell>
        </row>
        <row r="18">
          <cell r="L18">
            <v>0.18887100000000001</v>
          </cell>
        </row>
        <row r="19">
          <cell r="L19">
            <v>0.23080200000000001</v>
          </cell>
        </row>
        <row r="20">
          <cell r="L20">
            <v>0.326851</v>
          </cell>
        </row>
        <row r="21">
          <cell r="L21">
            <v>0.33572600000000002</v>
          </cell>
        </row>
        <row r="22">
          <cell r="L22">
            <v>0.390212</v>
          </cell>
        </row>
        <row r="23">
          <cell r="L23">
            <v>0.42799500000000001</v>
          </cell>
        </row>
        <row r="24">
          <cell r="L24">
            <v>0.43821900000000003</v>
          </cell>
        </row>
        <row r="25">
          <cell r="L25">
            <v>0.48377300000000001</v>
          </cell>
        </row>
        <row r="26">
          <cell r="L26">
            <v>0.49097400000000002</v>
          </cell>
        </row>
        <row r="27">
          <cell r="L27">
            <v>0.55995600000000001</v>
          </cell>
        </row>
        <row r="28">
          <cell r="L28">
            <v>0.56850299999999998</v>
          </cell>
        </row>
        <row r="29">
          <cell r="L29">
            <v>0.56898300000000002</v>
          </cell>
        </row>
        <row r="30">
          <cell r="L30">
            <v>0.59738400000000003</v>
          </cell>
        </row>
        <row r="31">
          <cell r="L31">
            <v>0.61079300000000003</v>
          </cell>
        </row>
        <row r="32">
          <cell r="L32">
            <v>0.58869700000000003</v>
          </cell>
        </row>
        <row r="33">
          <cell r="L33">
            <v>0.64945299999999995</v>
          </cell>
        </row>
        <row r="34">
          <cell r="L34">
            <v>0.73642700000000005</v>
          </cell>
        </row>
        <row r="35">
          <cell r="L35">
            <v>0.69416699999999998</v>
          </cell>
        </row>
        <row r="36">
          <cell r="L36">
            <v>0.80125000000000002</v>
          </cell>
        </row>
        <row r="37">
          <cell r="L37">
            <v>0.83111500000000005</v>
          </cell>
        </row>
        <row r="38">
          <cell r="L38">
            <v>0.84796499999999997</v>
          </cell>
        </row>
        <row r="39">
          <cell r="L39">
            <v>0.80762199999999995</v>
          </cell>
        </row>
        <row r="40">
          <cell r="L40">
            <v>0.86389099999999996</v>
          </cell>
        </row>
        <row r="41">
          <cell r="L41">
            <v>0.76712199999999997</v>
          </cell>
        </row>
        <row r="42">
          <cell r="L42">
            <v>0.77402000000000004</v>
          </cell>
        </row>
        <row r="43">
          <cell r="L43">
            <v>0.63699700000000004</v>
          </cell>
        </row>
        <row r="44">
          <cell r="L44">
            <v>0.72388799999999998</v>
          </cell>
        </row>
        <row r="45">
          <cell r="L45">
            <v>0.76518299999999995</v>
          </cell>
        </row>
        <row r="46">
          <cell r="L46">
            <v>0.820052</v>
          </cell>
        </row>
        <row r="47">
          <cell r="L47">
            <v>0.80838600000000005</v>
          </cell>
        </row>
        <row r="48">
          <cell r="L48">
            <v>0.78320800000000002</v>
          </cell>
        </row>
        <row r="49">
          <cell r="L49">
            <v>0.72844399999999998</v>
          </cell>
        </row>
        <row r="50">
          <cell r="L50">
            <v>0.81396299999999999</v>
          </cell>
        </row>
        <row r="51">
          <cell r="L51">
            <v>0.814141</v>
          </cell>
        </row>
        <row r="52">
          <cell r="L52">
            <v>0.80979999999999996</v>
          </cell>
        </row>
        <row r="53">
          <cell r="L53">
            <v>0.89448300000000003</v>
          </cell>
        </row>
        <row r="54">
          <cell r="L54">
            <v>1.0341640000000001</v>
          </cell>
        </row>
        <row r="55">
          <cell r="L55">
            <v>0.85209800000000002</v>
          </cell>
        </row>
        <row r="56">
          <cell r="L56">
            <v>1.105234</v>
          </cell>
        </row>
        <row r="57">
          <cell r="L57">
            <v>1.1489549999999999</v>
          </cell>
        </row>
        <row r="58">
          <cell r="L58">
            <v>1.139947</v>
          </cell>
        </row>
        <row r="59">
          <cell r="L59">
            <v>1.1602779999999999</v>
          </cell>
        </row>
        <row r="60">
          <cell r="L60">
            <v>1.234499</v>
          </cell>
        </row>
        <row r="61">
          <cell r="L61">
            <v>1.2592429999999999</v>
          </cell>
        </row>
        <row r="62">
          <cell r="L62">
            <v>1.2256020000000001</v>
          </cell>
        </row>
      </sheetData>
      <sheetData sheetId="3">
        <row r="2">
          <cell r="AA2">
            <v>0.25</v>
          </cell>
        </row>
        <row r="3">
          <cell r="AA3">
            <v>0</v>
          </cell>
        </row>
        <row r="4">
          <cell r="AA4">
            <v>5.7500000000000002E-2</v>
          </cell>
        </row>
      </sheetData>
      <sheetData sheetId="4">
        <row r="2">
          <cell r="L2">
            <v>0</v>
          </cell>
        </row>
        <row r="3">
          <cell r="L3">
            <v>-4.2195000000000003E-2</v>
          </cell>
        </row>
        <row r="4">
          <cell r="L4">
            <v>-3.8510000000000003E-2</v>
          </cell>
          <cell r="O4">
            <v>0</v>
          </cell>
        </row>
        <row r="5">
          <cell r="L5">
            <v>-6.7956000000000003E-2</v>
          </cell>
          <cell r="O5">
            <v>1</v>
          </cell>
        </row>
        <row r="6">
          <cell r="L6">
            <v>-6.3217999999999996E-2</v>
          </cell>
          <cell r="O6">
            <v>-0.80690899999999999</v>
          </cell>
        </row>
        <row r="7">
          <cell r="L7">
            <v>-6.2233999999999998E-2</v>
          </cell>
        </row>
        <row r="8">
          <cell r="L8">
            <v>-3.9211999999999997E-2</v>
          </cell>
        </row>
        <row r="9">
          <cell r="L9">
            <v>-2.2676999999999999E-2</v>
          </cell>
        </row>
        <row r="10">
          <cell r="L10">
            <v>-0.12575500000000001</v>
          </cell>
        </row>
        <row r="11">
          <cell r="L11">
            <v>-0.15018599999999999</v>
          </cell>
        </row>
        <row r="12">
          <cell r="L12">
            <v>-0.12650400000000001</v>
          </cell>
        </row>
        <row r="13">
          <cell r="L13">
            <v>-0.158438</v>
          </cell>
        </row>
        <row r="14">
          <cell r="L14">
            <v>-0.14335300000000001</v>
          </cell>
        </row>
        <row r="15">
          <cell r="L15">
            <v>-0.17466699999999999</v>
          </cell>
        </row>
        <row r="16">
          <cell r="L16">
            <v>-0.179087</v>
          </cell>
        </row>
        <row r="17">
          <cell r="L17">
            <v>-0.19306400000000001</v>
          </cell>
        </row>
        <row r="18">
          <cell r="L18">
            <v>-0.24734600000000001</v>
          </cell>
        </row>
        <row r="19">
          <cell r="L19">
            <v>-0.236538</v>
          </cell>
        </row>
        <row r="20">
          <cell r="L20">
            <v>-0.24395800000000001</v>
          </cell>
        </row>
        <row r="21">
          <cell r="L21">
            <v>-0.26088099999999997</v>
          </cell>
        </row>
        <row r="22">
          <cell r="L22">
            <v>-0.30307800000000001</v>
          </cell>
        </row>
        <row r="23">
          <cell r="L23">
            <v>-0.261938</v>
          </cell>
        </row>
        <row r="24">
          <cell r="L24">
            <v>-0.224</v>
          </cell>
        </row>
        <row r="25">
          <cell r="L25">
            <v>-0.20919699999999999</v>
          </cell>
        </row>
        <row r="26">
          <cell r="L26">
            <v>-0.24826300000000001</v>
          </cell>
        </row>
        <row r="27">
          <cell r="L27">
            <v>-0.26003799999999999</v>
          </cell>
        </row>
        <row r="28">
          <cell r="L28">
            <v>-0.25663000000000002</v>
          </cell>
        </row>
        <row r="29">
          <cell r="L29">
            <v>-0.25434800000000002</v>
          </cell>
        </row>
        <row r="30">
          <cell r="L30">
            <v>-0.24912500000000001</v>
          </cell>
        </row>
        <row r="31">
          <cell r="L31">
            <v>-0.274644</v>
          </cell>
        </row>
        <row r="32">
          <cell r="L32">
            <v>-0.27569500000000002</v>
          </cell>
        </row>
        <row r="33">
          <cell r="L33">
            <v>-0.26244800000000001</v>
          </cell>
        </row>
        <row r="34">
          <cell r="L34">
            <v>-0.29939500000000002</v>
          </cell>
        </row>
        <row r="35">
          <cell r="L35">
            <v>-0.30960700000000002</v>
          </cell>
        </row>
        <row r="36">
          <cell r="L36">
            <v>-0.34096199999999999</v>
          </cell>
        </row>
        <row r="37">
          <cell r="L37">
            <v>-0.36950300000000003</v>
          </cell>
        </row>
        <row r="38">
          <cell r="L38">
            <v>-0.36530600000000002</v>
          </cell>
        </row>
        <row r="39">
          <cell r="L39">
            <v>-0.38255899999999998</v>
          </cell>
        </row>
        <row r="40">
          <cell r="L40">
            <v>-0.40549800000000003</v>
          </cell>
        </row>
        <row r="41">
          <cell r="L41">
            <v>-0.4118</v>
          </cell>
        </row>
        <row r="42">
          <cell r="L42">
            <v>-0.41584300000000002</v>
          </cell>
        </row>
        <row r="43">
          <cell r="L43">
            <v>-0.41927500000000001</v>
          </cell>
        </row>
        <row r="44">
          <cell r="L44">
            <v>-0.440971</v>
          </cell>
        </row>
        <row r="45">
          <cell r="L45">
            <v>-0.44249899999999998</v>
          </cell>
        </row>
        <row r="46">
          <cell r="L46">
            <v>-0.462783</v>
          </cell>
        </row>
        <row r="47">
          <cell r="L47">
            <v>-0.473665</v>
          </cell>
        </row>
        <row r="48">
          <cell r="L48">
            <v>-0.48042299999999999</v>
          </cell>
        </row>
        <row r="49">
          <cell r="L49">
            <v>-0.49143599999999998</v>
          </cell>
        </row>
        <row r="50">
          <cell r="L50">
            <v>-0.48883799999999999</v>
          </cell>
        </row>
        <row r="51">
          <cell r="L51">
            <v>-0.48924899999999999</v>
          </cell>
        </row>
        <row r="52">
          <cell r="L52">
            <v>-0.50331999999999999</v>
          </cell>
        </row>
        <row r="53">
          <cell r="L53">
            <v>-0.487485</v>
          </cell>
        </row>
        <row r="54">
          <cell r="L54">
            <v>-0.48673699999999998</v>
          </cell>
        </row>
        <row r="55">
          <cell r="L55">
            <v>-0.53009300000000004</v>
          </cell>
        </row>
        <row r="56">
          <cell r="L56">
            <v>-0.51275099999999996</v>
          </cell>
        </row>
        <row r="57">
          <cell r="L57">
            <v>-0.47083199999999997</v>
          </cell>
        </row>
        <row r="58">
          <cell r="L58">
            <v>-0.49821799999999999</v>
          </cell>
        </row>
        <row r="59">
          <cell r="L59">
            <v>-0.53182099999999999</v>
          </cell>
        </row>
        <row r="60">
          <cell r="L60">
            <v>-0.53503900000000004</v>
          </cell>
        </row>
        <row r="61">
          <cell r="L61">
            <v>-0.54059999999999997</v>
          </cell>
        </row>
        <row r="62">
          <cell r="L62">
            <v>-0.55841799999999997</v>
          </cell>
        </row>
        <row r="63">
          <cell r="L63">
            <v>-0.62715299999999996</v>
          </cell>
        </row>
        <row r="64">
          <cell r="L64">
            <v>-0.62482400000000005</v>
          </cell>
        </row>
        <row r="65">
          <cell r="L65">
            <v>-0.64488699999999999</v>
          </cell>
        </row>
        <row r="66">
          <cell r="L66">
            <v>-0.62040700000000004</v>
          </cell>
        </row>
        <row r="67">
          <cell r="L67">
            <v>-0.65446400000000005</v>
          </cell>
        </row>
        <row r="68">
          <cell r="L68">
            <v>-0.65641799999999995</v>
          </cell>
        </row>
        <row r="69">
          <cell r="L69">
            <v>-0.72869899999999999</v>
          </cell>
        </row>
        <row r="70">
          <cell r="L70">
            <v>-0.74085699999999999</v>
          </cell>
        </row>
        <row r="71">
          <cell r="L71">
            <v>-0.69103300000000001</v>
          </cell>
        </row>
        <row r="72">
          <cell r="L72">
            <v>-0.70980399999999999</v>
          </cell>
        </row>
        <row r="73">
          <cell r="L73">
            <v>-0.75782899999999997</v>
          </cell>
        </row>
        <row r="74">
          <cell r="L74">
            <v>-0.711758</v>
          </cell>
        </row>
        <row r="75">
          <cell r="L75">
            <v>-0.6764</v>
          </cell>
        </row>
        <row r="76">
          <cell r="L76">
            <v>-0.656837</v>
          </cell>
        </row>
        <row r="77">
          <cell r="L77">
            <v>-0.70498899999999998</v>
          </cell>
        </row>
        <row r="78">
          <cell r="L78">
            <v>-0.73309100000000005</v>
          </cell>
        </row>
        <row r="79">
          <cell r="L79">
            <v>-0.74568299999999998</v>
          </cell>
        </row>
        <row r="80">
          <cell r="L80">
            <v>-0.76316899999999999</v>
          </cell>
        </row>
        <row r="81">
          <cell r="L81">
            <v>-0.772401</v>
          </cell>
        </row>
        <row r="82">
          <cell r="L82">
            <v>-0.84904400000000002</v>
          </cell>
        </row>
        <row r="83">
          <cell r="L83">
            <v>-0.81281000000000003</v>
          </cell>
        </row>
        <row r="84">
          <cell r="L84">
            <v>-0.80379100000000003</v>
          </cell>
        </row>
        <row r="85">
          <cell r="L85">
            <v>-0.86345099999999997</v>
          </cell>
        </row>
        <row r="86">
          <cell r="L86">
            <v>-0.87556100000000003</v>
          </cell>
        </row>
        <row r="87">
          <cell r="L87">
            <v>-0.81308100000000005</v>
          </cell>
        </row>
        <row r="88">
          <cell r="L88">
            <v>-0.68201299999999998</v>
          </cell>
        </row>
        <row r="89">
          <cell r="L89">
            <v>-0.67944899999999997</v>
          </cell>
        </row>
        <row r="90">
          <cell r="L90">
            <v>-0.68435599999999996</v>
          </cell>
        </row>
        <row r="91">
          <cell r="L91">
            <v>-0.63835900000000001</v>
          </cell>
        </row>
        <row r="92">
          <cell r="L92">
            <v>-0.66914099999999999</v>
          </cell>
        </row>
        <row r="93">
          <cell r="L93">
            <v>-0.69115499999999996</v>
          </cell>
        </row>
        <row r="94">
          <cell r="L94">
            <v>-0.70630800000000005</v>
          </cell>
        </row>
        <row r="95">
          <cell r="L95">
            <v>-0.69347999999999999</v>
          </cell>
        </row>
        <row r="96">
          <cell r="L96">
            <v>-0.71768600000000005</v>
          </cell>
        </row>
        <row r="97">
          <cell r="L97">
            <v>-0.74484899999999998</v>
          </cell>
        </row>
        <row r="98">
          <cell r="L98">
            <v>-0.73404000000000003</v>
          </cell>
        </row>
        <row r="99">
          <cell r="L99">
            <v>-0.76424700000000001</v>
          </cell>
        </row>
        <row r="100">
          <cell r="L100">
            <v>-0.78142800000000001</v>
          </cell>
        </row>
        <row r="101">
          <cell r="L101">
            <v>-0.80385799999999996</v>
          </cell>
        </row>
        <row r="102">
          <cell r="L102">
            <v>-0.80690899999999999</v>
          </cell>
        </row>
      </sheetData>
      <sheetData sheetId="5">
        <row r="2">
          <cell r="AA2">
            <v>1</v>
          </cell>
        </row>
        <row r="3">
          <cell r="AA3">
            <v>0.92</v>
          </cell>
        </row>
        <row r="4">
          <cell r="AA4">
            <v>0.99466699999999997</v>
          </cell>
        </row>
      </sheetData>
      <sheetData sheetId="6">
        <row r="2">
          <cell r="L2">
            <v>0</v>
          </cell>
        </row>
        <row r="3">
          <cell r="L3">
            <v>-1.9726E-2</v>
          </cell>
        </row>
        <row r="4">
          <cell r="L4">
            <v>-1.6496E-2</v>
          </cell>
          <cell r="O4">
            <v>14</v>
          </cell>
        </row>
        <row r="5">
          <cell r="L5">
            <v>-6.4440000000000001E-3</v>
          </cell>
          <cell r="O5">
            <v>0.76666699999999999</v>
          </cell>
        </row>
        <row r="6">
          <cell r="L6">
            <v>-3.9199999999999999E-3</v>
          </cell>
          <cell r="O6">
            <v>0.218504</v>
          </cell>
        </row>
        <row r="7">
          <cell r="L7">
            <v>-1.494E-2</v>
          </cell>
        </row>
        <row r="8">
          <cell r="L8">
            <v>-2.3092000000000001E-2</v>
          </cell>
        </row>
        <row r="9">
          <cell r="L9">
            <v>-2.1231E-2</v>
          </cell>
        </row>
        <row r="10">
          <cell r="L10">
            <v>-8.4622000000000003E-2</v>
          </cell>
        </row>
        <row r="11">
          <cell r="L11">
            <v>-7.8552999999999998E-2</v>
          </cell>
        </row>
        <row r="12">
          <cell r="L12">
            <v>-8.4583000000000005E-2</v>
          </cell>
        </row>
        <row r="13">
          <cell r="L13">
            <v>-9.3447000000000002E-2</v>
          </cell>
        </row>
        <row r="14">
          <cell r="L14">
            <v>-9.6551999999999999E-2</v>
          </cell>
        </row>
        <row r="15">
          <cell r="L15">
            <v>-9.5682000000000003E-2</v>
          </cell>
        </row>
        <row r="16">
          <cell r="L16">
            <v>-0.115797</v>
          </cell>
        </row>
        <row r="17">
          <cell r="L17">
            <v>-9.6892000000000006E-2</v>
          </cell>
        </row>
        <row r="18">
          <cell r="L18">
            <v>-8.5081000000000004E-2</v>
          </cell>
        </row>
        <row r="19">
          <cell r="L19">
            <v>-9.9465999999999999E-2</v>
          </cell>
        </row>
        <row r="20">
          <cell r="L20">
            <v>-9.4108999999999998E-2</v>
          </cell>
        </row>
        <row r="21">
          <cell r="L21">
            <v>-8.3704000000000001E-2</v>
          </cell>
        </row>
        <row r="22">
          <cell r="L22">
            <v>-8.4750000000000006E-2</v>
          </cell>
        </row>
        <row r="23">
          <cell r="L23">
            <v>-0.102856</v>
          </cell>
        </row>
        <row r="24">
          <cell r="L24">
            <v>-3.6577999999999999E-2</v>
          </cell>
        </row>
        <row r="25">
          <cell r="L25">
            <v>-3.9609999999999999E-2</v>
          </cell>
        </row>
        <row r="26">
          <cell r="L26">
            <v>-3.7630999999999998E-2</v>
          </cell>
        </row>
        <row r="27">
          <cell r="L27">
            <v>-4.6767000000000003E-2</v>
          </cell>
        </row>
        <row r="28">
          <cell r="L28">
            <v>-5.0659999999999997E-2</v>
          </cell>
        </row>
        <row r="29">
          <cell r="L29">
            <v>-7.1631E-2</v>
          </cell>
        </row>
        <row r="30">
          <cell r="L30">
            <v>-7.1795999999999999E-2</v>
          </cell>
        </row>
        <row r="31">
          <cell r="L31">
            <v>-7.1603E-2</v>
          </cell>
        </row>
        <row r="32">
          <cell r="L32">
            <v>-6.7429000000000003E-2</v>
          </cell>
        </row>
        <row r="33">
          <cell r="L33">
            <v>-8.5620000000000002E-3</v>
          </cell>
        </row>
        <row r="34">
          <cell r="L34">
            <v>-9.3123999999999998E-2</v>
          </cell>
        </row>
        <row r="35">
          <cell r="L35">
            <v>-5.8997000000000001E-2</v>
          </cell>
        </row>
        <row r="36">
          <cell r="L36">
            <v>-7.0163000000000003E-2</v>
          </cell>
        </row>
        <row r="37">
          <cell r="L37">
            <v>-7.0152999999999993E-2</v>
          </cell>
        </row>
        <row r="38">
          <cell r="L38">
            <v>-8.5875999999999994E-2</v>
          </cell>
        </row>
        <row r="39">
          <cell r="L39">
            <v>7.3125999999999997E-2</v>
          </cell>
        </row>
        <row r="40">
          <cell r="L40">
            <v>9.3718999999999997E-2</v>
          </cell>
        </row>
        <row r="41">
          <cell r="L41">
            <v>8.4361000000000005E-2</v>
          </cell>
        </row>
        <row r="42">
          <cell r="L42">
            <v>6.2491999999999999E-2</v>
          </cell>
        </row>
        <row r="43">
          <cell r="L43">
            <v>-0.12823799999999999</v>
          </cell>
        </row>
        <row r="44">
          <cell r="L44">
            <v>-0.14086399999999999</v>
          </cell>
        </row>
        <row r="45">
          <cell r="L45">
            <v>-0.15296699999999999</v>
          </cell>
        </row>
        <row r="46">
          <cell r="L46">
            <v>-0.149508</v>
          </cell>
        </row>
        <row r="47">
          <cell r="L47">
            <v>-0.15593699999999999</v>
          </cell>
        </row>
        <row r="48">
          <cell r="L48">
            <v>-0.179092</v>
          </cell>
        </row>
        <row r="49">
          <cell r="L49">
            <v>-0.22414700000000001</v>
          </cell>
        </row>
        <row r="50">
          <cell r="L50">
            <v>-0.253025</v>
          </cell>
        </row>
        <row r="51">
          <cell r="L51">
            <v>-0.253</v>
          </cell>
        </row>
        <row r="52">
          <cell r="L52">
            <v>5.0429999999999997E-3</v>
          </cell>
        </row>
        <row r="53">
          <cell r="L53">
            <v>-7.5159000000000004E-2</v>
          </cell>
        </row>
        <row r="54">
          <cell r="L54">
            <v>5.6087999999999999E-2</v>
          </cell>
        </row>
        <row r="55">
          <cell r="L55">
            <v>4.2314999999999998E-2</v>
          </cell>
        </row>
        <row r="56">
          <cell r="L56">
            <v>6.0277999999999998E-2</v>
          </cell>
        </row>
        <row r="57">
          <cell r="L57">
            <v>6.7012000000000002E-2</v>
          </cell>
        </row>
        <row r="58">
          <cell r="L58">
            <v>0.16107299999999999</v>
          </cell>
        </row>
        <row r="59">
          <cell r="L59">
            <v>0.171374</v>
          </cell>
        </row>
        <row r="60">
          <cell r="L60">
            <v>0.20955199999999999</v>
          </cell>
        </row>
        <row r="61">
          <cell r="L61">
            <v>0.24857399999999999</v>
          </cell>
        </row>
        <row r="62">
          <cell r="L62">
            <v>0.218504</v>
          </cell>
        </row>
      </sheetData>
      <sheetData sheetId="7">
        <row r="2">
          <cell r="AA2">
            <v>0.73333300000000001</v>
          </cell>
        </row>
        <row r="3">
          <cell r="AA3">
            <v>0.11666700000000001</v>
          </cell>
        </row>
        <row r="4">
          <cell r="AA4">
            <v>0.435</v>
          </cell>
        </row>
      </sheetData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-7.6649999999999999E-3</v>
          </cell>
        </row>
        <row r="4">
          <cell r="L4">
            <v>1.0994E-2</v>
          </cell>
          <cell r="O4">
            <v>1</v>
          </cell>
        </row>
        <row r="5">
          <cell r="L5">
            <v>-1.3988E-2</v>
          </cell>
          <cell r="O5">
            <v>0.99</v>
          </cell>
        </row>
        <row r="6">
          <cell r="L6">
            <v>-2.9791000000000002E-2</v>
          </cell>
          <cell r="O6">
            <v>-0.65888199999999997</v>
          </cell>
        </row>
        <row r="7">
          <cell r="L7">
            <v>-5.5279000000000002E-2</v>
          </cell>
        </row>
        <row r="8">
          <cell r="L8">
            <v>-6.7402000000000004E-2</v>
          </cell>
        </row>
        <row r="9">
          <cell r="L9">
            <v>-7.9104999999999995E-2</v>
          </cell>
        </row>
        <row r="10">
          <cell r="L10">
            <v>-8.0208000000000002E-2</v>
          </cell>
        </row>
        <row r="11">
          <cell r="L11">
            <v>-9.1425999999999993E-2</v>
          </cell>
        </row>
        <row r="12">
          <cell r="L12">
            <v>-0.132772</v>
          </cell>
        </row>
        <row r="13">
          <cell r="L13">
            <v>-0.155385</v>
          </cell>
        </row>
        <row r="14">
          <cell r="L14">
            <v>-0.16018299999999999</v>
          </cell>
        </row>
        <row r="15">
          <cell r="L15">
            <v>-0.163074</v>
          </cell>
        </row>
        <row r="16">
          <cell r="L16">
            <v>-0.180122</v>
          </cell>
        </row>
        <row r="17">
          <cell r="L17">
            <v>-0.18426799999999999</v>
          </cell>
        </row>
        <row r="18">
          <cell r="L18">
            <v>-0.202213</v>
          </cell>
        </row>
        <row r="19">
          <cell r="L19">
            <v>-0.21623899999999999</v>
          </cell>
        </row>
        <row r="20">
          <cell r="L20">
            <v>-0.22417799999999999</v>
          </cell>
        </row>
        <row r="21">
          <cell r="L21">
            <v>-0.23790500000000001</v>
          </cell>
        </row>
        <row r="22">
          <cell r="L22">
            <v>-0.25879799999999997</v>
          </cell>
        </row>
        <row r="23">
          <cell r="L23">
            <v>-0.266264</v>
          </cell>
        </row>
        <row r="24">
          <cell r="L24">
            <v>-0.26133000000000001</v>
          </cell>
        </row>
        <row r="25">
          <cell r="L25">
            <v>-0.27352900000000002</v>
          </cell>
        </row>
        <row r="26">
          <cell r="L26">
            <v>-0.28514600000000001</v>
          </cell>
        </row>
        <row r="27">
          <cell r="L27">
            <v>-0.29306399999999999</v>
          </cell>
        </row>
        <row r="28">
          <cell r="L28">
            <v>-0.29627799999999999</v>
          </cell>
        </row>
        <row r="29">
          <cell r="L29">
            <v>-0.29918699999999998</v>
          </cell>
        </row>
        <row r="30">
          <cell r="L30">
            <v>-0.297786</v>
          </cell>
        </row>
        <row r="31">
          <cell r="L31">
            <v>-0.30031999999999998</v>
          </cell>
        </row>
        <row r="32">
          <cell r="L32">
            <v>-0.29366199999999998</v>
          </cell>
        </row>
        <row r="33">
          <cell r="L33">
            <v>-0.30532700000000002</v>
          </cell>
        </row>
        <row r="34">
          <cell r="L34">
            <v>-0.32261699999999999</v>
          </cell>
        </row>
        <row r="35">
          <cell r="L35">
            <v>-0.32867499999999999</v>
          </cell>
        </row>
        <row r="36">
          <cell r="L36">
            <v>-0.330899</v>
          </cell>
        </row>
        <row r="37">
          <cell r="L37">
            <v>-0.33457700000000001</v>
          </cell>
        </row>
        <row r="38">
          <cell r="L38">
            <v>-0.34696199999999999</v>
          </cell>
        </row>
        <row r="39">
          <cell r="L39">
            <v>-0.355211</v>
          </cell>
        </row>
        <row r="40">
          <cell r="L40">
            <v>-0.36504399999999998</v>
          </cell>
        </row>
        <row r="41">
          <cell r="L41">
            <v>-0.36529600000000001</v>
          </cell>
        </row>
        <row r="42">
          <cell r="L42">
            <v>-0.37657600000000002</v>
          </cell>
        </row>
        <row r="43">
          <cell r="L43">
            <v>-0.38673000000000002</v>
          </cell>
        </row>
        <row r="44">
          <cell r="L44">
            <v>-0.37787100000000001</v>
          </cell>
        </row>
        <row r="45">
          <cell r="L45">
            <v>-0.38108999999999998</v>
          </cell>
        </row>
        <row r="46">
          <cell r="L46">
            <v>-0.38736399999999999</v>
          </cell>
        </row>
        <row r="47">
          <cell r="L47">
            <v>-0.39197900000000002</v>
          </cell>
        </row>
        <row r="48">
          <cell r="L48">
            <v>-0.39638400000000001</v>
          </cell>
        </row>
        <row r="49">
          <cell r="L49">
            <v>-0.40276600000000001</v>
          </cell>
        </row>
        <row r="50">
          <cell r="L50">
            <v>-0.40945700000000002</v>
          </cell>
        </row>
        <row r="51">
          <cell r="L51">
            <v>-0.413993</v>
          </cell>
        </row>
        <row r="52">
          <cell r="L52">
            <v>-0.414408</v>
          </cell>
        </row>
        <row r="53">
          <cell r="L53">
            <v>-0.41673700000000002</v>
          </cell>
        </row>
        <row r="54">
          <cell r="L54">
            <v>-0.42026200000000002</v>
          </cell>
        </row>
        <row r="55">
          <cell r="L55">
            <v>-0.429977</v>
          </cell>
        </row>
        <row r="56">
          <cell r="L56">
            <v>-0.42770599999999998</v>
          </cell>
        </row>
        <row r="57">
          <cell r="L57">
            <v>-0.43591299999999999</v>
          </cell>
        </row>
        <row r="58">
          <cell r="L58">
            <v>-0.424037</v>
          </cell>
        </row>
        <row r="59">
          <cell r="L59">
            <v>-0.442527</v>
          </cell>
        </row>
        <row r="60">
          <cell r="L60">
            <v>-0.45585999999999999</v>
          </cell>
        </row>
        <row r="61">
          <cell r="L61">
            <v>-0.43006</v>
          </cell>
        </row>
        <row r="62">
          <cell r="L62">
            <v>-0.44896399999999997</v>
          </cell>
        </row>
        <row r="63">
          <cell r="L63">
            <v>-0.46033099999999999</v>
          </cell>
        </row>
        <row r="64">
          <cell r="L64">
            <v>-0.46114500000000003</v>
          </cell>
        </row>
        <row r="65">
          <cell r="L65">
            <v>-0.47804799999999997</v>
          </cell>
        </row>
        <row r="66">
          <cell r="L66">
            <v>-0.48047099999999998</v>
          </cell>
        </row>
        <row r="67">
          <cell r="L67">
            <v>-0.48844599999999999</v>
          </cell>
        </row>
        <row r="68">
          <cell r="L68">
            <v>-0.495311</v>
          </cell>
        </row>
        <row r="69">
          <cell r="L69">
            <v>-0.50680599999999998</v>
          </cell>
        </row>
        <row r="70">
          <cell r="L70">
            <v>-0.51028700000000005</v>
          </cell>
        </row>
        <row r="71">
          <cell r="L71">
            <v>-0.50900299999999998</v>
          </cell>
        </row>
        <row r="72">
          <cell r="L72">
            <v>-0.51632900000000004</v>
          </cell>
        </row>
        <row r="73">
          <cell r="L73">
            <v>-0.53066899999999995</v>
          </cell>
        </row>
        <row r="74">
          <cell r="L74">
            <v>-0.53448399999999996</v>
          </cell>
        </row>
        <row r="75">
          <cell r="L75">
            <v>-0.53405899999999995</v>
          </cell>
        </row>
        <row r="76">
          <cell r="L76">
            <v>-0.53653399999999996</v>
          </cell>
        </row>
        <row r="77">
          <cell r="L77">
            <v>-0.55408000000000002</v>
          </cell>
        </row>
        <row r="78">
          <cell r="L78">
            <v>-0.56648600000000005</v>
          </cell>
        </row>
        <row r="79">
          <cell r="L79">
            <v>-0.574353</v>
          </cell>
        </row>
        <row r="80">
          <cell r="L80">
            <v>-0.55840699999999999</v>
          </cell>
        </row>
        <row r="81">
          <cell r="L81">
            <v>-0.51070899999999997</v>
          </cell>
        </row>
        <row r="82">
          <cell r="L82">
            <v>-0.53037800000000002</v>
          </cell>
        </row>
        <row r="83">
          <cell r="L83">
            <v>-0.56515899999999997</v>
          </cell>
        </row>
        <row r="84">
          <cell r="L84">
            <v>-0.58344799999999997</v>
          </cell>
        </row>
        <row r="85">
          <cell r="L85">
            <v>-0.59106800000000004</v>
          </cell>
        </row>
        <row r="86">
          <cell r="L86">
            <v>-0.594773</v>
          </cell>
        </row>
        <row r="87">
          <cell r="L87">
            <v>-0.57749099999999998</v>
          </cell>
        </row>
        <row r="88">
          <cell r="L88">
            <v>-0.60035799999999995</v>
          </cell>
        </row>
        <row r="89">
          <cell r="L89">
            <v>-0.60131800000000002</v>
          </cell>
        </row>
        <row r="90">
          <cell r="L90">
            <v>-0.61096099999999998</v>
          </cell>
        </row>
        <row r="91">
          <cell r="L91">
            <v>-0.61631800000000003</v>
          </cell>
        </row>
        <row r="92">
          <cell r="L92">
            <v>-0.62262099999999998</v>
          </cell>
        </row>
        <row r="93">
          <cell r="L93">
            <v>-0.64354500000000003</v>
          </cell>
        </row>
        <row r="94">
          <cell r="L94">
            <v>-0.64471800000000001</v>
          </cell>
        </row>
        <row r="95">
          <cell r="L95">
            <v>-0.63893299999999997</v>
          </cell>
        </row>
        <row r="96">
          <cell r="L96">
            <v>-0.65803400000000001</v>
          </cell>
        </row>
        <row r="97">
          <cell r="L97">
            <v>-0.65356099999999995</v>
          </cell>
        </row>
        <row r="98">
          <cell r="L98">
            <v>-0.65806399999999998</v>
          </cell>
        </row>
        <row r="99">
          <cell r="L99">
            <v>-0.65870499999999998</v>
          </cell>
        </row>
        <row r="100">
          <cell r="L100">
            <v>-0.65953200000000001</v>
          </cell>
        </row>
        <row r="101">
          <cell r="L101">
            <v>-0.66933799999999999</v>
          </cell>
        </row>
        <row r="102">
          <cell r="L102">
            <v>-0.65888199999999997</v>
          </cell>
        </row>
      </sheetData>
      <sheetData sheetId="1">
        <row r="2">
          <cell r="AA2">
            <v>1</v>
          </cell>
        </row>
        <row r="3">
          <cell r="AA3">
            <v>0.97</v>
          </cell>
        </row>
        <row r="4">
          <cell r="AA4">
            <v>0.99666699999999997</v>
          </cell>
        </row>
      </sheetData>
      <sheetData sheetId="2">
        <row r="2">
          <cell r="L2">
            <v>0</v>
          </cell>
        </row>
        <row r="3">
          <cell r="L3">
            <v>-1.6130000000000001E-3</v>
          </cell>
        </row>
        <row r="4">
          <cell r="L4">
            <v>-2.8140000000000001E-3</v>
          </cell>
          <cell r="O4">
            <v>0</v>
          </cell>
        </row>
        <row r="5">
          <cell r="L5">
            <v>-3.9999999999999998E-6</v>
          </cell>
          <cell r="O5">
            <v>1</v>
          </cell>
        </row>
        <row r="6">
          <cell r="L6">
            <v>-6.1440000000000002E-3</v>
          </cell>
          <cell r="O6">
            <v>-8.7847999999999996E-2</v>
          </cell>
        </row>
        <row r="7">
          <cell r="L7">
            <v>-1.8214000000000001E-2</v>
          </cell>
        </row>
        <row r="8">
          <cell r="L8">
            <v>-1.7392000000000001E-2</v>
          </cell>
        </row>
        <row r="9">
          <cell r="L9">
            <v>-1.8058000000000001E-2</v>
          </cell>
        </row>
        <row r="10">
          <cell r="L10">
            <v>-1.8335000000000001E-2</v>
          </cell>
        </row>
        <row r="11">
          <cell r="L11">
            <v>-1.6906000000000001E-2</v>
          </cell>
        </row>
        <row r="12">
          <cell r="L12">
            <v>-4.9911999999999998E-2</v>
          </cell>
        </row>
        <row r="13">
          <cell r="L13">
            <v>-5.6526E-2</v>
          </cell>
        </row>
        <row r="14">
          <cell r="L14">
            <v>-5.4554999999999999E-2</v>
          </cell>
        </row>
        <row r="15">
          <cell r="L15">
            <v>-4.8467999999999997E-2</v>
          </cell>
        </row>
        <row r="16">
          <cell r="L16">
            <v>-6.9426000000000002E-2</v>
          </cell>
        </row>
        <row r="17">
          <cell r="L17">
            <v>-7.6688000000000006E-2</v>
          </cell>
        </row>
        <row r="18">
          <cell r="L18">
            <v>-8.1601000000000007E-2</v>
          </cell>
        </row>
        <row r="19">
          <cell r="L19">
            <v>-8.6452000000000001E-2</v>
          </cell>
        </row>
        <row r="20">
          <cell r="L20">
            <v>-8.2294999999999993E-2</v>
          </cell>
        </row>
        <row r="21">
          <cell r="L21">
            <v>-8.0917000000000003E-2</v>
          </cell>
        </row>
        <row r="22">
          <cell r="L22">
            <v>-8.2021999999999998E-2</v>
          </cell>
        </row>
        <row r="23">
          <cell r="L23">
            <v>-7.7648999999999996E-2</v>
          </cell>
        </row>
        <row r="24">
          <cell r="L24">
            <v>-7.5309000000000001E-2</v>
          </cell>
        </row>
        <row r="25">
          <cell r="L25">
            <v>-7.0846999999999993E-2</v>
          </cell>
        </row>
        <row r="26">
          <cell r="L26">
            <v>-6.5840999999999997E-2</v>
          </cell>
        </row>
        <row r="27">
          <cell r="L27">
            <v>-6.2605999999999995E-2</v>
          </cell>
        </row>
        <row r="28">
          <cell r="L28">
            <v>-6.5942000000000001E-2</v>
          </cell>
        </row>
        <row r="29">
          <cell r="L29">
            <v>-6.1490999999999997E-2</v>
          </cell>
        </row>
        <row r="30">
          <cell r="L30">
            <v>-6.4729999999999996E-2</v>
          </cell>
        </row>
        <row r="31">
          <cell r="L31">
            <v>-6.3425999999999996E-2</v>
          </cell>
        </row>
        <row r="32">
          <cell r="L32">
            <v>-6.2472E-2</v>
          </cell>
        </row>
        <row r="33">
          <cell r="L33">
            <v>-6.3480999999999996E-2</v>
          </cell>
        </row>
        <row r="34">
          <cell r="L34">
            <v>-5.6543999999999997E-2</v>
          </cell>
        </row>
        <row r="35">
          <cell r="L35">
            <v>-5.7269E-2</v>
          </cell>
        </row>
        <row r="36">
          <cell r="L36">
            <v>-6.3601000000000005E-2</v>
          </cell>
        </row>
        <row r="37">
          <cell r="L37">
            <v>-6.3668000000000002E-2</v>
          </cell>
        </row>
        <row r="38">
          <cell r="L38">
            <v>-6.3811999999999994E-2</v>
          </cell>
        </row>
        <row r="39">
          <cell r="L39">
            <v>-6.5922999999999995E-2</v>
          </cell>
        </row>
        <row r="40">
          <cell r="L40">
            <v>-6.0766000000000001E-2</v>
          </cell>
        </row>
        <row r="41">
          <cell r="L41">
            <v>-5.9910999999999999E-2</v>
          </cell>
        </row>
        <row r="42">
          <cell r="L42">
            <v>-5.9163E-2</v>
          </cell>
        </row>
        <row r="43">
          <cell r="L43">
            <v>-8.6000999999999994E-2</v>
          </cell>
        </row>
        <row r="44">
          <cell r="L44">
            <v>-8.2150000000000001E-2</v>
          </cell>
        </row>
        <row r="45">
          <cell r="L45">
            <v>-8.5716000000000001E-2</v>
          </cell>
        </row>
        <row r="46">
          <cell r="L46">
            <v>-7.5378000000000001E-2</v>
          </cell>
        </row>
        <row r="47">
          <cell r="L47">
            <v>-7.4090000000000003E-2</v>
          </cell>
        </row>
        <row r="48">
          <cell r="L48">
            <v>-7.3547000000000001E-2</v>
          </cell>
        </row>
        <row r="49">
          <cell r="L49">
            <v>-7.0290000000000005E-2</v>
          </cell>
        </row>
        <row r="50">
          <cell r="L50">
            <v>-7.1831999999999993E-2</v>
          </cell>
        </row>
        <row r="51">
          <cell r="L51">
            <v>-6.8904999999999994E-2</v>
          </cell>
        </row>
        <row r="52">
          <cell r="L52">
            <v>-7.3996999999999993E-2</v>
          </cell>
        </row>
        <row r="53">
          <cell r="L53">
            <v>-7.2081999999999993E-2</v>
          </cell>
        </row>
        <row r="54">
          <cell r="L54">
            <v>-7.7317999999999998E-2</v>
          </cell>
        </row>
        <row r="55">
          <cell r="L55">
            <v>-7.5453999999999993E-2</v>
          </cell>
        </row>
        <row r="56">
          <cell r="L56">
            <v>-7.6814999999999994E-2</v>
          </cell>
        </row>
        <row r="57">
          <cell r="L57">
            <v>-7.7358999999999997E-2</v>
          </cell>
        </row>
        <row r="58">
          <cell r="L58">
            <v>-7.4352000000000001E-2</v>
          </cell>
        </row>
        <row r="59">
          <cell r="L59">
            <v>-7.3976E-2</v>
          </cell>
        </row>
        <row r="60">
          <cell r="L60">
            <v>-7.1857000000000004E-2</v>
          </cell>
        </row>
        <row r="61">
          <cell r="L61">
            <v>-8.6333999999999994E-2</v>
          </cell>
        </row>
        <row r="62">
          <cell r="L62">
            <v>-8.7847999999999996E-2</v>
          </cell>
        </row>
      </sheetData>
      <sheetData sheetId="3">
        <row r="2">
          <cell r="AA2">
            <v>1</v>
          </cell>
        </row>
        <row r="3">
          <cell r="AA3">
            <v>0.63333300000000003</v>
          </cell>
        </row>
        <row r="4">
          <cell r="AA4">
            <v>0.93666700000000003</v>
          </cell>
        </row>
      </sheetData>
      <sheetData sheetId="4">
        <row r="2">
          <cell r="L2">
            <v>0</v>
          </cell>
        </row>
        <row r="3">
          <cell r="L3">
            <v>-3.7443999999999998E-2</v>
          </cell>
        </row>
        <row r="4">
          <cell r="L4">
            <v>-2.4438000000000001E-2</v>
          </cell>
          <cell r="O4">
            <v>0</v>
          </cell>
        </row>
        <row r="5">
          <cell r="L5">
            <v>-7.1870000000000003E-2</v>
          </cell>
          <cell r="O5">
            <v>1</v>
          </cell>
        </row>
        <row r="6">
          <cell r="L6">
            <v>-0.118132</v>
          </cell>
          <cell r="O6">
            <v>-1.104663</v>
          </cell>
        </row>
        <row r="7">
          <cell r="L7">
            <v>-0.130777</v>
          </cell>
        </row>
        <row r="8">
          <cell r="L8">
            <v>-0.15517900000000001</v>
          </cell>
        </row>
        <row r="9">
          <cell r="L9">
            <v>-0.175234</v>
          </cell>
        </row>
        <row r="10">
          <cell r="L10">
            <v>-0.14640700000000001</v>
          </cell>
        </row>
        <row r="11">
          <cell r="L11">
            <v>-0.19422900000000001</v>
          </cell>
        </row>
        <row r="12">
          <cell r="L12">
            <v>-0.26458900000000002</v>
          </cell>
        </row>
        <row r="13">
          <cell r="L13">
            <v>-0.30092400000000002</v>
          </cell>
        </row>
        <row r="14">
          <cell r="L14">
            <v>-0.30837700000000001</v>
          </cell>
        </row>
        <row r="15">
          <cell r="L15">
            <v>-0.31731399999999998</v>
          </cell>
        </row>
        <row r="16">
          <cell r="L16">
            <v>-0.34924300000000003</v>
          </cell>
        </row>
        <row r="17">
          <cell r="L17">
            <v>-0.37307899999999999</v>
          </cell>
        </row>
        <row r="18">
          <cell r="L18">
            <v>-0.414466</v>
          </cell>
        </row>
        <row r="19">
          <cell r="L19">
            <v>-0.443442</v>
          </cell>
        </row>
        <row r="20">
          <cell r="L20">
            <v>-0.458646</v>
          </cell>
        </row>
        <row r="21">
          <cell r="L21">
            <v>-0.464839</v>
          </cell>
        </row>
        <row r="22">
          <cell r="L22">
            <v>-0.47647699999999998</v>
          </cell>
        </row>
        <row r="23">
          <cell r="L23">
            <v>-0.48299700000000001</v>
          </cell>
        </row>
        <row r="24">
          <cell r="L24">
            <v>-0.48670400000000003</v>
          </cell>
        </row>
        <row r="25">
          <cell r="L25">
            <v>-0.50530699999999995</v>
          </cell>
        </row>
        <row r="26">
          <cell r="L26">
            <v>-0.51701799999999998</v>
          </cell>
        </row>
        <row r="27">
          <cell r="L27">
            <v>-0.52535500000000002</v>
          </cell>
        </row>
        <row r="28">
          <cell r="L28">
            <v>-0.52932500000000005</v>
          </cell>
        </row>
        <row r="29">
          <cell r="L29">
            <v>-0.53509099999999998</v>
          </cell>
        </row>
        <row r="30">
          <cell r="L30">
            <v>-0.539381</v>
          </cell>
        </row>
        <row r="31">
          <cell r="L31">
            <v>-0.54273499999999997</v>
          </cell>
        </row>
        <row r="32">
          <cell r="L32">
            <v>-0.541995</v>
          </cell>
        </row>
        <row r="33">
          <cell r="L33">
            <v>-0.55154199999999998</v>
          </cell>
        </row>
        <row r="34">
          <cell r="L34">
            <v>-0.587418</v>
          </cell>
        </row>
        <row r="35">
          <cell r="L35">
            <v>-0.60026400000000002</v>
          </cell>
        </row>
        <row r="36">
          <cell r="L36">
            <v>-0.623116</v>
          </cell>
        </row>
        <row r="37">
          <cell r="L37">
            <v>-0.63135399999999997</v>
          </cell>
        </row>
        <row r="38">
          <cell r="L38">
            <v>-0.65187300000000004</v>
          </cell>
        </row>
        <row r="39">
          <cell r="L39">
            <v>-0.65666500000000005</v>
          </cell>
        </row>
        <row r="40">
          <cell r="L40">
            <v>-0.67499200000000004</v>
          </cell>
        </row>
        <row r="41">
          <cell r="L41">
            <v>-0.67146899999999998</v>
          </cell>
        </row>
        <row r="42">
          <cell r="L42">
            <v>-0.68995200000000001</v>
          </cell>
        </row>
        <row r="43">
          <cell r="L43">
            <v>-0.69785799999999998</v>
          </cell>
        </row>
        <row r="44">
          <cell r="L44">
            <v>-0.70249499999999998</v>
          </cell>
        </row>
        <row r="45">
          <cell r="L45">
            <v>-0.65621600000000002</v>
          </cell>
        </row>
        <row r="46">
          <cell r="L46">
            <v>-0.67939300000000002</v>
          </cell>
        </row>
        <row r="47">
          <cell r="L47">
            <v>-0.68701800000000002</v>
          </cell>
        </row>
        <row r="48">
          <cell r="L48">
            <v>-0.69238500000000003</v>
          </cell>
        </row>
        <row r="49">
          <cell r="L49">
            <v>-0.70479700000000001</v>
          </cell>
        </row>
        <row r="50">
          <cell r="L50">
            <v>-0.70144899999999999</v>
          </cell>
        </row>
        <row r="51">
          <cell r="L51">
            <v>-0.70472999999999997</v>
          </cell>
        </row>
        <row r="52">
          <cell r="L52">
            <v>-0.73250800000000005</v>
          </cell>
        </row>
        <row r="53">
          <cell r="L53">
            <v>-0.732043</v>
          </cell>
        </row>
        <row r="54">
          <cell r="L54">
            <v>-0.74330399999999996</v>
          </cell>
        </row>
        <row r="55">
          <cell r="L55">
            <v>-0.75803299999999996</v>
          </cell>
        </row>
        <row r="56">
          <cell r="L56">
            <v>-0.75578699999999999</v>
          </cell>
        </row>
        <row r="57">
          <cell r="L57">
            <v>-0.76454599999999995</v>
          </cell>
        </row>
        <row r="58">
          <cell r="L58">
            <v>-0.75387099999999996</v>
          </cell>
        </row>
        <row r="59">
          <cell r="L59">
            <v>-0.77170000000000005</v>
          </cell>
        </row>
        <row r="60">
          <cell r="L60">
            <v>-0.79856000000000005</v>
          </cell>
        </row>
        <row r="61">
          <cell r="L61">
            <v>-0.80388899999999996</v>
          </cell>
        </row>
        <row r="62">
          <cell r="L62">
            <v>-0.79589299999999996</v>
          </cell>
        </row>
        <row r="63">
          <cell r="L63">
            <v>-0.81758399999999998</v>
          </cell>
        </row>
        <row r="64">
          <cell r="L64">
            <v>-0.80168899999999998</v>
          </cell>
        </row>
        <row r="65">
          <cell r="L65">
            <v>-0.83098899999999998</v>
          </cell>
        </row>
        <row r="66">
          <cell r="L66">
            <v>-0.83727200000000002</v>
          </cell>
        </row>
        <row r="67">
          <cell r="L67">
            <v>-0.84332700000000005</v>
          </cell>
        </row>
        <row r="68">
          <cell r="L68">
            <v>-0.84636500000000003</v>
          </cell>
        </row>
        <row r="69">
          <cell r="L69">
            <v>-0.85285699999999998</v>
          </cell>
        </row>
        <row r="70">
          <cell r="L70">
            <v>-0.85322900000000002</v>
          </cell>
        </row>
        <row r="71">
          <cell r="L71">
            <v>-0.84876799999999997</v>
          </cell>
        </row>
        <row r="72">
          <cell r="L72">
            <v>-0.86388799999999999</v>
          </cell>
        </row>
        <row r="73">
          <cell r="L73">
            <v>-0.88186699999999996</v>
          </cell>
        </row>
        <row r="74">
          <cell r="L74">
            <v>-0.87280500000000005</v>
          </cell>
        </row>
        <row r="75">
          <cell r="L75">
            <v>-0.90952999999999995</v>
          </cell>
        </row>
        <row r="76">
          <cell r="L76">
            <v>-0.90146599999999999</v>
          </cell>
        </row>
        <row r="77">
          <cell r="L77">
            <v>-0.91045100000000001</v>
          </cell>
        </row>
        <row r="78">
          <cell r="L78">
            <v>-0.94250500000000004</v>
          </cell>
        </row>
        <row r="79">
          <cell r="L79">
            <v>-0.95722700000000005</v>
          </cell>
        </row>
        <row r="80">
          <cell r="L80">
            <v>-0.92420800000000003</v>
          </cell>
        </row>
        <row r="81">
          <cell r="L81">
            <v>-0.924346</v>
          </cell>
        </row>
        <row r="82">
          <cell r="L82">
            <v>-1.000078</v>
          </cell>
        </row>
        <row r="83">
          <cell r="L83">
            <v>-0.979321</v>
          </cell>
        </row>
        <row r="84">
          <cell r="L84">
            <v>-1.007185</v>
          </cell>
        </row>
        <row r="85">
          <cell r="L85">
            <v>-1.025061</v>
          </cell>
        </row>
        <row r="86">
          <cell r="L86">
            <v>-1.04674</v>
          </cell>
        </row>
        <row r="87">
          <cell r="L87">
            <v>-1.0229220000000001</v>
          </cell>
        </row>
        <row r="88">
          <cell r="L88">
            <v>-1.050602</v>
          </cell>
        </row>
        <row r="89">
          <cell r="L89">
            <v>-1.0415000000000001</v>
          </cell>
        </row>
        <row r="90">
          <cell r="L90">
            <v>-1.0558529999999999</v>
          </cell>
        </row>
        <row r="91">
          <cell r="L91">
            <v>-1.075483</v>
          </cell>
        </row>
        <row r="92">
          <cell r="L92">
            <v>-1.0898969999999999</v>
          </cell>
        </row>
        <row r="93">
          <cell r="L93">
            <v>-1.080894</v>
          </cell>
        </row>
        <row r="94">
          <cell r="L94">
            <v>-1.0838540000000001</v>
          </cell>
        </row>
        <row r="95">
          <cell r="L95">
            <v>-1.0585370000000001</v>
          </cell>
        </row>
        <row r="96">
          <cell r="L96">
            <v>-1.085081</v>
          </cell>
        </row>
        <row r="97">
          <cell r="L97">
            <v>-1.078031</v>
          </cell>
        </row>
        <row r="98">
          <cell r="L98">
            <v>-1.093186</v>
          </cell>
        </row>
        <row r="99">
          <cell r="L99">
            <v>-1.1125659999999999</v>
          </cell>
        </row>
        <row r="100">
          <cell r="L100">
            <v>-1.0953489999999999</v>
          </cell>
        </row>
        <row r="101">
          <cell r="L101">
            <v>-1.1221289999999999</v>
          </cell>
        </row>
        <row r="102">
          <cell r="L102">
            <v>-1.104663</v>
          </cell>
        </row>
      </sheetData>
      <sheetData sheetId="5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6">
        <row r="2">
          <cell r="L2">
            <v>0</v>
          </cell>
        </row>
        <row r="3">
          <cell r="L3">
            <v>-6.2350000000000001E-3</v>
          </cell>
        </row>
        <row r="4">
          <cell r="L4">
            <v>-1.2638E-2</v>
          </cell>
          <cell r="O4">
            <v>0</v>
          </cell>
        </row>
        <row r="5">
          <cell r="L5">
            <v>-1.4276E-2</v>
          </cell>
          <cell r="O5">
            <v>1</v>
          </cell>
        </row>
        <row r="6">
          <cell r="L6">
            <v>-2.5555999999999999E-2</v>
          </cell>
          <cell r="O6">
            <v>-0.39962799999999998</v>
          </cell>
        </row>
        <row r="7">
          <cell r="L7">
            <v>-4.9283E-2</v>
          </cell>
        </row>
        <row r="8">
          <cell r="L8">
            <v>-5.5661000000000002E-2</v>
          </cell>
        </row>
        <row r="9">
          <cell r="L9">
            <v>-5.8397999999999999E-2</v>
          </cell>
        </row>
        <row r="10">
          <cell r="L10">
            <v>-6.2765000000000001E-2</v>
          </cell>
        </row>
        <row r="11">
          <cell r="L11">
            <v>-6.9308999999999996E-2</v>
          </cell>
        </row>
        <row r="12">
          <cell r="L12">
            <v>-9.9557000000000007E-2</v>
          </cell>
        </row>
        <row r="13">
          <cell r="L13">
            <v>-0.107104</v>
          </cell>
        </row>
        <row r="14">
          <cell r="L14">
            <v>-0.109904</v>
          </cell>
        </row>
        <row r="15">
          <cell r="L15">
            <v>-0.109156</v>
          </cell>
        </row>
        <row r="16">
          <cell r="L16">
            <v>-0.15395200000000001</v>
          </cell>
        </row>
        <row r="17">
          <cell r="L17">
            <v>-0.165966</v>
          </cell>
        </row>
        <row r="18">
          <cell r="L18">
            <v>-0.16802400000000001</v>
          </cell>
        </row>
        <row r="19">
          <cell r="L19">
            <v>-0.182335</v>
          </cell>
        </row>
        <row r="20">
          <cell r="L20">
            <v>-0.19348699999999999</v>
          </cell>
        </row>
        <row r="21">
          <cell r="L21">
            <v>-0.203407</v>
          </cell>
        </row>
        <row r="22">
          <cell r="L22">
            <v>-0.20946600000000001</v>
          </cell>
        </row>
        <row r="23">
          <cell r="L23">
            <v>-0.224496</v>
          </cell>
        </row>
        <row r="24">
          <cell r="L24">
            <v>-0.22858100000000001</v>
          </cell>
        </row>
        <row r="25">
          <cell r="L25">
            <v>-0.22790299999999999</v>
          </cell>
        </row>
        <row r="26">
          <cell r="L26">
            <v>-0.225045</v>
          </cell>
        </row>
        <row r="27">
          <cell r="L27">
            <v>-0.22928100000000001</v>
          </cell>
        </row>
        <row r="28">
          <cell r="L28">
            <v>-0.241448</v>
          </cell>
        </row>
        <row r="29">
          <cell r="L29">
            <v>-0.25183100000000003</v>
          </cell>
        </row>
        <row r="30">
          <cell r="L30">
            <v>-0.25076399999999999</v>
          </cell>
        </row>
        <row r="31">
          <cell r="L31">
            <v>-0.257272</v>
          </cell>
        </row>
        <row r="32">
          <cell r="L32">
            <v>-0.26214799999999999</v>
          </cell>
        </row>
        <row r="33">
          <cell r="L33">
            <v>-0.26458300000000001</v>
          </cell>
        </row>
        <row r="34">
          <cell r="L34">
            <v>-0.26440000000000002</v>
          </cell>
        </row>
        <row r="35">
          <cell r="L35">
            <v>-0.27696900000000002</v>
          </cell>
        </row>
        <row r="36">
          <cell r="L36">
            <v>-0.287657</v>
          </cell>
        </row>
        <row r="37">
          <cell r="L37">
            <v>-0.29048600000000002</v>
          </cell>
        </row>
        <row r="38">
          <cell r="L38">
            <v>-0.29942999999999997</v>
          </cell>
        </row>
        <row r="39">
          <cell r="L39">
            <v>-0.30650100000000002</v>
          </cell>
        </row>
        <row r="40">
          <cell r="L40">
            <v>-0.30590499999999998</v>
          </cell>
        </row>
        <row r="41">
          <cell r="L41">
            <v>-0.301927</v>
          </cell>
        </row>
        <row r="42">
          <cell r="L42">
            <v>-0.30595299999999997</v>
          </cell>
        </row>
        <row r="43">
          <cell r="L43">
            <v>-0.32240600000000003</v>
          </cell>
        </row>
        <row r="44">
          <cell r="L44">
            <v>-0.31444299999999997</v>
          </cell>
        </row>
        <row r="45">
          <cell r="L45">
            <v>-0.32419700000000001</v>
          </cell>
        </row>
        <row r="46">
          <cell r="L46">
            <v>-0.32497199999999998</v>
          </cell>
        </row>
        <row r="47">
          <cell r="L47">
            <v>-0.32832600000000001</v>
          </cell>
        </row>
        <row r="48">
          <cell r="L48">
            <v>-0.34331699999999998</v>
          </cell>
        </row>
        <row r="49">
          <cell r="L49">
            <v>-0.34300199999999997</v>
          </cell>
        </row>
        <row r="50">
          <cell r="L50">
            <v>-0.35639199999999999</v>
          </cell>
        </row>
        <row r="51">
          <cell r="L51">
            <v>-0.35026299999999999</v>
          </cell>
        </row>
        <row r="52">
          <cell r="L52">
            <v>-0.35744599999999999</v>
          </cell>
        </row>
        <row r="53">
          <cell r="L53">
            <v>-0.36683500000000002</v>
          </cell>
        </row>
        <row r="54">
          <cell r="L54">
            <v>-0.37926799999999999</v>
          </cell>
        </row>
        <row r="55">
          <cell r="L55">
            <v>-0.372861</v>
          </cell>
        </row>
        <row r="56">
          <cell r="L56">
            <v>-0.39555200000000001</v>
          </cell>
        </row>
        <row r="57">
          <cell r="L57">
            <v>-0.39734700000000001</v>
          </cell>
        </row>
        <row r="58">
          <cell r="L58">
            <v>-0.39606599999999997</v>
          </cell>
        </row>
        <row r="59">
          <cell r="L59">
            <v>-0.39356200000000002</v>
          </cell>
        </row>
        <row r="60">
          <cell r="L60">
            <v>-0.39549899999999999</v>
          </cell>
        </row>
        <row r="61">
          <cell r="L61">
            <v>-0.40173999999999999</v>
          </cell>
        </row>
        <row r="62">
          <cell r="L62">
            <v>-0.39962799999999998</v>
          </cell>
        </row>
      </sheetData>
      <sheetData sheetId="7">
        <row r="2">
          <cell r="AA2">
            <v>1</v>
          </cell>
        </row>
        <row r="3">
          <cell r="AA3">
            <v>0.98333300000000001</v>
          </cell>
        </row>
        <row r="4">
          <cell r="AA4">
            <v>0.99916700000000003</v>
          </cell>
        </row>
      </sheetData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0"/>
  <sheetViews>
    <sheetView tabSelected="1" workbookViewId="0">
      <selection activeCell="O43" sqref="O43"/>
    </sheetView>
  </sheetViews>
  <sheetFormatPr baseColWidth="10" defaultColWidth="8.83203125" defaultRowHeight="15" x14ac:dyDescent="0.2"/>
  <cols>
    <col min="1" max="1" width="25" customWidth="1"/>
    <col min="2" max="8" width="12" customWidth="1"/>
    <col min="12" max="12" width="17.5" bestFit="1" customWidth="1"/>
    <col min="13" max="16" width="9.6640625" bestFit="1" customWidth="1"/>
  </cols>
  <sheetData>
    <row r="1" spans="1:16" ht="19" x14ac:dyDescent="0.25">
      <c r="A1" s="1"/>
    </row>
    <row r="4" spans="1:16" x14ac:dyDescent="0.2">
      <c r="A4" s="3" t="s">
        <v>0</v>
      </c>
      <c r="B4" s="3" t="s">
        <v>1</v>
      </c>
      <c r="C4" s="3" t="s">
        <v>2</v>
      </c>
      <c r="D4" s="3" t="s">
        <v>3</v>
      </c>
      <c r="E4" s="3" t="s">
        <v>4</v>
      </c>
      <c r="F4" s="3" t="s">
        <v>5</v>
      </c>
      <c r="G4" s="3" t="s">
        <v>6</v>
      </c>
      <c r="H4" s="3" t="s">
        <v>7</v>
      </c>
      <c r="L4" t="s">
        <v>21</v>
      </c>
      <c r="M4" s="4" t="s">
        <v>8</v>
      </c>
      <c r="N4" s="4" t="s">
        <v>9</v>
      </c>
      <c r="O4" s="4" t="s">
        <v>10</v>
      </c>
      <c r="P4" s="4" t="s">
        <v>11</v>
      </c>
    </row>
    <row r="5" spans="1:16" x14ac:dyDescent="0.2">
      <c r="A5" s="6" t="s">
        <v>12</v>
      </c>
      <c r="B5" s="7" t="s">
        <v>8</v>
      </c>
      <c r="C5" s="8">
        <f>[1]gpt4omini_single_100!O5</f>
        <v>1</v>
      </c>
      <c r="D5" s="7">
        <f>[1]gpt4omini_single_100!O4</f>
        <v>0</v>
      </c>
      <c r="E5" s="9">
        <f>[1]gpt4omini_single_100!O6</f>
        <v>-0.63621700000000003</v>
      </c>
      <c r="F5" s="10">
        <f>[1]gpt4omini_shuffle_100!AA4</f>
        <v>0.99966699999999997</v>
      </c>
      <c r="G5" s="10">
        <f>[1]gpt4omini_shuffle_100!AA2</f>
        <v>1</v>
      </c>
      <c r="H5" s="10">
        <f>[1]gpt4omini_shuffle_100!AA3</f>
        <v>0.99</v>
      </c>
      <c r="L5" s="4" t="s">
        <v>13</v>
      </c>
      <c r="M5" s="5">
        <f>E5</f>
        <v>-0.63621700000000003</v>
      </c>
      <c r="N5">
        <f>E6</f>
        <v>0.21617</v>
      </c>
      <c r="O5">
        <f>E7</f>
        <v>0.64480199999999999</v>
      </c>
      <c r="P5">
        <f>E8</f>
        <v>-0.65888199999999997</v>
      </c>
    </row>
    <row r="6" spans="1:16" x14ac:dyDescent="0.2">
      <c r="A6" s="11" t="s">
        <v>12</v>
      </c>
      <c r="B6" s="12" t="s">
        <v>9</v>
      </c>
      <c r="C6" s="13">
        <f>[2]gpt4omini_single_100!O5</f>
        <v>0.01</v>
      </c>
      <c r="D6" s="12">
        <f>[2]gpt4omini_single_100!O4</f>
        <v>99</v>
      </c>
      <c r="E6" s="14">
        <f>[2]gpt4omini_single_100!O6</f>
        <v>0.21617</v>
      </c>
      <c r="F6" s="15">
        <f>[2]gpt4omini_shuffle_100!AA4</f>
        <v>0.20866699999999999</v>
      </c>
      <c r="G6" s="15">
        <f>[2]gpt4omini_shuffle_100!AA2</f>
        <v>0.64</v>
      </c>
      <c r="H6" s="15">
        <f>[2]gpt4omini_shuffle_100!AA3</f>
        <v>0.01</v>
      </c>
      <c r="L6" s="4" t="s">
        <v>14</v>
      </c>
      <c r="M6">
        <f>E9</f>
        <v>-0.12123299999999999</v>
      </c>
      <c r="N6">
        <f>E10</f>
        <v>0.216919</v>
      </c>
      <c r="O6">
        <f>E11</f>
        <v>1.2256020000000001</v>
      </c>
      <c r="P6">
        <f>E12</f>
        <v>-8.7847999999999996E-2</v>
      </c>
    </row>
    <row r="7" spans="1:16" x14ac:dyDescent="0.2">
      <c r="A7" s="16" t="s">
        <v>12</v>
      </c>
      <c r="B7" s="17" t="s">
        <v>10</v>
      </c>
      <c r="C7" s="18">
        <f>[3]gpt4omini_single_100!O5</f>
        <v>0.01</v>
      </c>
      <c r="D7" s="17">
        <f>[3]gpt4omini_single_100!O4</f>
        <v>99</v>
      </c>
      <c r="E7" s="19">
        <f>[3]gpt4omini_single_100!O6</f>
        <v>0.64480199999999999</v>
      </c>
      <c r="F7" s="20">
        <f>[3]gpt4omini_shuffle_100!AA4</f>
        <v>6.1667E-2</v>
      </c>
      <c r="G7" s="20">
        <f>[3]gpt4omini_shuffle_100!AA2</f>
        <v>0.2</v>
      </c>
      <c r="H7" s="20">
        <f>[3]gpt4omini_shuffle_100!AA3</f>
        <v>0</v>
      </c>
      <c r="L7" s="4" t="s">
        <v>15</v>
      </c>
      <c r="M7">
        <f>E13</f>
        <v>-1.1682490000000001</v>
      </c>
      <c r="N7">
        <f>E14</f>
        <v>-0.82979400000000003</v>
      </c>
      <c r="O7">
        <f>E15</f>
        <v>-0.80690899999999999</v>
      </c>
      <c r="P7">
        <f>E16</f>
        <v>-1.104663</v>
      </c>
    </row>
    <row r="8" spans="1:16" x14ac:dyDescent="0.2">
      <c r="A8" s="21" t="s">
        <v>12</v>
      </c>
      <c r="B8" s="22" t="s">
        <v>11</v>
      </c>
      <c r="C8" s="23">
        <f>[4]gpt4omini_single_100!O5</f>
        <v>0.99</v>
      </c>
      <c r="D8" s="22">
        <f>[4]gpt4omini_single_100!O4</f>
        <v>1</v>
      </c>
      <c r="E8" s="24">
        <f>[4]gpt4omini_single_100!O6</f>
        <v>-0.65888199999999997</v>
      </c>
      <c r="F8" s="25">
        <f>[4]gpt4omini_shuffle_100!AA4</f>
        <v>0.99666699999999997</v>
      </c>
      <c r="G8" s="25">
        <f>[4]gpt4omini_shuffle_100!AA2</f>
        <v>1</v>
      </c>
      <c r="H8" s="25">
        <f>[4]gpt4omini_shuffle_100!AA3</f>
        <v>0.97</v>
      </c>
      <c r="L8" s="4" t="s">
        <v>16</v>
      </c>
      <c r="M8">
        <f>E17</f>
        <v>-0.40472200000000003</v>
      </c>
      <c r="N8">
        <f>E18</f>
        <v>-0.162244</v>
      </c>
      <c r="O8">
        <f>E19</f>
        <v>0.218504</v>
      </c>
      <c r="P8">
        <f>E20</f>
        <v>-0.39962799999999998</v>
      </c>
    </row>
    <row r="9" spans="1:16" x14ac:dyDescent="0.2">
      <c r="A9" s="6" t="s">
        <v>17</v>
      </c>
      <c r="B9" s="7" t="s">
        <v>8</v>
      </c>
      <c r="C9" s="8">
        <f>[1]gpt4omini_single_60!O5</f>
        <v>1</v>
      </c>
      <c r="D9" s="7">
        <f>[1]gpt4omini_single_60!O4</f>
        <v>0</v>
      </c>
      <c r="E9" s="9">
        <f>[1]gpt4omini_single_60!O6</f>
        <v>-0.12123299999999999</v>
      </c>
      <c r="F9" s="10">
        <f>[1]gpt4omini_shuffle_60!AA4</f>
        <v>0.98166699999999996</v>
      </c>
      <c r="G9" s="10">
        <f>[1]gpt4omini_shuffle_60!AA2</f>
        <v>1</v>
      </c>
      <c r="H9" s="10">
        <f>[1]gpt4omini_shuffle_60!AA3</f>
        <v>0.86666699999999997</v>
      </c>
    </row>
    <row r="10" spans="1:16" x14ac:dyDescent="0.2">
      <c r="A10" s="11" t="s">
        <v>17</v>
      </c>
      <c r="B10" s="12" t="s">
        <v>9</v>
      </c>
      <c r="C10" s="13">
        <f>[2]gpt4omini_single_60!O5</f>
        <v>1.6667000000000001E-2</v>
      </c>
      <c r="D10" s="12">
        <f>[2]gpt4omini_single_60!O4</f>
        <v>59</v>
      </c>
      <c r="E10" s="14">
        <f>[2]gpt4omini_single_60!O6</f>
        <v>0.216919</v>
      </c>
      <c r="F10" s="15">
        <f>[2]gpt4omini_shuffle_60!AA4</f>
        <v>6.0832999999999998E-2</v>
      </c>
      <c r="G10" s="15">
        <f>[2]gpt4omini_shuffle_60!AA2</f>
        <v>0.2</v>
      </c>
      <c r="H10" s="15">
        <f>[2]gpt4omini_shuffle_60!AA3</f>
        <v>0</v>
      </c>
    </row>
    <row r="11" spans="1:16" x14ac:dyDescent="0.2">
      <c r="A11" s="16" t="s">
        <v>17</v>
      </c>
      <c r="B11" s="17" t="s">
        <v>10</v>
      </c>
      <c r="C11" s="18">
        <f>[3]gpt4omini_single_60!O5</f>
        <v>0</v>
      </c>
      <c r="D11" s="17">
        <f>[3]gpt4omini_single_60!O4</f>
        <v>60</v>
      </c>
      <c r="E11" s="19">
        <f>[3]gpt4omini_single_60!O6</f>
        <v>1.2256020000000001</v>
      </c>
      <c r="F11" s="20">
        <f>[3]gpt4omini_shuffle_60!AA4</f>
        <v>5.7500000000000002E-2</v>
      </c>
      <c r="G11" s="20">
        <f>[3]gpt4omini_shuffle_60!AA2</f>
        <v>0.25</v>
      </c>
      <c r="H11" s="20">
        <f>[3]gpt4omini_shuffle_60!AA3</f>
        <v>0</v>
      </c>
    </row>
    <row r="12" spans="1:16" x14ac:dyDescent="0.2">
      <c r="A12" s="21" t="s">
        <v>17</v>
      </c>
      <c r="B12" s="22" t="s">
        <v>11</v>
      </c>
      <c r="C12" s="23">
        <f>[4]gpt4omini_single_60!O5</f>
        <v>1</v>
      </c>
      <c r="D12" s="22">
        <f>[4]gpt4omini_single_60!O4</f>
        <v>0</v>
      </c>
      <c r="E12" s="24">
        <f>[4]gpt4omini_single_60!O6</f>
        <v>-8.7847999999999996E-2</v>
      </c>
      <c r="F12" s="25">
        <f>[4]gpt4omini_shuffle_60!AA4</f>
        <v>0.93666700000000003</v>
      </c>
      <c r="G12" s="25">
        <f>[4]gpt4omini_shuffle_60!AA2</f>
        <v>1</v>
      </c>
      <c r="H12" s="25">
        <f>[4]gpt4omini_shuffle_60!AA3</f>
        <v>0.63333300000000003</v>
      </c>
    </row>
    <row r="13" spans="1:16" x14ac:dyDescent="0.2">
      <c r="A13" s="6" t="s">
        <v>18</v>
      </c>
      <c r="B13" s="7" t="s">
        <v>8</v>
      </c>
      <c r="C13" s="8">
        <f>[1]gpt4omini_single_100_2!O5</f>
        <v>1</v>
      </c>
      <c r="D13" s="7">
        <f>[1]gpt4omini_single_100_2!O4</f>
        <v>0</v>
      </c>
      <c r="E13" s="9">
        <f>[1]gpt4omini_single_100_2!O6</f>
        <v>-1.1682490000000001</v>
      </c>
      <c r="F13" s="10">
        <f>[1]gpt4omini_shuffle_100_2!AA4</f>
        <v>0.99966699999999997</v>
      </c>
      <c r="G13" s="10">
        <f>[1]gpt4omini_shuffle_100_2!AA2</f>
        <v>1</v>
      </c>
      <c r="H13" s="10">
        <f>[1]gpt4omini_shuffle_100_2!AA3</f>
        <v>0.99</v>
      </c>
    </row>
    <row r="14" spans="1:16" x14ac:dyDescent="0.2">
      <c r="A14" s="11" t="s">
        <v>18</v>
      </c>
      <c r="B14" s="12" t="s">
        <v>9</v>
      </c>
      <c r="C14" s="13">
        <f>[2]gpt4omini_single_100_2!O5</f>
        <v>1</v>
      </c>
      <c r="D14" s="12">
        <f>[2]gpt4omini_single_100_2!O4</f>
        <v>0</v>
      </c>
      <c r="E14" s="14">
        <f>[2]gpt4omini_single_100_2!O6</f>
        <v>-0.82979400000000003</v>
      </c>
      <c r="F14" s="15">
        <f>[2]gpt4omini_shuffle_100_2!AA4</f>
        <v>0.99966699999999997</v>
      </c>
      <c r="G14" s="15">
        <f>[2]gpt4omini_shuffle_100_2!AA2</f>
        <v>1</v>
      </c>
      <c r="H14" s="15">
        <f>[2]gpt4omini_shuffle_100_2!AA3</f>
        <v>0.99</v>
      </c>
    </row>
    <row r="15" spans="1:16" x14ac:dyDescent="0.2">
      <c r="A15" s="16" t="s">
        <v>18</v>
      </c>
      <c r="B15" s="17" t="s">
        <v>10</v>
      </c>
      <c r="C15" s="18">
        <f>[3]gpt4omini_single_100_2!O5</f>
        <v>1</v>
      </c>
      <c r="D15" s="17">
        <f>[3]gpt4omini_single_100_2!O4</f>
        <v>0</v>
      </c>
      <c r="E15" s="19">
        <f>[3]gpt4omini_single_100_2!O6</f>
        <v>-0.80690899999999999</v>
      </c>
      <c r="F15" s="20">
        <f>[3]gpt4omini_shuffle_100_2!AA4</f>
        <v>0.99466699999999997</v>
      </c>
      <c r="G15" s="20">
        <f>[3]gpt4omini_shuffle_100_2!AA2</f>
        <v>1</v>
      </c>
      <c r="H15" s="20">
        <f>[3]gpt4omini_shuffle_100_2!AA3</f>
        <v>0.92</v>
      </c>
    </row>
    <row r="16" spans="1:16" x14ac:dyDescent="0.2">
      <c r="A16" s="21" t="s">
        <v>18</v>
      </c>
      <c r="B16" s="22" t="s">
        <v>11</v>
      </c>
      <c r="C16" s="23">
        <f>[4]gpt4omini_single_100_2!O5</f>
        <v>1</v>
      </c>
      <c r="D16" s="22">
        <f>[4]gpt4omini_single_100_2!O4</f>
        <v>0</v>
      </c>
      <c r="E16" s="24">
        <f>[4]gpt4omini_single_100_2!O6</f>
        <v>-1.104663</v>
      </c>
      <c r="F16" s="25">
        <f>[4]gpt4omini_shuffle_100_2!AA4</f>
        <v>1</v>
      </c>
      <c r="G16" s="25">
        <f>[4]gpt4omini_shuffle_100_2!AA2</f>
        <v>1</v>
      </c>
      <c r="H16" s="25">
        <f>[4]gpt4omini_shuffle_100_2!AA3</f>
        <v>1</v>
      </c>
    </row>
    <row r="17" spans="1:8" x14ac:dyDescent="0.2">
      <c r="A17" s="6" t="s">
        <v>19</v>
      </c>
      <c r="B17" s="7" t="s">
        <v>8</v>
      </c>
      <c r="C17" s="8">
        <f>[1]gpt4omini_single_60_2!O5</f>
        <v>1</v>
      </c>
      <c r="D17" s="7">
        <f>[1]gpt4omini_single_60_2!O4</f>
        <v>0</v>
      </c>
      <c r="E17" s="9">
        <f>[1]gpt4omini_single_60_2!O6</f>
        <v>-0.40472200000000003</v>
      </c>
      <c r="F17" s="10">
        <f>[1]gpt4omini_shuffle_60_2!AA4</f>
        <v>1</v>
      </c>
      <c r="G17" s="10">
        <f>[1]gpt4omini_shuffle_60_2!AA2</f>
        <v>1</v>
      </c>
      <c r="H17" s="10">
        <f>[1]gpt4omini_shuffle_60_2!AA3</f>
        <v>1</v>
      </c>
    </row>
    <row r="18" spans="1:8" x14ac:dyDescent="0.2">
      <c r="A18" s="11" t="s">
        <v>19</v>
      </c>
      <c r="B18" s="12" t="s">
        <v>9</v>
      </c>
      <c r="C18" s="13">
        <f>[2]gpt4omini_single_60_2!O5</f>
        <v>0.56666700000000003</v>
      </c>
      <c r="D18" s="12">
        <f>[2]gpt4omini_single_60_2!O4</f>
        <v>26</v>
      </c>
      <c r="E18" s="14">
        <f>[2]gpt4omini_single_60_2!O6</f>
        <v>-0.162244</v>
      </c>
      <c r="F18" s="15">
        <f>[2]gpt4omini_shuffle_60_2!AA4</f>
        <v>0.91166700000000001</v>
      </c>
      <c r="G18" s="15">
        <f>[2]gpt4omini_shuffle_60_2!AA2</f>
        <v>1</v>
      </c>
      <c r="H18" s="15">
        <f>[2]gpt4omini_shuffle_60_2!AA3</f>
        <v>0.45</v>
      </c>
    </row>
    <row r="19" spans="1:8" x14ac:dyDescent="0.2">
      <c r="A19" s="16" t="s">
        <v>19</v>
      </c>
      <c r="B19" s="17" t="s">
        <v>10</v>
      </c>
      <c r="C19" s="18">
        <f>[3]gpt4omini_single_60_2!O5</f>
        <v>0.76666699999999999</v>
      </c>
      <c r="D19" s="17">
        <f>[3]gpt4omini_single_60_2!O4</f>
        <v>14</v>
      </c>
      <c r="E19" s="19">
        <f>[3]gpt4omini_single_60_2!O6</f>
        <v>0.218504</v>
      </c>
      <c r="F19" s="20">
        <f>[3]gpt4omini_shuffle_60_2!AA4</f>
        <v>0.435</v>
      </c>
      <c r="G19" s="20">
        <f>[3]gpt4omini_shuffle_60_2!AA2</f>
        <v>0.73333300000000001</v>
      </c>
      <c r="H19" s="20">
        <f>[3]gpt4omini_shuffle_60_2!AA3</f>
        <v>0.11666700000000001</v>
      </c>
    </row>
    <row r="20" spans="1:8" x14ac:dyDescent="0.2">
      <c r="A20" s="26" t="s">
        <v>19</v>
      </c>
      <c r="B20" s="27" t="s">
        <v>11</v>
      </c>
      <c r="C20" s="28">
        <f>[4]gpt4omini_single_60_2!O5</f>
        <v>1</v>
      </c>
      <c r="D20" s="27">
        <f>[4]gpt4omini_single_60_2!O4</f>
        <v>0</v>
      </c>
      <c r="E20" s="29">
        <f>[4]gpt4omini_single_60_2!O6</f>
        <v>-0.39962799999999998</v>
      </c>
      <c r="F20" s="30">
        <f>[4]gpt4omini_shuffle_60_2!AA4</f>
        <v>0.99916700000000003</v>
      </c>
      <c r="G20" s="30">
        <f>[4]gpt4omini_shuffle_60_2!AA2</f>
        <v>1</v>
      </c>
      <c r="H20" s="30">
        <f>[4]gpt4omini_shuffle_60_2!AA3</f>
        <v>0.98333300000000001</v>
      </c>
    </row>
  </sheetData>
  <pageMargins left="0.75" right="0.75" top="1" bottom="1" header="0.5" footer="0.5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03"/>
  <sheetViews>
    <sheetView topLeftCell="P1" zoomScaleNormal="167" workbookViewId="0">
      <selection activeCell="I74" sqref="I74"/>
    </sheetView>
  </sheetViews>
  <sheetFormatPr baseColWidth="10" defaultColWidth="8.83203125" defaultRowHeight="15" x14ac:dyDescent="0.2"/>
  <sheetData>
    <row r="1" spans="1:23" x14ac:dyDescent="0.2">
      <c r="A1" s="2" t="s">
        <v>12</v>
      </c>
      <c r="G1" s="2" t="s">
        <v>17</v>
      </c>
      <c r="M1" s="2" t="s">
        <v>18</v>
      </c>
      <c r="S1" s="2" t="s">
        <v>19</v>
      </c>
    </row>
    <row r="2" spans="1:23" x14ac:dyDescent="0.2">
      <c r="A2" t="s">
        <v>20</v>
      </c>
      <c r="B2" t="s">
        <v>8</v>
      </c>
      <c r="C2" t="s">
        <v>9</v>
      </c>
      <c r="D2" t="s">
        <v>10</v>
      </c>
      <c r="E2" t="s">
        <v>11</v>
      </c>
      <c r="G2" t="s">
        <v>20</v>
      </c>
      <c r="H2" t="s">
        <v>8</v>
      </c>
      <c r="I2" t="s">
        <v>9</v>
      </c>
      <c r="J2" t="s">
        <v>10</v>
      </c>
      <c r="K2" t="s">
        <v>11</v>
      </c>
      <c r="M2" t="s">
        <v>20</v>
      </c>
      <c r="N2" t="s">
        <v>8</v>
      </c>
      <c r="O2" t="s">
        <v>9</v>
      </c>
      <c r="P2" t="s">
        <v>10</v>
      </c>
      <c r="Q2" t="s">
        <v>11</v>
      </c>
      <c r="S2" t="s">
        <v>20</v>
      </c>
      <c r="T2" t="s">
        <v>8</v>
      </c>
      <c r="U2" t="s">
        <v>9</v>
      </c>
      <c r="V2" t="s">
        <v>10</v>
      </c>
      <c r="W2" t="s">
        <v>11</v>
      </c>
    </row>
    <row r="3" spans="1:23" x14ac:dyDescent="0.2">
      <c r="A3">
        <v>0</v>
      </c>
      <c r="B3">
        <f>[1]gpt4omini_single_100!L2</f>
        <v>0</v>
      </c>
      <c r="C3">
        <f>[2]gpt4omini_single_100!L2</f>
        <v>0</v>
      </c>
      <c r="D3">
        <f>[3]gpt4omini_single_100!L2</f>
        <v>0</v>
      </c>
      <c r="E3">
        <f>[4]gpt4omini_single_100!L2</f>
        <v>0</v>
      </c>
      <c r="G3">
        <v>0</v>
      </c>
      <c r="H3">
        <f>[1]gpt4omini_single_60!L2</f>
        <v>0</v>
      </c>
      <c r="I3">
        <f>[2]gpt4omini_single_60!L2</f>
        <v>0</v>
      </c>
      <c r="J3">
        <f>[3]gpt4omini_single_60!L2</f>
        <v>0</v>
      </c>
      <c r="K3">
        <f>[4]gpt4omini_single_60!L2</f>
        <v>0</v>
      </c>
      <c r="M3">
        <v>0</v>
      </c>
      <c r="N3">
        <f>[1]gpt4omini_single_100_2!L2</f>
        <v>0</v>
      </c>
      <c r="O3">
        <f>[2]gpt4omini_single_100_2!L2</f>
        <v>0</v>
      </c>
      <c r="P3">
        <f>[3]gpt4omini_single_100_2!L2</f>
        <v>0</v>
      </c>
      <c r="Q3">
        <f>[4]gpt4omini_single_100_2!L2</f>
        <v>0</v>
      </c>
      <c r="S3">
        <v>0</v>
      </c>
      <c r="T3">
        <f>[1]gpt4omini_single_60_2!L2</f>
        <v>0</v>
      </c>
      <c r="U3">
        <f>[2]gpt4omini_single_60_2!L2</f>
        <v>0</v>
      </c>
      <c r="V3">
        <f>[3]gpt4omini_single_60_2!L2</f>
        <v>0</v>
      </c>
      <c r="W3">
        <f>[4]gpt4omini_single_60_2!L2</f>
        <v>0</v>
      </c>
    </row>
    <row r="4" spans="1:23" x14ac:dyDescent="0.2">
      <c r="A4">
        <v>1</v>
      </c>
      <c r="B4">
        <f>[1]gpt4omini_single_100!L3</f>
        <v>-7.0520000000000001E-3</v>
      </c>
      <c r="C4">
        <f>[2]gpt4omini_single_100!L3</f>
        <v>-1.1637E-2</v>
      </c>
      <c r="D4">
        <f>[3]gpt4omini_single_100!L3</f>
        <v>-1.374E-3</v>
      </c>
      <c r="E4">
        <f>[4]gpt4omini_single_100!L3</f>
        <v>-7.6649999999999999E-3</v>
      </c>
      <c r="G4">
        <v>1</v>
      </c>
      <c r="H4">
        <f>[1]gpt4omini_single_60!L3</f>
        <v>-2.447E-3</v>
      </c>
      <c r="I4">
        <f>[2]gpt4omini_single_60!L3</f>
        <v>3.581E-3</v>
      </c>
      <c r="J4">
        <f>[3]gpt4omini_single_60!L3</f>
        <v>4.2490000000000002E-3</v>
      </c>
      <c r="K4">
        <f>[4]gpt4omini_single_60!L3</f>
        <v>-1.6130000000000001E-3</v>
      </c>
      <c r="M4">
        <v>1</v>
      </c>
      <c r="N4">
        <f>[1]gpt4omini_single_100_2!L3</f>
        <v>-3.6311000000000003E-2</v>
      </c>
      <c r="O4">
        <f>[2]gpt4omini_single_100_2!L3</f>
        <v>-1.0848E-2</v>
      </c>
      <c r="P4">
        <f>[3]gpt4omini_single_100_2!L3</f>
        <v>-4.2195000000000003E-2</v>
      </c>
      <c r="Q4">
        <f>[4]gpt4omini_single_100_2!L3</f>
        <v>-3.7443999999999998E-2</v>
      </c>
      <c r="S4">
        <v>1</v>
      </c>
      <c r="T4">
        <f>[1]gpt4omini_single_60_2!L3</f>
        <v>-7.9360000000000003E-3</v>
      </c>
      <c r="U4">
        <f>[2]gpt4omini_single_60_2!L3</f>
        <v>-2.794E-3</v>
      </c>
      <c r="V4">
        <f>[3]gpt4omini_single_60_2!L3</f>
        <v>-1.9726E-2</v>
      </c>
      <c r="W4">
        <f>[4]gpt4omini_single_60_2!L3</f>
        <v>-6.2350000000000001E-3</v>
      </c>
    </row>
    <row r="5" spans="1:23" x14ac:dyDescent="0.2">
      <c r="A5">
        <v>2</v>
      </c>
      <c r="B5">
        <f>[1]gpt4omini_single_100!L4</f>
        <v>-1.2291E-2</v>
      </c>
      <c r="C5">
        <f>[2]gpt4omini_single_100!L4</f>
        <v>1.2215E-2</v>
      </c>
      <c r="D5">
        <f>[3]gpt4omini_single_100!L4</f>
        <v>7.0349999999999996E-3</v>
      </c>
      <c r="E5">
        <f>[4]gpt4omini_single_100!L4</f>
        <v>1.0994E-2</v>
      </c>
      <c r="G5">
        <v>2</v>
      </c>
      <c r="H5">
        <f>[1]gpt4omini_single_60!L4</f>
        <v>-4.4889999999999999E-3</v>
      </c>
      <c r="I5">
        <f>[2]gpt4omini_single_60!L4</f>
        <v>1.0958000000000001E-2</v>
      </c>
      <c r="J5">
        <f>[3]gpt4omini_single_60!L4</f>
        <v>5.0860000000000002E-3</v>
      </c>
      <c r="K5">
        <f>[4]gpt4omini_single_60!L4</f>
        <v>-2.8140000000000001E-3</v>
      </c>
      <c r="M5">
        <v>2</v>
      </c>
      <c r="N5">
        <f>[1]gpt4omini_single_100_2!L4</f>
        <v>-5.6297E-2</v>
      </c>
      <c r="O5">
        <f>[2]gpt4omini_single_100_2!L4</f>
        <v>-1.0285000000000001E-2</v>
      </c>
      <c r="P5">
        <f>[3]gpt4omini_single_100_2!L4</f>
        <v>-3.8510000000000003E-2</v>
      </c>
      <c r="Q5">
        <f>[4]gpt4omini_single_100_2!L4</f>
        <v>-2.4438000000000001E-2</v>
      </c>
      <c r="S5">
        <v>2</v>
      </c>
      <c r="T5">
        <f>[1]gpt4omini_single_60_2!L4</f>
        <v>-1.451E-2</v>
      </c>
      <c r="U5">
        <f>[2]gpt4omini_single_60_2!L4</f>
        <v>6.6799999999999997E-4</v>
      </c>
      <c r="V5">
        <f>[3]gpt4omini_single_60_2!L4</f>
        <v>-1.6496E-2</v>
      </c>
      <c r="W5">
        <f>[4]gpt4omini_single_60_2!L4</f>
        <v>-1.2638E-2</v>
      </c>
    </row>
    <row r="6" spans="1:23" x14ac:dyDescent="0.2">
      <c r="A6">
        <v>3</v>
      </c>
      <c r="B6">
        <f>[1]gpt4omini_single_100!L5</f>
        <v>-2.2422999999999998E-2</v>
      </c>
      <c r="C6">
        <f>[2]gpt4omini_single_100!L5</f>
        <v>1.7527999999999998E-2</v>
      </c>
      <c r="D6">
        <f>[3]gpt4omini_single_100!L5</f>
        <v>3.0006000000000001E-2</v>
      </c>
      <c r="E6">
        <f>[4]gpt4omini_single_100!L5</f>
        <v>-1.3988E-2</v>
      </c>
      <c r="G6">
        <v>3</v>
      </c>
      <c r="H6">
        <f>[1]gpt4omini_single_60!L5</f>
        <v>-4.7410000000000004E-3</v>
      </c>
      <c r="I6">
        <f>[2]gpt4omini_single_60!L5</f>
        <v>1.5970000000000002E-2</v>
      </c>
      <c r="J6">
        <f>[3]gpt4omini_single_60!L5</f>
        <v>1.5518000000000001E-2</v>
      </c>
      <c r="K6">
        <f>[4]gpt4omini_single_60!L5</f>
        <v>-3.9999999999999998E-6</v>
      </c>
      <c r="M6">
        <v>3</v>
      </c>
      <c r="N6">
        <f>[1]gpt4omini_single_100_2!L5</f>
        <v>-8.8549000000000003E-2</v>
      </c>
      <c r="O6">
        <f>[2]gpt4omini_single_100_2!L5</f>
        <v>-3.1251000000000001E-2</v>
      </c>
      <c r="P6">
        <f>[3]gpt4omini_single_100_2!L5</f>
        <v>-6.7956000000000003E-2</v>
      </c>
      <c r="Q6">
        <f>[4]gpt4omini_single_100_2!L5</f>
        <v>-7.1870000000000003E-2</v>
      </c>
      <c r="S6">
        <v>3</v>
      </c>
      <c r="T6">
        <f>[1]gpt4omini_single_60_2!L5</f>
        <v>-1.4592000000000001E-2</v>
      </c>
      <c r="U6">
        <f>[2]gpt4omini_single_60_2!L5</f>
        <v>1.841E-3</v>
      </c>
      <c r="V6">
        <f>[3]gpt4omini_single_60_2!L5</f>
        <v>-6.4440000000000001E-3</v>
      </c>
      <c r="W6">
        <f>[4]gpt4omini_single_60_2!L5</f>
        <v>-1.4276E-2</v>
      </c>
    </row>
    <row r="7" spans="1:23" x14ac:dyDescent="0.2">
      <c r="A7">
        <v>4</v>
      </c>
      <c r="B7">
        <f>[1]gpt4omini_single_100!L6</f>
        <v>-3.1123000000000001E-2</v>
      </c>
      <c r="C7">
        <f>[2]gpt4omini_single_100!L6</f>
        <v>1.2034E-2</v>
      </c>
      <c r="D7">
        <f>[3]gpt4omini_single_100!L6</f>
        <v>3.7472999999999999E-2</v>
      </c>
      <c r="E7">
        <f>[4]gpt4omini_single_100!L6</f>
        <v>-2.9791000000000002E-2</v>
      </c>
      <c r="G7">
        <v>4</v>
      </c>
      <c r="H7">
        <f>[1]gpt4omini_single_60!L6</f>
        <v>-1.9319999999999999E-3</v>
      </c>
      <c r="I7">
        <f>[2]gpt4omini_single_60!L6</f>
        <v>2.6440000000000001E-3</v>
      </c>
      <c r="J7">
        <f>[3]gpt4omini_single_60!L6</f>
        <v>1.6246E-2</v>
      </c>
      <c r="K7">
        <f>[4]gpt4omini_single_60!L6</f>
        <v>-6.1440000000000002E-3</v>
      </c>
      <c r="M7">
        <v>4</v>
      </c>
      <c r="N7">
        <f>[1]gpt4omini_single_100_2!L6</f>
        <v>-0.104837</v>
      </c>
      <c r="O7">
        <f>[2]gpt4omini_single_100_2!L6</f>
        <v>-5.2004000000000002E-2</v>
      </c>
      <c r="P7">
        <f>[3]gpt4omini_single_100_2!L6</f>
        <v>-6.3217999999999996E-2</v>
      </c>
      <c r="Q7">
        <f>[4]gpt4omini_single_100_2!L6</f>
        <v>-0.118132</v>
      </c>
      <c r="S7">
        <v>4</v>
      </c>
      <c r="T7">
        <f>[1]gpt4omini_single_60_2!L6</f>
        <v>-1.7070999999999999E-2</v>
      </c>
      <c r="U7">
        <f>[2]gpt4omini_single_60_2!L6</f>
        <v>1.2389000000000001E-2</v>
      </c>
      <c r="V7">
        <f>[3]gpt4omini_single_60_2!L6</f>
        <v>-3.9199999999999999E-3</v>
      </c>
      <c r="W7">
        <f>[4]gpt4omini_single_60_2!L6</f>
        <v>-2.5555999999999999E-2</v>
      </c>
    </row>
    <row r="8" spans="1:23" x14ac:dyDescent="0.2">
      <c r="A8">
        <v>5</v>
      </c>
      <c r="B8">
        <f>[1]gpt4omini_single_100!L7</f>
        <v>-3.6815000000000001E-2</v>
      </c>
      <c r="C8">
        <f>[2]gpt4omini_single_100!L7</f>
        <v>3.1413999999999997E-2</v>
      </c>
      <c r="D8">
        <f>[3]gpt4omini_single_100!L7</f>
        <v>5.1175999999999999E-2</v>
      </c>
      <c r="E8">
        <f>[4]gpt4omini_single_100!L7</f>
        <v>-5.5279000000000002E-2</v>
      </c>
      <c r="G8">
        <v>5</v>
      </c>
      <c r="H8">
        <f>[1]gpt4omini_single_60!L7</f>
        <v>-1.6677000000000001E-2</v>
      </c>
      <c r="I8">
        <f>[2]gpt4omini_single_60!L7</f>
        <v>-1.1559999999999999E-3</v>
      </c>
      <c r="J8">
        <f>[3]gpt4omini_single_60!L7</f>
        <v>2.75E-2</v>
      </c>
      <c r="K8">
        <f>[4]gpt4omini_single_60!L7</f>
        <v>-1.8214000000000001E-2</v>
      </c>
      <c r="M8">
        <v>5</v>
      </c>
      <c r="N8">
        <f>[1]gpt4omini_single_100_2!L7</f>
        <v>-0.11285299999999999</v>
      </c>
      <c r="O8">
        <f>[2]gpt4omini_single_100_2!L7</f>
        <v>-4.7551999999999997E-2</v>
      </c>
      <c r="P8">
        <f>[3]gpt4omini_single_100_2!L7</f>
        <v>-6.2233999999999998E-2</v>
      </c>
      <c r="Q8">
        <f>[4]gpt4omini_single_100_2!L7</f>
        <v>-0.130777</v>
      </c>
      <c r="S8">
        <v>5</v>
      </c>
      <c r="T8">
        <f>[1]gpt4omini_single_60_2!L7</f>
        <v>-4.5009E-2</v>
      </c>
      <c r="U8">
        <f>[2]gpt4omini_single_60_2!L7</f>
        <v>-3.9439999999999996E-3</v>
      </c>
      <c r="V8">
        <f>[3]gpt4omini_single_60_2!L7</f>
        <v>-1.494E-2</v>
      </c>
      <c r="W8">
        <f>[4]gpt4omini_single_60_2!L7</f>
        <v>-4.9283E-2</v>
      </c>
    </row>
    <row r="9" spans="1:23" x14ac:dyDescent="0.2">
      <c r="A9">
        <v>6</v>
      </c>
      <c r="B9">
        <f>[1]gpt4omini_single_100!L8</f>
        <v>-4.7058999999999997E-2</v>
      </c>
      <c r="C9">
        <f>[2]gpt4omini_single_100!L8</f>
        <v>4.6698999999999997E-2</v>
      </c>
      <c r="D9">
        <f>[3]gpt4omini_single_100!L8</f>
        <v>6.4715999999999996E-2</v>
      </c>
      <c r="E9">
        <f>[4]gpt4omini_single_100!L8</f>
        <v>-6.7402000000000004E-2</v>
      </c>
      <c r="G9">
        <v>6</v>
      </c>
      <c r="H9">
        <f>[1]gpt4omini_single_60!L8</f>
        <v>-2.0147000000000002E-2</v>
      </c>
      <c r="I9">
        <f>[2]gpt4omini_single_60!L8</f>
        <v>9.5549999999999993E-3</v>
      </c>
      <c r="J9">
        <f>[3]gpt4omini_single_60!L8</f>
        <v>3.8689000000000001E-2</v>
      </c>
      <c r="K9">
        <f>[4]gpt4omini_single_60!L8</f>
        <v>-1.7392000000000001E-2</v>
      </c>
      <c r="M9">
        <v>6</v>
      </c>
      <c r="N9">
        <f>[1]gpt4omini_single_100_2!L8</f>
        <v>-0.130744</v>
      </c>
      <c r="O9">
        <f>[2]gpt4omini_single_100_2!L8</f>
        <v>-2.7390999999999999E-2</v>
      </c>
      <c r="P9">
        <f>[3]gpt4omini_single_100_2!L8</f>
        <v>-3.9211999999999997E-2</v>
      </c>
      <c r="Q9">
        <f>[4]gpt4omini_single_100_2!L8</f>
        <v>-0.15517900000000001</v>
      </c>
      <c r="S9">
        <v>6</v>
      </c>
      <c r="T9">
        <f>[1]gpt4omini_single_60_2!L8</f>
        <v>-4.6226000000000003E-2</v>
      </c>
      <c r="U9">
        <f>[2]gpt4omini_single_60_2!L8</f>
        <v>5.9379999999999997E-3</v>
      </c>
      <c r="V9">
        <f>[3]gpt4omini_single_60_2!L8</f>
        <v>-2.3092000000000001E-2</v>
      </c>
      <c r="W9">
        <f>[4]gpt4omini_single_60_2!L8</f>
        <v>-5.5661000000000002E-2</v>
      </c>
    </row>
    <row r="10" spans="1:23" x14ac:dyDescent="0.2">
      <c r="A10">
        <v>7</v>
      </c>
      <c r="B10">
        <f>[1]gpt4omini_single_100!L9</f>
        <v>-4.7681000000000001E-2</v>
      </c>
      <c r="C10">
        <f>[2]gpt4omini_single_100!L9</f>
        <v>6.6404000000000005E-2</v>
      </c>
      <c r="D10">
        <f>[3]gpt4omini_single_100!L9</f>
        <v>9.8687999999999998E-2</v>
      </c>
      <c r="E10">
        <f>[4]gpt4omini_single_100!L9</f>
        <v>-7.9104999999999995E-2</v>
      </c>
      <c r="G10">
        <v>7</v>
      </c>
      <c r="H10">
        <f>[1]gpt4omini_single_60!L9</f>
        <v>-2.2110000000000001E-2</v>
      </c>
      <c r="I10">
        <f>[2]gpt4omini_single_60!L9</f>
        <v>1.3283E-2</v>
      </c>
      <c r="J10">
        <f>[3]gpt4omini_single_60!L9</f>
        <v>4.6262999999999999E-2</v>
      </c>
      <c r="K10">
        <f>[4]gpt4omini_single_60!L9</f>
        <v>-1.8058000000000001E-2</v>
      </c>
      <c r="M10">
        <v>7</v>
      </c>
      <c r="N10">
        <f>[1]gpt4omini_single_100_2!L9</f>
        <v>-0.1389</v>
      </c>
      <c r="O10">
        <f>[2]gpt4omini_single_100_2!L9</f>
        <v>-3.5324000000000001E-2</v>
      </c>
      <c r="P10">
        <f>[3]gpt4omini_single_100_2!L9</f>
        <v>-2.2676999999999999E-2</v>
      </c>
      <c r="Q10">
        <f>[4]gpt4omini_single_100_2!L9</f>
        <v>-0.175234</v>
      </c>
      <c r="S10">
        <v>7</v>
      </c>
      <c r="T10">
        <f>[1]gpt4omini_single_60_2!L9</f>
        <v>-5.2801000000000001E-2</v>
      </c>
      <c r="U10">
        <f>[2]gpt4omini_single_60_2!L9</f>
        <v>1.3417999999999999E-2</v>
      </c>
      <c r="V10">
        <f>[3]gpt4omini_single_60_2!L9</f>
        <v>-2.1231E-2</v>
      </c>
      <c r="W10">
        <f>[4]gpt4omini_single_60_2!L9</f>
        <v>-5.8397999999999999E-2</v>
      </c>
    </row>
    <row r="11" spans="1:23" x14ac:dyDescent="0.2">
      <c r="A11">
        <v>8</v>
      </c>
      <c r="B11">
        <f>[1]gpt4omini_single_100!L10</f>
        <v>-2.9097999999999999E-2</v>
      </c>
      <c r="C11">
        <f>[2]gpt4omini_single_100!L10</f>
        <v>7.0305999999999993E-2</v>
      </c>
      <c r="D11">
        <f>[3]gpt4omini_single_100!L10</f>
        <v>0.115589</v>
      </c>
      <c r="E11">
        <f>[4]gpt4omini_single_100!L10</f>
        <v>-8.0208000000000002E-2</v>
      </c>
      <c r="G11">
        <v>8</v>
      </c>
      <c r="H11">
        <f>[1]gpt4omini_single_60!L10</f>
        <v>-2.128E-2</v>
      </c>
      <c r="I11">
        <f>[2]gpt4omini_single_60!L10</f>
        <v>2.5618999999999999E-2</v>
      </c>
      <c r="J11">
        <f>[3]gpt4omini_single_60!L10</f>
        <v>5.3621000000000002E-2</v>
      </c>
      <c r="K11">
        <f>[4]gpt4omini_single_60!L10</f>
        <v>-1.8335000000000001E-2</v>
      </c>
      <c r="M11">
        <v>8</v>
      </c>
      <c r="N11">
        <f>[1]gpt4omini_single_100_2!L10</f>
        <v>-0.15068300000000001</v>
      </c>
      <c r="O11">
        <f>[2]gpt4omini_single_100_2!L10</f>
        <v>-3.6087000000000001E-2</v>
      </c>
      <c r="P11">
        <f>[3]gpt4omini_single_100_2!L10</f>
        <v>-0.12575500000000001</v>
      </c>
      <c r="Q11">
        <f>[4]gpt4omini_single_100_2!L10</f>
        <v>-0.14640700000000001</v>
      </c>
      <c r="S11">
        <v>8</v>
      </c>
      <c r="T11">
        <f>[1]gpt4omini_single_60_2!L10</f>
        <v>-5.5011999999999998E-2</v>
      </c>
      <c r="U11">
        <f>[2]gpt4omini_single_60_2!L10</f>
        <v>1.0737E-2</v>
      </c>
      <c r="V11">
        <f>[3]gpt4omini_single_60_2!L10</f>
        <v>-8.4622000000000003E-2</v>
      </c>
      <c r="W11">
        <f>[4]gpt4omini_single_60_2!L10</f>
        <v>-6.2765000000000001E-2</v>
      </c>
    </row>
    <row r="12" spans="1:23" x14ac:dyDescent="0.2">
      <c r="A12">
        <v>9</v>
      </c>
      <c r="B12">
        <f>[1]gpt4omini_single_100!L11</f>
        <v>-3.4410000000000003E-2</v>
      </c>
      <c r="C12">
        <f>[2]gpt4omini_single_100!L11</f>
        <v>8.0559000000000006E-2</v>
      </c>
      <c r="D12">
        <f>[3]gpt4omini_single_100!L11</f>
        <v>0.12725500000000001</v>
      </c>
      <c r="E12">
        <f>[4]gpt4omini_single_100!L11</f>
        <v>-9.1425999999999993E-2</v>
      </c>
      <c r="G12">
        <v>9</v>
      </c>
      <c r="H12">
        <f>[1]gpt4omini_single_60!L11</f>
        <v>-2.4698000000000001E-2</v>
      </c>
      <c r="I12">
        <f>[2]gpt4omini_single_60!L11</f>
        <v>2.3324000000000001E-2</v>
      </c>
      <c r="J12">
        <f>[3]gpt4omini_single_60!L11</f>
        <v>7.7926999999999996E-2</v>
      </c>
      <c r="K12">
        <f>[4]gpt4omini_single_60!L11</f>
        <v>-1.6906000000000001E-2</v>
      </c>
      <c r="M12">
        <v>9</v>
      </c>
      <c r="N12">
        <f>[1]gpt4omini_single_100_2!L11</f>
        <v>-0.164544</v>
      </c>
      <c r="O12">
        <f>[2]gpt4omini_single_100_2!L11</f>
        <v>-4.8561E-2</v>
      </c>
      <c r="P12">
        <f>[3]gpt4omini_single_100_2!L11</f>
        <v>-0.15018599999999999</v>
      </c>
      <c r="Q12">
        <f>[4]gpt4omini_single_100_2!L11</f>
        <v>-0.19422900000000001</v>
      </c>
      <c r="S12">
        <v>9</v>
      </c>
      <c r="T12">
        <f>[1]gpt4omini_single_60_2!L11</f>
        <v>-5.7324E-2</v>
      </c>
      <c r="U12">
        <f>[2]gpt4omini_single_60_2!L11</f>
        <v>9.2549999999999993E-3</v>
      </c>
      <c r="V12">
        <f>[3]gpt4omini_single_60_2!L11</f>
        <v>-7.8552999999999998E-2</v>
      </c>
      <c r="W12">
        <f>[4]gpt4omini_single_60_2!L11</f>
        <v>-6.9308999999999996E-2</v>
      </c>
    </row>
    <row r="13" spans="1:23" x14ac:dyDescent="0.2">
      <c r="A13">
        <v>10</v>
      </c>
      <c r="B13">
        <f>[1]gpt4omini_single_100!L12</f>
        <v>-7.6438999999999993E-2</v>
      </c>
      <c r="C13">
        <f>[2]gpt4omini_single_100!L12</f>
        <v>6.5502000000000005E-2</v>
      </c>
      <c r="D13">
        <f>[3]gpt4omini_single_100!L12</f>
        <v>9.6585000000000004E-2</v>
      </c>
      <c r="E13">
        <f>[4]gpt4omini_single_100!L12</f>
        <v>-0.132772</v>
      </c>
      <c r="G13">
        <v>10</v>
      </c>
      <c r="H13">
        <f>[1]gpt4omini_single_60!L12</f>
        <v>-3.9655999999999997E-2</v>
      </c>
      <c r="I13">
        <f>[2]gpt4omini_single_60!L12</f>
        <v>2.3889000000000001E-2</v>
      </c>
      <c r="J13">
        <f>[3]gpt4omini_single_60!L12</f>
        <v>7.5358999999999995E-2</v>
      </c>
      <c r="K13">
        <f>[4]gpt4omini_single_60!L12</f>
        <v>-4.9911999999999998E-2</v>
      </c>
      <c r="M13">
        <v>10</v>
      </c>
      <c r="N13">
        <f>[1]gpt4omini_single_100_2!L12</f>
        <v>-0.23908099999999999</v>
      </c>
      <c r="O13">
        <f>[2]gpt4omini_single_100_2!L12</f>
        <v>-1.1219E-2</v>
      </c>
      <c r="P13">
        <f>[3]gpt4omini_single_100_2!L12</f>
        <v>-0.12650400000000001</v>
      </c>
      <c r="Q13">
        <f>[4]gpt4omini_single_100_2!L12</f>
        <v>-0.26458900000000002</v>
      </c>
      <c r="S13">
        <v>10</v>
      </c>
      <c r="T13">
        <f>[1]gpt4omini_single_60_2!L12</f>
        <v>-8.6111999999999994E-2</v>
      </c>
      <c r="U13">
        <f>[2]gpt4omini_single_60_2!L12</f>
        <v>2.5460000000000001E-3</v>
      </c>
      <c r="V13">
        <f>[3]gpt4omini_single_60_2!L12</f>
        <v>-8.4583000000000005E-2</v>
      </c>
      <c r="W13">
        <f>[4]gpt4omini_single_60_2!L12</f>
        <v>-9.9557000000000007E-2</v>
      </c>
    </row>
    <row r="14" spans="1:23" x14ac:dyDescent="0.2">
      <c r="A14">
        <v>11</v>
      </c>
      <c r="B14">
        <f>[1]gpt4omini_single_100!L13</f>
        <v>-9.1869999999999993E-2</v>
      </c>
      <c r="C14">
        <f>[2]gpt4omini_single_100!L13</f>
        <v>6.9342000000000001E-2</v>
      </c>
      <c r="D14">
        <f>[3]gpt4omini_single_100!L13</f>
        <v>0.105115</v>
      </c>
      <c r="E14">
        <f>[4]gpt4omini_single_100!L13</f>
        <v>-0.155385</v>
      </c>
      <c r="G14">
        <v>11</v>
      </c>
      <c r="H14">
        <f>[1]gpt4omini_single_60!L13</f>
        <v>-2.9444000000000001E-2</v>
      </c>
      <c r="I14">
        <f>[2]gpt4omini_single_60!L13</f>
        <v>4.7613000000000003E-2</v>
      </c>
      <c r="J14">
        <f>[3]gpt4omini_single_60!L13</f>
        <v>7.6149999999999995E-2</v>
      </c>
      <c r="K14">
        <f>[4]gpt4omini_single_60!L13</f>
        <v>-5.6526E-2</v>
      </c>
      <c r="M14">
        <v>11</v>
      </c>
      <c r="N14">
        <f>[1]gpt4omini_single_100_2!L13</f>
        <v>-0.27545199999999997</v>
      </c>
      <c r="O14">
        <f>[2]gpt4omini_single_100_2!L13</f>
        <v>-2.5676000000000001E-2</v>
      </c>
      <c r="P14">
        <f>[3]gpt4omini_single_100_2!L13</f>
        <v>-0.158438</v>
      </c>
      <c r="Q14">
        <f>[4]gpt4omini_single_100_2!L13</f>
        <v>-0.30092400000000002</v>
      </c>
      <c r="S14">
        <v>11</v>
      </c>
      <c r="T14">
        <f>[1]gpt4omini_single_60_2!L13</f>
        <v>-9.5651E-2</v>
      </c>
      <c r="U14">
        <f>[2]gpt4omini_single_60_2!L13</f>
        <v>5.757E-3</v>
      </c>
      <c r="V14">
        <f>[3]gpt4omini_single_60_2!L13</f>
        <v>-9.3447000000000002E-2</v>
      </c>
      <c r="W14">
        <f>[4]gpt4omini_single_60_2!L13</f>
        <v>-0.107104</v>
      </c>
    </row>
    <row r="15" spans="1:23" x14ac:dyDescent="0.2">
      <c r="A15">
        <v>12</v>
      </c>
      <c r="B15">
        <f>[1]gpt4omini_single_100!L14</f>
        <v>-8.8586999999999999E-2</v>
      </c>
      <c r="C15">
        <f>[2]gpt4omini_single_100!L14</f>
        <v>7.4526999999999996E-2</v>
      </c>
      <c r="D15">
        <f>[3]gpt4omini_single_100!L14</f>
        <v>0.125444</v>
      </c>
      <c r="E15">
        <f>[4]gpt4omini_single_100!L14</f>
        <v>-0.16018299999999999</v>
      </c>
      <c r="G15">
        <v>12</v>
      </c>
      <c r="H15">
        <f>[1]gpt4omini_single_60!L14</f>
        <v>-3.4791999999999997E-2</v>
      </c>
      <c r="I15">
        <f>[2]gpt4omini_single_60!L14</f>
        <v>5.4418000000000001E-2</v>
      </c>
      <c r="J15">
        <f>[3]gpt4omini_single_60!L14</f>
        <v>9.9094000000000002E-2</v>
      </c>
      <c r="K15">
        <f>[4]gpt4omini_single_60!L14</f>
        <v>-5.4554999999999999E-2</v>
      </c>
      <c r="M15">
        <v>12</v>
      </c>
      <c r="N15">
        <f>[1]gpt4omini_single_100_2!L14</f>
        <v>-0.28546100000000002</v>
      </c>
      <c r="O15">
        <f>[2]gpt4omini_single_100_2!L14</f>
        <v>-2.7283999999999999E-2</v>
      </c>
      <c r="P15">
        <f>[3]gpt4omini_single_100_2!L14</f>
        <v>-0.14335300000000001</v>
      </c>
      <c r="Q15">
        <f>[4]gpt4omini_single_100_2!L14</f>
        <v>-0.30837700000000001</v>
      </c>
      <c r="S15">
        <v>12</v>
      </c>
      <c r="T15">
        <f>[1]gpt4omini_single_60_2!L14</f>
        <v>-0.105111</v>
      </c>
      <c r="U15">
        <f>[2]gpt4omini_single_60_2!L14</f>
        <v>9.4799999999999995E-4</v>
      </c>
      <c r="V15">
        <f>[3]gpt4omini_single_60_2!L14</f>
        <v>-9.6551999999999999E-2</v>
      </c>
      <c r="W15">
        <f>[4]gpt4omini_single_60_2!L14</f>
        <v>-0.109904</v>
      </c>
    </row>
    <row r="16" spans="1:23" x14ac:dyDescent="0.2">
      <c r="A16">
        <v>13</v>
      </c>
      <c r="B16">
        <f>[1]gpt4omini_single_100!L15</f>
        <v>-9.2279E-2</v>
      </c>
      <c r="C16">
        <f>[2]gpt4omini_single_100!L15</f>
        <v>0.109627</v>
      </c>
      <c r="D16">
        <f>[3]gpt4omini_single_100!L15</f>
        <v>0.12612100000000001</v>
      </c>
      <c r="E16">
        <f>[4]gpt4omini_single_100!L15</f>
        <v>-0.163074</v>
      </c>
      <c r="G16">
        <v>13</v>
      </c>
      <c r="H16">
        <f>[1]gpt4omini_single_60!L15</f>
        <v>-3.9758000000000002E-2</v>
      </c>
      <c r="I16">
        <f>[2]gpt4omini_single_60!L15</f>
        <v>6.2664999999999998E-2</v>
      </c>
      <c r="J16">
        <f>[3]gpt4omini_single_60!L15</f>
        <v>0.12868499999999999</v>
      </c>
      <c r="K16">
        <f>[4]gpt4omini_single_60!L15</f>
        <v>-4.8467999999999997E-2</v>
      </c>
      <c r="M16">
        <v>13</v>
      </c>
      <c r="N16">
        <f>[1]gpt4omini_single_100_2!L15</f>
        <v>-0.29611599999999999</v>
      </c>
      <c r="O16">
        <f>[2]gpt4omini_single_100_2!L15</f>
        <v>-6.4146999999999996E-2</v>
      </c>
      <c r="P16">
        <f>[3]gpt4omini_single_100_2!L15</f>
        <v>-0.17466699999999999</v>
      </c>
      <c r="Q16">
        <f>[4]gpt4omini_single_100_2!L15</f>
        <v>-0.31731399999999998</v>
      </c>
      <c r="S16">
        <v>13</v>
      </c>
      <c r="T16">
        <f>[1]gpt4omini_single_60_2!L15</f>
        <v>-0.11129799999999999</v>
      </c>
      <c r="U16">
        <f>[2]gpt4omini_single_60_2!L15</f>
        <v>-1.1969999999999999E-3</v>
      </c>
      <c r="V16">
        <f>[3]gpt4omini_single_60_2!L15</f>
        <v>-9.5682000000000003E-2</v>
      </c>
      <c r="W16">
        <f>[4]gpt4omini_single_60_2!L15</f>
        <v>-0.109156</v>
      </c>
    </row>
    <row r="17" spans="1:23" x14ac:dyDescent="0.2">
      <c r="A17">
        <v>14</v>
      </c>
      <c r="B17">
        <f>[1]gpt4omini_single_100!L16</f>
        <v>-9.8380999999999996E-2</v>
      </c>
      <c r="C17">
        <f>[2]gpt4omini_single_100!L16</f>
        <v>0.119599</v>
      </c>
      <c r="D17">
        <f>[3]gpt4omini_single_100!L16</f>
        <v>0.122116</v>
      </c>
      <c r="E17">
        <f>[4]gpt4omini_single_100!L16</f>
        <v>-0.180122</v>
      </c>
      <c r="G17">
        <v>14</v>
      </c>
      <c r="H17">
        <f>[1]gpt4omini_single_60!L16</f>
        <v>-5.9207999999999997E-2</v>
      </c>
      <c r="I17">
        <f>[2]gpt4omini_single_60!L16</f>
        <v>5.2350000000000001E-2</v>
      </c>
      <c r="J17">
        <f>[3]gpt4omini_single_60!L16</f>
        <v>0.121919</v>
      </c>
      <c r="K17">
        <f>[4]gpt4omini_single_60!L16</f>
        <v>-6.9426000000000002E-2</v>
      </c>
      <c r="M17">
        <v>14</v>
      </c>
      <c r="N17">
        <f>[1]gpt4omini_single_100_2!L16</f>
        <v>-0.31750800000000001</v>
      </c>
      <c r="O17">
        <f>[2]gpt4omini_single_100_2!L16</f>
        <v>-8.2579E-2</v>
      </c>
      <c r="P17">
        <f>[3]gpt4omini_single_100_2!L16</f>
        <v>-0.179087</v>
      </c>
      <c r="Q17">
        <f>[4]gpt4omini_single_100_2!L16</f>
        <v>-0.34924300000000003</v>
      </c>
      <c r="S17">
        <v>14</v>
      </c>
      <c r="T17">
        <f>[1]gpt4omini_single_60_2!L16</f>
        <v>-0.13996700000000001</v>
      </c>
      <c r="U17">
        <f>[2]gpt4omini_single_60_2!L16</f>
        <v>-7.9100000000000004E-3</v>
      </c>
      <c r="V17">
        <f>[3]gpt4omini_single_60_2!L16</f>
        <v>-0.115797</v>
      </c>
      <c r="W17">
        <f>[4]gpt4omini_single_60_2!L16</f>
        <v>-0.15395200000000001</v>
      </c>
    </row>
    <row r="18" spans="1:23" x14ac:dyDescent="0.2">
      <c r="A18">
        <v>15</v>
      </c>
      <c r="B18">
        <f>[1]gpt4omini_single_100!L17</f>
        <v>-0.10999100000000001</v>
      </c>
      <c r="C18">
        <f>[2]gpt4omini_single_100!L17</f>
        <v>0.14033000000000001</v>
      </c>
      <c r="D18">
        <f>[3]gpt4omini_single_100!L17</f>
        <v>0.140736</v>
      </c>
      <c r="E18">
        <f>[4]gpt4omini_single_100!L17</f>
        <v>-0.18426799999999999</v>
      </c>
      <c r="G18">
        <v>15</v>
      </c>
      <c r="H18">
        <f>[1]gpt4omini_single_60!L17</f>
        <v>-6.7906999999999995E-2</v>
      </c>
      <c r="I18">
        <f>[2]gpt4omini_single_60!L17</f>
        <v>5.8964000000000003E-2</v>
      </c>
      <c r="J18">
        <f>[3]gpt4omini_single_60!L17</f>
        <v>0.138326</v>
      </c>
      <c r="K18">
        <f>[4]gpt4omini_single_60!L17</f>
        <v>-7.6688000000000006E-2</v>
      </c>
      <c r="M18">
        <v>15</v>
      </c>
      <c r="N18">
        <f>[1]gpt4omini_single_100_2!L17</f>
        <v>-0.34726400000000002</v>
      </c>
      <c r="O18">
        <f>[2]gpt4omini_single_100_2!L17</f>
        <v>-9.3350000000000002E-2</v>
      </c>
      <c r="P18">
        <f>[3]gpt4omini_single_100_2!L17</f>
        <v>-0.19306400000000001</v>
      </c>
      <c r="Q18">
        <f>[4]gpt4omini_single_100_2!L17</f>
        <v>-0.37307899999999999</v>
      </c>
      <c r="S18">
        <v>15</v>
      </c>
      <c r="T18">
        <f>[1]gpt4omini_single_60_2!L17</f>
        <v>-0.153696</v>
      </c>
      <c r="U18">
        <f>[2]gpt4omini_single_60_2!L17</f>
        <v>-4.7460000000000002E-3</v>
      </c>
      <c r="V18">
        <f>[3]gpt4omini_single_60_2!L17</f>
        <v>-9.6892000000000006E-2</v>
      </c>
      <c r="W18">
        <f>[4]gpt4omini_single_60_2!L17</f>
        <v>-0.165966</v>
      </c>
    </row>
    <row r="19" spans="1:23" x14ac:dyDescent="0.2">
      <c r="A19">
        <v>16</v>
      </c>
      <c r="B19">
        <f>[1]gpt4omini_single_100!L18</f>
        <v>-0.12612499999999999</v>
      </c>
      <c r="C19">
        <f>[2]gpt4omini_single_100!L18</f>
        <v>0.122976</v>
      </c>
      <c r="D19">
        <f>[3]gpt4omini_single_100!L18</f>
        <v>0.12587100000000001</v>
      </c>
      <c r="E19">
        <f>[4]gpt4omini_single_100!L18</f>
        <v>-0.202213</v>
      </c>
      <c r="G19">
        <v>16</v>
      </c>
      <c r="H19">
        <f>[1]gpt4omini_single_60!L18</f>
        <v>-8.1299999999999997E-2</v>
      </c>
      <c r="I19">
        <f>[2]gpt4omini_single_60!L18</f>
        <v>6.1435999999999998E-2</v>
      </c>
      <c r="J19">
        <f>[3]gpt4omini_single_60!L18</f>
        <v>0.18887100000000001</v>
      </c>
      <c r="K19">
        <f>[4]gpt4omini_single_60!L18</f>
        <v>-8.1601000000000007E-2</v>
      </c>
      <c r="M19">
        <v>16</v>
      </c>
      <c r="N19">
        <f>[1]gpt4omini_single_100_2!L18</f>
        <v>-0.37508000000000002</v>
      </c>
      <c r="O19">
        <f>[2]gpt4omini_single_100_2!L18</f>
        <v>-0.129029</v>
      </c>
      <c r="P19">
        <f>[3]gpt4omini_single_100_2!L18</f>
        <v>-0.24734600000000001</v>
      </c>
      <c r="Q19">
        <f>[4]gpt4omini_single_100_2!L18</f>
        <v>-0.414466</v>
      </c>
      <c r="S19">
        <v>16</v>
      </c>
      <c r="T19">
        <f>[1]gpt4omini_single_60_2!L18</f>
        <v>-0.175841</v>
      </c>
      <c r="U19">
        <f>[2]gpt4omini_single_60_2!L18</f>
        <v>-1.4189999999999999E-3</v>
      </c>
      <c r="V19">
        <f>[3]gpt4omini_single_60_2!L18</f>
        <v>-8.5081000000000004E-2</v>
      </c>
      <c r="W19">
        <f>[4]gpt4omini_single_60_2!L18</f>
        <v>-0.16802400000000001</v>
      </c>
    </row>
    <row r="20" spans="1:23" x14ac:dyDescent="0.2">
      <c r="A20">
        <v>17</v>
      </c>
      <c r="B20">
        <f>[1]gpt4omini_single_100!L19</f>
        <v>-0.13206899999999999</v>
      </c>
      <c r="C20">
        <f>[2]gpt4omini_single_100!L19</f>
        <v>0.13050600000000001</v>
      </c>
      <c r="D20">
        <f>[3]gpt4omini_single_100!L19</f>
        <v>0.14223</v>
      </c>
      <c r="E20">
        <f>[4]gpt4omini_single_100!L19</f>
        <v>-0.21623899999999999</v>
      </c>
      <c r="G20">
        <v>17</v>
      </c>
      <c r="H20">
        <f>[1]gpt4omini_single_60!L19</f>
        <v>-8.8028999999999996E-2</v>
      </c>
      <c r="I20">
        <f>[2]gpt4omini_single_60!L19</f>
        <v>6.5196000000000004E-2</v>
      </c>
      <c r="J20">
        <f>[3]gpt4omini_single_60!L19</f>
        <v>0.23080200000000001</v>
      </c>
      <c r="K20">
        <f>[4]gpt4omini_single_60!L19</f>
        <v>-8.6452000000000001E-2</v>
      </c>
      <c r="M20">
        <v>17</v>
      </c>
      <c r="N20">
        <f>[1]gpt4omini_single_100_2!L19</f>
        <v>-0.38285200000000003</v>
      </c>
      <c r="O20">
        <f>[2]gpt4omini_single_100_2!L19</f>
        <v>-0.118727</v>
      </c>
      <c r="P20">
        <f>[3]gpt4omini_single_100_2!L19</f>
        <v>-0.236538</v>
      </c>
      <c r="Q20">
        <f>[4]gpt4omini_single_100_2!L19</f>
        <v>-0.443442</v>
      </c>
      <c r="S20">
        <v>17</v>
      </c>
      <c r="T20">
        <f>[1]gpt4omini_single_60_2!L19</f>
        <v>-0.186971</v>
      </c>
      <c r="U20">
        <f>[2]gpt4omini_single_60_2!L19</f>
        <v>-4.6319999999999998E-3</v>
      </c>
      <c r="V20">
        <f>[3]gpt4omini_single_60_2!L19</f>
        <v>-9.9465999999999999E-2</v>
      </c>
      <c r="W20">
        <f>[4]gpt4omini_single_60_2!L19</f>
        <v>-0.182335</v>
      </c>
    </row>
    <row r="21" spans="1:23" x14ac:dyDescent="0.2">
      <c r="A21">
        <v>18</v>
      </c>
      <c r="B21">
        <f>[1]gpt4omini_single_100!L20</f>
        <v>-0.142203</v>
      </c>
      <c r="C21">
        <f>[2]gpt4omini_single_100!L20</f>
        <v>0.12903800000000001</v>
      </c>
      <c r="D21">
        <f>[3]gpt4omini_single_100!L20</f>
        <v>0.18520900000000001</v>
      </c>
      <c r="E21">
        <f>[4]gpt4omini_single_100!L20</f>
        <v>-0.22417799999999999</v>
      </c>
      <c r="G21">
        <v>18</v>
      </c>
      <c r="H21">
        <f>[1]gpt4omini_single_60!L20</f>
        <v>-8.7647000000000003E-2</v>
      </c>
      <c r="I21">
        <f>[2]gpt4omini_single_60!L20</f>
        <v>6.4982999999999999E-2</v>
      </c>
      <c r="J21">
        <f>[3]gpt4omini_single_60!L20</f>
        <v>0.326851</v>
      </c>
      <c r="K21">
        <f>[4]gpt4omini_single_60!L20</f>
        <v>-8.2294999999999993E-2</v>
      </c>
      <c r="M21">
        <v>18</v>
      </c>
      <c r="N21">
        <f>[1]gpt4omini_single_100_2!L20</f>
        <v>-0.40242699999999998</v>
      </c>
      <c r="O21">
        <f>[2]gpt4omini_single_100_2!L20</f>
        <v>-0.120894</v>
      </c>
      <c r="P21">
        <f>[3]gpt4omini_single_100_2!L20</f>
        <v>-0.24395800000000001</v>
      </c>
      <c r="Q21">
        <f>[4]gpt4omini_single_100_2!L20</f>
        <v>-0.458646</v>
      </c>
      <c r="S21">
        <v>18</v>
      </c>
      <c r="T21">
        <f>[1]gpt4omini_single_60_2!L20</f>
        <v>-0.19258</v>
      </c>
      <c r="U21">
        <f>[2]gpt4omini_single_60_2!L20</f>
        <v>1.2279999999999999E-3</v>
      </c>
      <c r="V21">
        <f>[3]gpt4omini_single_60_2!L20</f>
        <v>-9.4108999999999998E-2</v>
      </c>
      <c r="W21">
        <f>[4]gpt4omini_single_60_2!L20</f>
        <v>-0.19348699999999999</v>
      </c>
    </row>
    <row r="22" spans="1:23" x14ac:dyDescent="0.2">
      <c r="A22">
        <v>19</v>
      </c>
      <c r="B22">
        <f>[1]gpt4omini_single_100!L21</f>
        <v>-0.150198</v>
      </c>
      <c r="C22">
        <f>[2]gpt4omini_single_100!L21</f>
        <v>0.16117999999999999</v>
      </c>
      <c r="D22">
        <f>[3]gpt4omini_single_100!L21</f>
        <v>0.24598700000000001</v>
      </c>
      <c r="E22">
        <f>[4]gpt4omini_single_100!L21</f>
        <v>-0.23790500000000001</v>
      </c>
      <c r="G22">
        <v>19</v>
      </c>
      <c r="H22">
        <f>[1]gpt4omini_single_60!L21</f>
        <v>-9.1188000000000005E-2</v>
      </c>
      <c r="I22">
        <f>[2]gpt4omini_single_60!L21</f>
        <v>7.6200000000000004E-2</v>
      </c>
      <c r="J22">
        <f>[3]gpt4omini_single_60!L21</f>
        <v>0.33572600000000002</v>
      </c>
      <c r="K22">
        <f>[4]gpt4omini_single_60!L21</f>
        <v>-8.0917000000000003E-2</v>
      </c>
      <c r="M22">
        <v>19</v>
      </c>
      <c r="N22">
        <f>[1]gpt4omini_single_100_2!L21</f>
        <v>-0.413829</v>
      </c>
      <c r="O22">
        <f>[2]gpt4omini_single_100_2!L21</f>
        <v>-0.11697</v>
      </c>
      <c r="P22">
        <f>[3]gpt4omini_single_100_2!L21</f>
        <v>-0.26088099999999997</v>
      </c>
      <c r="Q22">
        <f>[4]gpt4omini_single_100_2!L21</f>
        <v>-0.464839</v>
      </c>
      <c r="S22">
        <v>19</v>
      </c>
      <c r="T22">
        <f>[1]gpt4omini_single_60_2!L21</f>
        <v>-0.20146</v>
      </c>
      <c r="U22">
        <f>[2]gpt4omini_single_60_2!L21</f>
        <v>2.6719999999999999E-3</v>
      </c>
      <c r="V22">
        <f>[3]gpt4omini_single_60_2!L21</f>
        <v>-8.3704000000000001E-2</v>
      </c>
      <c r="W22">
        <f>[4]gpt4omini_single_60_2!L21</f>
        <v>-0.203407</v>
      </c>
    </row>
    <row r="23" spans="1:23" x14ac:dyDescent="0.2">
      <c r="A23">
        <v>20</v>
      </c>
      <c r="B23">
        <f>[1]gpt4omini_single_100!L22</f>
        <v>-0.16265499999999999</v>
      </c>
      <c r="C23">
        <f>[2]gpt4omini_single_100!L22</f>
        <v>0.15046300000000001</v>
      </c>
      <c r="D23">
        <f>[3]gpt4omini_single_100!L22</f>
        <v>0.24298700000000001</v>
      </c>
      <c r="E23">
        <f>[4]gpt4omini_single_100!L22</f>
        <v>-0.25879799999999997</v>
      </c>
      <c r="G23">
        <v>20</v>
      </c>
      <c r="H23">
        <f>[1]gpt4omini_single_60!L22</f>
        <v>-8.6664000000000005E-2</v>
      </c>
      <c r="I23">
        <f>[2]gpt4omini_single_60!L22</f>
        <v>8.7248999999999993E-2</v>
      </c>
      <c r="J23">
        <f>[3]gpt4omini_single_60!L22</f>
        <v>0.390212</v>
      </c>
      <c r="K23">
        <f>[4]gpt4omini_single_60!L22</f>
        <v>-8.2021999999999998E-2</v>
      </c>
      <c r="M23">
        <v>20</v>
      </c>
      <c r="N23">
        <f>[1]gpt4omini_single_100_2!L22</f>
        <v>-0.42901</v>
      </c>
      <c r="O23">
        <f>[2]gpt4omini_single_100_2!L22</f>
        <v>-0.158361</v>
      </c>
      <c r="P23">
        <f>[3]gpt4omini_single_100_2!L22</f>
        <v>-0.30307800000000001</v>
      </c>
      <c r="Q23">
        <f>[4]gpt4omini_single_100_2!L22</f>
        <v>-0.47647699999999998</v>
      </c>
      <c r="S23">
        <v>20</v>
      </c>
      <c r="T23">
        <f>[1]gpt4omini_single_60_2!L22</f>
        <v>-0.204065</v>
      </c>
      <c r="U23">
        <f>[2]gpt4omini_single_60_2!L22</f>
        <v>-1.884E-3</v>
      </c>
      <c r="V23">
        <f>[3]gpt4omini_single_60_2!L22</f>
        <v>-8.4750000000000006E-2</v>
      </c>
      <c r="W23">
        <f>[4]gpt4omini_single_60_2!L22</f>
        <v>-0.20946600000000001</v>
      </c>
    </row>
    <row r="24" spans="1:23" x14ac:dyDescent="0.2">
      <c r="A24">
        <v>21</v>
      </c>
      <c r="B24">
        <f>[1]gpt4omini_single_100!L23</f>
        <v>-0.16550100000000001</v>
      </c>
      <c r="C24">
        <f>[2]gpt4omini_single_100!L23</f>
        <v>0.158974</v>
      </c>
      <c r="D24">
        <f>[3]gpt4omini_single_100!L23</f>
        <v>0.27637099999999998</v>
      </c>
      <c r="E24">
        <f>[4]gpt4omini_single_100!L23</f>
        <v>-0.266264</v>
      </c>
      <c r="G24">
        <v>21</v>
      </c>
      <c r="H24">
        <f>[1]gpt4omini_single_60!L23</f>
        <v>-8.5526000000000005E-2</v>
      </c>
      <c r="I24">
        <f>[2]gpt4omini_single_60!L23</f>
        <v>9.7209000000000004E-2</v>
      </c>
      <c r="J24">
        <f>[3]gpt4omini_single_60!L23</f>
        <v>0.42799500000000001</v>
      </c>
      <c r="K24">
        <f>[4]gpt4omini_single_60!L23</f>
        <v>-7.7648999999999996E-2</v>
      </c>
      <c r="M24">
        <v>21</v>
      </c>
      <c r="N24">
        <f>[1]gpt4omini_single_100_2!L23</f>
        <v>-0.41644399999999998</v>
      </c>
      <c r="O24">
        <f>[2]gpt4omini_single_100_2!L23</f>
        <v>-0.16251599999999999</v>
      </c>
      <c r="P24">
        <f>[3]gpt4omini_single_100_2!L23</f>
        <v>-0.261938</v>
      </c>
      <c r="Q24">
        <f>[4]gpt4omini_single_100_2!L23</f>
        <v>-0.48299700000000001</v>
      </c>
      <c r="S24">
        <v>21</v>
      </c>
      <c r="T24">
        <f>[1]gpt4omini_single_60_2!L23</f>
        <v>-0.18062900000000001</v>
      </c>
      <c r="U24">
        <f>[2]gpt4omini_single_60_2!L23</f>
        <v>8.0199999999999994E-3</v>
      </c>
      <c r="V24">
        <f>[3]gpt4omini_single_60_2!L23</f>
        <v>-0.102856</v>
      </c>
      <c r="W24">
        <f>[4]gpt4omini_single_60_2!L23</f>
        <v>-0.224496</v>
      </c>
    </row>
    <row r="25" spans="1:23" x14ac:dyDescent="0.2">
      <c r="A25">
        <v>22</v>
      </c>
      <c r="B25">
        <f>[1]gpt4omini_single_100!L24</f>
        <v>-0.16795399999999999</v>
      </c>
      <c r="C25">
        <f>[2]gpt4omini_single_100!L24</f>
        <v>0.15257100000000001</v>
      </c>
      <c r="D25">
        <f>[3]gpt4omini_single_100!L24</f>
        <v>0.28136499999999998</v>
      </c>
      <c r="E25">
        <f>[4]gpt4omini_single_100!L24</f>
        <v>-0.26133000000000001</v>
      </c>
      <c r="G25">
        <v>22</v>
      </c>
      <c r="H25">
        <f>[1]gpt4omini_single_60!L24</f>
        <v>-8.6763000000000007E-2</v>
      </c>
      <c r="I25">
        <f>[2]gpt4omini_single_60!L24</f>
        <v>0.10510899999999999</v>
      </c>
      <c r="J25">
        <f>[3]gpt4omini_single_60!L24</f>
        <v>0.43821900000000003</v>
      </c>
      <c r="K25">
        <f>[4]gpt4omini_single_60!L24</f>
        <v>-7.5309000000000001E-2</v>
      </c>
      <c r="M25">
        <v>22</v>
      </c>
      <c r="N25">
        <f>[1]gpt4omini_single_100_2!L24</f>
        <v>-0.426952</v>
      </c>
      <c r="O25">
        <f>[2]gpt4omini_single_100_2!L24</f>
        <v>-0.159444</v>
      </c>
      <c r="P25">
        <f>[3]gpt4omini_single_100_2!L24</f>
        <v>-0.224</v>
      </c>
      <c r="Q25">
        <f>[4]gpt4omini_single_100_2!L24</f>
        <v>-0.48670400000000003</v>
      </c>
      <c r="S25">
        <v>22</v>
      </c>
      <c r="T25">
        <f>[1]gpt4omini_single_60_2!L24</f>
        <v>-0.17929</v>
      </c>
      <c r="U25">
        <f>[2]gpt4omini_single_60_2!L24</f>
        <v>1.8089000000000001E-2</v>
      </c>
      <c r="V25">
        <f>[3]gpt4omini_single_60_2!L24</f>
        <v>-3.6577999999999999E-2</v>
      </c>
      <c r="W25">
        <f>[4]gpt4omini_single_60_2!L24</f>
        <v>-0.22858100000000001</v>
      </c>
    </row>
    <row r="26" spans="1:23" x14ac:dyDescent="0.2">
      <c r="A26">
        <v>23</v>
      </c>
      <c r="B26">
        <f>[1]gpt4omini_single_100!L25</f>
        <v>-0.16903899999999999</v>
      </c>
      <c r="C26">
        <f>[2]gpt4omini_single_100!L25</f>
        <v>0.152557</v>
      </c>
      <c r="D26">
        <f>[3]gpt4omini_single_100!L25</f>
        <v>0.27383400000000002</v>
      </c>
      <c r="E26">
        <f>[4]gpt4omini_single_100!L25</f>
        <v>-0.27352900000000002</v>
      </c>
      <c r="G26">
        <v>23</v>
      </c>
      <c r="H26">
        <f>[1]gpt4omini_single_60!L25</f>
        <v>-8.9274000000000006E-2</v>
      </c>
      <c r="I26">
        <f>[2]gpt4omini_single_60!L25</f>
        <v>0.10731400000000001</v>
      </c>
      <c r="J26">
        <f>[3]gpt4omini_single_60!L25</f>
        <v>0.48377300000000001</v>
      </c>
      <c r="K26">
        <f>[4]gpt4omini_single_60!L25</f>
        <v>-7.0846999999999993E-2</v>
      </c>
      <c r="M26">
        <v>23</v>
      </c>
      <c r="N26">
        <f>[1]gpt4omini_single_100_2!L25</f>
        <v>-0.43007699999999999</v>
      </c>
      <c r="O26">
        <f>[2]gpt4omini_single_100_2!L25</f>
        <v>-0.16045899999999999</v>
      </c>
      <c r="P26">
        <f>[3]gpt4omini_single_100_2!L25</f>
        <v>-0.20919699999999999</v>
      </c>
      <c r="Q26">
        <f>[4]gpt4omini_single_100_2!L25</f>
        <v>-0.50530699999999995</v>
      </c>
      <c r="S26">
        <v>23</v>
      </c>
      <c r="T26">
        <f>[1]gpt4omini_single_60_2!L25</f>
        <v>-0.190612</v>
      </c>
      <c r="U26">
        <f>[2]gpt4omini_single_60_2!L25</f>
        <v>1.3979999999999999E-2</v>
      </c>
      <c r="V26">
        <f>[3]gpt4omini_single_60_2!L25</f>
        <v>-3.9609999999999999E-2</v>
      </c>
      <c r="W26">
        <f>[4]gpt4omini_single_60_2!L25</f>
        <v>-0.22790299999999999</v>
      </c>
    </row>
    <row r="27" spans="1:23" x14ac:dyDescent="0.2">
      <c r="A27">
        <v>24</v>
      </c>
      <c r="B27">
        <f>[1]gpt4omini_single_100!L26</f>
        <v>-0.17469299999999999</v>
      </c>
      <c r="C27">
        <f>[2]gpt4omini_single_100!L26</f>
        <v>0.139292</v>
      </c>
      <c r="D27">
        <f>[3]gpt4omini_single_100!L26</f>
        <v>0.271702</v>
      </c>
      <c r="E27">
        <f>[4]gpt4omini_single_100!L26</f>
        <v>-0.28514600000000001</v>
      </c>
      <c r="G27">
        <v>24</v>
      </c>
      <c r="H27">
        <f>[1]gpt4omini_single_60!L26</f>
        <v>-8.5604E-2</v>
      </c>
      <c r="I27">
        <f>[2]gpt4omini_single_60!L26</f>
        <v>0.111121</v>
      </c>
      <c r="J27">
        <f>[3]gpt4omini_single_60!L26</f>
        <v>0.49097400000000002</v>
      </c>
      <c r="K27">
        <f>[4]gpt4omini_single_60!L26</f>
        <v>-6.5840999999999997E-2</v>
      </c>
      <c r="M27">
        <v>24</v>
      </c>
      <c r="N27">
        <f>[1]gpt4omini_single_100_2!L26</f>
        <v>-0.451573</v>
      </c>
      <c r="O27">
        <f>[2]gpt4omini_single_100_2!L26</f>
        <v>-0.17702200000000001</v>
      </c>
      <c r="P27">
        <f>[3]gpt4omini_single_100_2!L26</f>
        <v>-0.24826300000000001</v>
      </c>
      <c r="Q27">
        <f>[4]gpt4omini_single_100_2!L26</f>
        <v>-0.51701799999999998</v>
      </c>
      <c r="S27">
        <v>24</v>
      </c>
      <c r="T27">
        <f>[1]gpt4omini_single_60_2!L26</f>
        <v>-0.19714899999999999</v>
      </c>
      <c r="U27">
        <f>[2]gpt4omini_single_60_2!L26</f>
        <v>1.3184E-2</v>
      </c>
      <c r="V27">
        <f>[3]gpt4omini_single_60_2!L26</f>
        <v>-3.7630999999999998E-2</v>
      </c>
      <c r="W27">
        <f>[4]gpt4omini_single_60_2!L26</f>
        <v>-0.225045</v>
      </c>
    </row>
    <row r="28" spans="1:23" x14ac:dyDescent="0.2">
      <c r="A28">
        <v>25</v>
      </c>
      <c r="B28">
        <f>[1]gpt4omini_single_100!L27</f>
        <v>-0.18169199999999999</v>
      </c>
      <c r="C28">
        <f>[2]gpt4omini_single_100!L27</f>
        <v>0.14255799999999999</v>
      </c>
      <c r="D28">
        <f>[3]gpt4omini_single_100!L27</f>
        <v>0.27511600000000003</v>
      </c>
      <c r="E28">
        <f>[4]gpt4omini_single_100!L27</f>
        <v>-0.29306399999999999</v>
      </c>
      <c r="G28">
        <v>25</v>
      </c>
      <c r="H28">
        <f>[1]gpt4omini_single_60!L27</f>
        <v>-8.7654999999999997E-2</v>
      </c>
      <c r="I28">
        <f>[2]gpt4omini_single_60!L27</f>
        <v>0.117157</v>
      </c>
      <c r="J28">
        <f>[3]gpt4omini_single_60!L27</f>
        <v>0.55995600000000001</v>
      </c>
      <c r="K28">
        <f>[4]gpt4omini_single_60!L27</f>
        <v>-6.2605999999999995E-2</v>
      </c>
      <c r="M28">
        <v>25</v>
      </c>
      <c r="N28">
        <f>[1]gpt4omini_single_100_2!L27</f>
        <v>-0.470277</v>
      </c>
      <c r="O28">
        <f>[2]gpt4omini_single_100_2!L27</f>
        <v>-0.179623</v>
      </c>
      <c r="P28">
        <f>[3]gpt4omini_single_100_2!L27</f>
        <v>-0.26003799999999999</v>
      </c>
      <c r="Q28">
        <f>[4]gpt4omini_single_100_2!L27</f>
        <v>-0.52535500000000002</v>
      </c>
      <c r="S28">
        <v>25</v>
      </c>
      <c r="T28">
        <f>[1]gpt4omini_single_60_2!L27</f>
        <v>-0.20255999999999999</v>
      </c>
      <c r="U28">
        <f>[2]gpt4omini_single_60_2!L27</f>
        <v>2.8367E-2</v>
      </c>
      <c r="V28">
        <f>[3]gpt4omini_single_60_2!L27</f>
        <v>-4.6767000000000003E-2</v>
      </c>
      <c r="W28">
        <f>[4]gpt4omini_single_60_2!L27</f>
        <v>-0.22928100000000001</v>
      </c>
    </row>
    <row r="29" spans="1:23" x14ac:dyDescent="0.2">
      <c r="A29">
        <v>26</v>
      </c>
      <c r="B29">
        <f>[1]gpt4omini_single_100!L28</f>
        <v>-0.18351400000000001</v>
      </c>
      <c r="C29">
        <f>[2]gpt4omini_single_100!L28</f>
        <v>0.15001500000000001</v>
      </c>
      <c r="D29">
        <f>[3]gpt4omini_single_100!L28</f>
        <v>0.28917599999999999</v>
      </c>
      <c r="E29">
        <f>[4]gpt4omini_single_100!L28</f>
        <v>-0.29627799999999999</v>
      </c>
      <c r="G29">
        <v>26</v>
      </c>
      <c r="H29">
        <f>[1]gpt4omini_single_60!L28</f>
        <v>-9.2130000000000004E-2</v>
      </c>
      <c r="I29">
        <f>[2]gpt4omini_single_60!L28</f>
        <v>0.120244</v>
      </c>
      <c r="J29">
        <f>[3]gpt4omini_single_60!L28</f>
        <v>0.56850299999999998</v>
      </c>
      <c r="K29">
        <f>[4]gpt4omini_single_60!L28</f>
        <v>-6.5942000000000001E-2</v>
      </c>
      <c r="M29">
        <v>26</v>
      </c>
      <c r="N29">
        <f>[1]gpt4omini_single_100_2!L28</f>
        <v>-0.476053</v>
      </c>
      <c r="O29">
        <f>[2]gpt4omini_single_100_2!L28</f>
        <v>-0.18121300000000001</v>
      </c>
      <c r="P29">
        <f>[3]gpt4omini_single_100_2!L28</f>
        <v>-0.25663000000000002</v>
      </c>
      <c r="Q29">
        <f>[4]gpt4omini_single_100_2!L28</f>
        <v>-0.52932500000000005</v>
      </c>
      <c r="S29">
        <v>26</v>
      </c>
      <c r="T29">
        <f>[1]gpt4omini_single_60_2!L28</f>
        <v>-0.20824000000000001</v>
      </c>
      <c r="U29">
        <f>[2]gpt4omini_single_60_2!L28</f>
        <v>3.1583E-2</v>
      </c>
      <c r="V29">
        <f>[3]gpt4omini_single_60_2!L28</f>
        <v>-5.0659999999999997E-2</v>
      </c>
      <c r="W29">
        <f>[4]gpt4omini_single_60_2!L28</f>
        <v>-0.241448</v>
      </c>
    </row>
    <row r="30" spans="1:23" x14ac:dyDescent="0.2">
      <c r="A30">
        <v>27</v>
      </c>
      <c r="B30">
        <f>[1]gpt4omini_single_100!L29</f>
        <v>-0.18842900000000001</v>
      </c>
      <c r="C30">
        <f>[2]gpt4omini_single_100!L29</f>
        <v>0.149285</v>
      </c>
      <c r="D30">
        <f>[3]gpt4omini_single_100!L29</f>
        <v>0.29477700000000001</v>
      </c>
      <c r="E30">
        <f>[4]gpt4omini_single_100!L29</f>
        <v>-0.29918699999999998</v>
      </c>
      <c r="G30">
        <v>27</v>
      </c>
      <c r="H30">
        <f>[1]gpt4omini_single_60!L29</f>
        <v>-9.8706000000000002E-2</v>
      </c>
      <c r="I30">
        <f>[2]gpt4omini_single_60!L29</f>
        <v>0.117248</v>
      </c>
      <c r="J30">
        <f>[3]gpt4omini_single_60!L29</f>
        <v>0.56898300000000002</v>
      </c>
      <c r="K30">
        <f>[4]gpt4omini_single_60!L29</f>
        <v>-6.1490999999999997E-2</v>
      </c>
      <c r="M30">
        <v>27</v>
      </c>
      <c r="N30">
        <f>[1]gpt4omini_single_100_2!L29</f>
        <v>-0.48122599999999999</v>
      </c>
      <c r="O30">
        <f>[2]gpt4omini_single_100_2!L29</f>
        <v>-0.184753</v>
      </c>
      <c r="P30">
        <f>[3]gpt4omini_single_100_2!L29</f>
        <v>-0.25434800000000002</v>
      </c>
      <c r="Q30">
        <f>[4]gpt4omini_single_100_2!L29</f>
        <v>-0.53509099999999998</v>
      </c>
      <c r="S30">
        <v>27</v>
      </c>
      <c r="T30">
        <f>[1]gpt4omini_single_60_2!L29</f>
        <v>-0.22294700000000001</v>
      </c>
      <c r="U30">
        <f>[2]gpt4omini_single_60_2!L29</f>
        <v>1.3341E-2</v>
      </c>
      <c r="V30">
        <f>[3]gpt4omini_single_60_2!L29</f>
        <v>-7.1631E-2</v>
      </c>
      <c r="W30">
        <f>[4]gpt4omini_single_60_2!L29</f>
        <v>-0.25183100000000003</v>
      </c>
    </row>
    <row r="31" spans="1:23" x14ac:dyDescent="0.2">
      <c r="A31">
        <v>28</v>
      </c>
      <c r="B31">
        <f>[1]gpt4omini_single_100!L30</f>
        <v>-0.19315199999999999</v>
      </c>
      <c r="C31">
        <f>[2]gpt4omini_single_100!L30</f>
        <v>0.14699999999999999</v>
      </c>
      <c r="D31">
        <f>[3]gpt4omini_single_100!L30</f>
        <v>0.28842299999999998</v>
      </c>
      <c r="E31">
        <f>[4]gpt4omini_single_100!L30</f>
        <v>-0.297786</v>
      </c>
      <c r="G31">
        <v>28</v>
      </c>
      <c r="H31">
        <f>[1]gpt4omini_single_60!L30</f>
        <v>-9.8656999999999995E-2</v>
      </c>
      <c r="I31">
        <f>[2]gpt4omini_single_60!L30</f>
        <v>0.132054</v>
      </c>
      <c r="J31">
        <f>[3]gpt4omini_single_60!L30</f>
        <v>0.59738400000000003</v>
      </c>
      <c r="K31">
        <f>[4]gpt4omini_single_60!L30</f>
        <v>-6.4729999999999996E-2</v>
      </c>
      <c r="M31">
        <v>28</v>
      </c>
      <c r="N31">
        <f>[1]gpt4omini_single_100_2!L30</f>
        <v>-0.48853600000000003</v>
      </c>
      <c r="O31">
        <f>[2]gpt4omini_single_100_2!L30</f>
        <v>-0.19835800000000001</v>
      </c>
      <c r="P31">
        <f>[3]gpt4omini_single_100_2!L30</f>
        <v>-0.24912500000000001</v>
      </c>
      <c r="Q31">
        <f>[4]gpt4omini_single_100_2!L30</f>
        <v>-0.539381</v>
      </c>
      <c r="S31">
        <v>28</v>
      </c>
      <c r="T31">
        <f>[1]gpt4omini_single_60_2!L30</f>
        <v>-0.224742</v>
      </c>
      <c r="U31">
        <f>[2]gpt4omini_single_60_2!L30</f>
        <v>1.4536E-2</v>
      </c>
      <c r="V31">
        <f>[3]gpt4omini_single_60_2!L30</f>
        <v>-7.1795999999999999E-2</v>
      </c>
      <c r="W31">
        <f>[4]gpt4omini_single_60_2!L30</f>
        <v>-0.25076399999999999</v>
      </c>
    </row>
    <row r="32" spans="1:23" x14ac:dyDescent="0.2">
      <c r="A32">
        <v>29</v>
      </c>
      <c r="B32">
        <f>[1]gpt4omini_single_100!L31</f>
        <v>-0.19778399999999999</v>
      </c>
      <c r="C32">
        <f>[2]gpt4omini_single_100!L31</f>
        <v>0.14574500000000001</v>
      </c>
      <c r="D32">
        <f>[3]gpt4omini_single_100!L31</f>
        <v>0.29561100000000001</v>
      </c>
      <c r="E32">
        <f>[4]gpt4omini_single_100!L31</f>
        <v>-0.30031999999999998</v>
      </c>
      <c r="G32">
        <v>29</v>
      </c>
      <c r="H32">
        <f>[1]gpt4omini_single_60!L31</f>
        <v>-0.101143</v>
      </c>
      <c r="I32">
        <f>[2]gpt4omini_single_60!L31</f>
        <v>0.13734299999999999</v>
      </c>
      <c r="J32">
        <f>[3]gpt4omini_single_60!L31</f>
        <v>0.61079300000000003</v>
      </c>
      <c r="K32">
        <f>[4]gpt4omini_single_60!L31</f>
        <v>-6.3425999999999996E-2</v>
      </c>
      <c r="M32">
        <v>29</v>
      </c>
      <c r="N32">
        <f>[1]gpt4omini_single_100_2!L31</f>
        <v>-0.49720599999999998</v>
      </c>
      <c r="O32">
        <f>[2]gpt4omini_single_100_2!L31</f>
        <v>-0.20874599999999999</v>
      </c>
      <c r="P32">
        <f>[3]gpt4omini_single_100_2!L31</f>
        <v>-0.274644</v>
      </c>
      <c r="Q32">
        <f>[4]gpt4omini_single_100_2!L31</f>
        <v>-0.54273499999999997</v>
      </c>
      <c r="S32">
        <v>29</v>
      </c>
      <c r="T32">
        <f>[1]gpt4omini_single_60_2!L31</f>
        <v>-0.22936100000000001</v>
      </c>
      <c r="U32">
        <f>[2]gpt4omini_single_60_2!L31</f>
        <v>2.2327E-2</v>
      </c>
      <c r="V32">
        <f>[3]gpt4omini_single_60_2!L31</f>
        <v>-7.1603E-2</v>
      </c>
      <c r="W32">
        <f>[4]gpt4omini_single_60_2!L31</f>
        <v>-0.257272</v>
      </c>
    </row>
    <row r="33" spans="1:23" x14ac:dyDescent="0.2">
      <c r="A33">
        <v>30</v>
      </c>
      <c r="B33">
        <f>[1]gpt4omini_single_100!L32</f>
        <v>-0.20032</v>
      </c>
      <c r="C33">
        <f>[2]gpt4omini_single_100!L32</f>
        <v>0.14624599999999999</v>
      </c>
      <c r="D33">
        <f>[3]gpt4omini_single_100!L32</f>
        <v>0.29716700000000001</v>
      </c>
      <c r="E33">
        <f>[4]gpt4omini_single_100!L32</f>
        <v>-0.29366199999999998</v>
      </c>
      <c r="G33">
        <v>30</v>
      </c>
      <c r="H33">
        <f>[1]gpt4omini_single_60!L32</f>
        <v>-9.6068000000000001E-2</v>
      </c>
      <c r="I33">
        <f>[2]gpt4omini_single_60!L32</f>
        <v>0.141962</v>
      </c>
      <c r="J33">
        <f>[3]gpt4omini_single_60!L32</f>
        <v>0.58869700000000003</v>
      </c>
      <c r="K33">
        <f>[4]gpt4omini_single_60!L32</f>
        <v>-6.2472E-2</v>
      </c>
      <c r="M33">
        <v>30</v>
      </c>
      <c r="N33">
        <f>[1]gpt4omini_single_100_2!L32</f>
        <v>-0.49299599999999999</v>
      </c>
      <c r="O33">
        <f>[2]gpt4omini_single_100_2!L32</f>
        <v>-0.214781</v>
      </c>
      <c r="P33">
        <f>[3]gpt4omini_single_100_2!L32</f>
        <v>-0.27569500000000002</v>
      </c>
      <c r="Q33">
        <f>[4]gpt4omini_single_100_2!L32</f>
        <v>-0.541995</v>
      </c>
      <c r="S33">
        <v>30</v>
      </c>
      <c r="T33">
        <f>[1]gpt4omini_single_60_2!L32</f>
        <v>-0.22261900000000001</v>
      </c>
      <c r="U33">
        <f>[2]gpt4omini_single_60_2!L32</f>
        <v>2.1309999999999999E-2</v>
      </c>
      <c r="V33">
        <f>[3]gpt4omini_single_60_2!L32</f>
        <v>-6.7429000000000003E-2</v>
      </c>
      <c r="W33">
        <f>[4]gpt4omini_single_60_2!L32</f>
        <v>-0.26214799999999999</v>
      </c>
    </row>
    <row r="34" spans="1:23" x14ac:dyDescent="0.2">
      <c r="A34">
        <v>31</v>
      </c>
      <c r="B34">
        <f>[1]gpt4omini_single_100!L33</f>
        <v>-0.207589</v>
      </c>
      <c r="C34">
        <f>[2]gpt4omini_single_100!L33</f>
        <v>0.123025</v>
      </c>
      <c r="D34">
        <f>[3]gpt4omini_single_100!L33</f>
        <v>0.28876000000000002</v>
      </c>
      <c r="E34">
        <f>[4]gpt4omini_single_100!L33</f>
        <v>-0.30532700000000002</v>
      </c>
      <c r="G34">
        <v>31</v>
      </c>
      <c r="H34">
        <f>[1]gpt4omini_single_60!L33</f>
        <v>-9.4061000000000006E-2</v>
      </c>
      <c r="I34">
        <f>[2]gpt4omini_single_60!L33</f>
        <v>0.14463100000000001</v>
      </c>
      <c r="J34">
        <f>[3]gpt4omini_single_60!L33</f>
        <v>0.64945299999999995</v>
      </c>
      <c r="K34">
        <f>[4]gpt4omini_single_60!L33</f>
        <v>-6.3480999999999996E-2</v>
      </c>
      <c r="M34">
        <v>31</v>
      </c>
      <c r="N34">
        <f>[1]gpt4omini_single_100_2!L33</f>
        <v>-0.48910500000000001</v>
      </c>
      <c r="O34">
        <f>[2]gpt4omini_single_100_2!L33</f>
        <v>-0.21782599999999999</v>
      </c>
      <c r="P34">
        <f>[3]gpt4omini_single_100_2!L33</f>
        <v>-0.26244800000000001</v>
      </c>
      <c r="Q34">
        <f>[4]gpt4omini_single_100_2!L33</f>
        <v>-0.55154199999999998</v>
      </c>
      <c r="S34">
        <v>31</v>
      </c>
      <c r="T34">
        <f>[1]gpt4omini_single_60_2!L33</f>
        <v>-0.228579</v>
      </c>
      <c r="U34">
        <f>[2]gpt4omini_single_60_2!L33</f>
        <v>2.4292000000000001E-2</v>
      </c>
      <c r="V34">
        <f>[3]gpt4omini_single_60_2!L33</f>
        <v>-8.5620000000000002E-3</v>
      </c>
      <c r="W34">
        <f>[4]gpt4omini_single_60_2!L33</f>
        <v>-0.26458300000000001</v>
      </c>
    </row>
    <row r="35" spans="1:23" x14ac:dyDescent="0.2">
      <c r="A35">
        <v>32</v>
      </c>
      <c r="B35">
        <f>[1]gpt4omini_single_100!L34</f>
        <v>-0.22323799999999999</v>
      </c>
      <c r="C35">
        <f>[2]gpt4omini_single_100!L34</f>
        <v>0.12990399999999999</v>
      </c>
      <c r="D35">
        <f>[3]gpt4omini_single_100!L34</f>
        <v>0.30979000000000001</v>
      </c>
      <c r="E35">
        <f>[4]gpt4omini_single_100!L34</f>
        <v>-0.32261699999999999</v>
      </c>
      <c r="G35">
        <v>32</v>
      </c>
      <c r="H35">
        <f>[1]gpt4omini_single_60!L34</f>
        <v>-9.6291000000000002E-2</v>
      </c>
      <c r="I35">
        <f>[2]gpt4omini_single_60!L34</f>
        <v>0.153751</v>
      </c>
      <c r="J35">
        <f>[3]gpt4omini_single_60!L34</f>
        <v>0.73642700000000005</v>
      </c>
      <c r="K35">
        <f>[4]gpt4omini_single_60!L34</f>
        <v>-5.6543999999999997E-2</v>
      </c>
      <c r="M35">
        <v>32</v>
      </c>
      <c r="N35">
        <f>[1]gpt4omini_single_100_2!L34</f>
        <v>-0.52663000000000004</v>
      </c>
      <c r="O35">
        <f>[2]gpt4omini_single_100_2!L34</f>
        <v>-0.25586500000000001</v>
      </c>
      <c r="P35">
        <f>[3]gpt4omini_single_100_2!L34</f>
        <v>-0.29939500000000002</v>
      </c>
      <c r="Q35">
        <f>[4]gpt4omini_single_100_2!L34</f>
        <v>-0.587418</v>
      </c>
      <c r="S35">
        <v>32</v>
      </c>
      <c r="T35">
        <f>[1]gpt4omini_single_60_2!L34</f>
        <v>-0.23565</v>
      </c>
      <c r="U35">
        <f>[2]gpt4omini_single_60_2!L34</f>
        <v>2.0836E-2</v>
      </c>
      <c r="V35">
        <f>[3]gpt4omini_single_60_2!L34</f>
        <v>-9.3123999999999998E-2</v>
      </c>
      <c r="W35">
        <f>[4]gpt4omini_single_60_2!L34</f>
        <v>-0.26440000000000002</v>
      </c>
    </row>
    <row r="36" spans="1:23" x14ac:dyDescent="0.2">
      <c r="A36">
        <v>33</v>
      </c>
      <c r="B36">
        <f>[1]gpt4omini_single_100!L35</f>
        <v>-0.23053799999999999</v>
      </c>
      <c r="C36">
        <f>[2]gpt4omini_single_100!L35</f>
        <v>0.100248</v>
      </c>
      <c r="D36">
        <f>[3]gpt4omini_single_100!L35</f>
        <v>0.27041799999999999</v>
      </c>
      <c r="E36">
        <f>[4]gpt4omini_single_100!L35</f>
        <v>-0.32867499999999999</v>
      </c>
      <c r="G36">
        <v>33</v>
      </c>
      <c r="H36">
        <f>[1]gpt4omini_single_60!L35</f>
        <v>-9.5322000000000004E-2</v>
      </c>
      <c r="I36">
        <f>[2]gpt4omini_single_60!L35</f>
        <v>0.15922700000000001</v>
      </c>
      <c r="J36">
        <f>[3]gpt4omini_single_60!L35</f>
        <v>0.69416699999999998</v>
      </c>
      <c r="K36">
        <f>[4]gpt4omini_single_60!L35</f>
        <v>-5.7269E-2</v>
      </c>
      <c r="M36">
        <v>33</v>
      </c>
      <c r="N36">
        <f>[1]gpt4omini_single_100_2!L35</f>
        <v>-0.54388999999999998</v>
      </c>
      <c r="O36">
        <f>[2]gpt4omini_single_100_2!L35</f>
        <v>-0.25675799999999999</v>
      </c>
      <c r="P36">
        <f>[3]gpt4omini_single_100_2!L35</f>
        <v>-0.30960700000000002</v>
      </c>
      <c r="Q36">
        <f>[4]gpt4omini_single_100_2!L35</f>
        <v>-0.60026400000000002</v>
      </c>
      <c r="S36">
        <v>33</v>
      </c>
      <c r="T36">
        <f>[1]gpt4omini_single_60_2!L35</f>
        <v>-0.24266299999999999</v>
      </c>
      <c r="U36">
        <f>[2]gpt4omini_single_60_2!L35</f>
        <v>2.2245999999999998E-2</v>
      </c>
      <c r="V36">
        <f>[3]gpt4omini_single_60_2!L35</f>
        <v>-5.8997000000000001E-2</v>
      </c>
      <c r="W36">
        <f>[4]gpt4omini_single_60_2!L35</f>
        <v>-0.27696900000000002</v>
      </c>
    </row>
    <row r="37" spans="1:23" x14ac:dyDescent="0.2">
      <c r="A37">
        <v>34</v>
      </c>
      <c r="B37">
        <f>[1]gpt4omini_single_100!L36</f>
        <v>-0.23095399999999999</v>
      </c>
      <c r="C37">
        <f>[2]gpt4omini_single_100!L36</f>
        <v>0.10652399999999999</v>
      </c>
      <c r="D37">
        <f>[3]gpt4omini_single_100!L36</f>
        <v>0.28459499999999999</v>
      </c>
      <c r="E37">
        <f>[4]gpt4omini_single_100!L36</f>
        <v>-0.330899</v>
      </c>
      <c r="G37">
        <v>34</v>
      </c>
      <c r="H37">
        <f>[1]gpt4omini_single_60!L36</f>
        <v>-0.10377699999999999</v>
      </c>
      <c r="I37">
        <f>[2]gpt4omini_single_60!L36</f>
        <v>0.16797899999999999</v>
      </c>
      <c r="J37">
        <f>[3]gpt4omini_single_60!L36</f>
        <v>0.80125000000000002</v>
      </c>
      <c r="K37">
        <f>[4]gpt4omini_single_60!L36</f>
        <v>-6.3601000000000005E-2</v>
      </c>
      <c r="M37">
        <v>34</v>
      </c>
      <c r="N37">
        <f>[1]gpt4omini_single_100_2!L36</f>
        <v>-0.56830199999999997</v>
      </c>
      <c r="O37">
        <f>[2]gpt4omini_single_100_2!L36</f>
        <v>-0.269123</v>
      </c>
      <c r="P37">
        <f>[3]gpt4omini_single_100_2!L36</f>
        <v>-0.34096199999999999</v>
      </c>
      <c r="Q37">
        <f>[4]gpt4omini_single_100_2!L36</f>
        <v>-0.623116</v>
      </c>
      <c r="S37">
        <v>34</v>
      </c>
      <c r="T37">
        <f>[1]gpt4omini_single_60_2!L36</f>
        <v>-0.24660299999999999</v>
      </c>
      <c r="U37">
        <f>[2]gpt4omini_single_60_2!L36</f>
        <v>2.4988E-2</v>
      </c>
      <c r="V37">
        <f>[3]gpt4omini_single_60_2!L36</f>
        <v>-7.0163000000000003E-2</v>
      </c>
      <c r="W37">
        <f>[4]gpt4omini_single_60_2!L36</f>
        <v>-0.287657</v>
      </c>
    </row>
    <row r="38" spans="1:23" x14ac:dyDescent="0.2">
      <c r="A38">
        <v>35</v>
      </c>
      <c r="B38">
        <f>[1]gpt4omini_single_100!L37</f>
        <v>-0.23224400000000001</v>
      </c>
      <c r="C38">
        <f>[2]gpt4omini_single_100!L37</f>
        <v>9.4353999999999993E-2</v>
      </c>
      <c r="D38">
        <f>[3]gpt4omini_single_100!L37</f>
        <v>0.27108700000000002</v>
      </c>
      <c r="E38">
        <f>[4]gpt4omini_single_100!L37</f>
        <v>-0.33457700000000001</v>
      </c>
      <c r="G38">
        <v>35</v>
      </c>
      <c r="H38">
        <f>[1]gpt4omini_single_60!L37</f>
        <v>-0.114983</v>
      </c>
      <c r="I38">
        <f>[2]gpt4omini_single_60!L37</f>
        <v>0.140405</v>
      </c>
      <c r="J38">
        <f>[3]gpt4omini_single_60!L37</f>
        <v>0.83111500000000005</v>
      </c>
      <c r="K38">
        <f>[4]gpt4omini_single_60!L37</f>
        <v>-6.3668000000000002E-2</v>
      </c>
      <c r="M38">
        <v>35</v>
      </c>
      <c r="N38">
        <f>[1]gpt4omini_single_100_2!L37</f>
        <v>-0.577735</v>
      </c>
      <c r="O38">
        <f>[2]gpt4omini_single_100_2!L37</f>
        <v>-0.288574</v>
      </c>
      <c r="P38">
        <f>[3]gpt4omini_single_100_2!L37</f>
        <v>-0.36950300000000003</v>
      </c>
      <c r="Q38">
        <f>[4]gpt4omini_single_100_2!L37</f>
        <v>-0.63135399999999997</v>
      </c>
      <c r="S38">
        <v>35</v>
      </c>
      <c r="T38">
        <f>[1]gpt4omini_single_60_2!L37</f>
        <v>-0.26374500000000001</v>
      </c>
      <c r="U38">
        <f>[2]gpt4omini_single_60_2!L37</f>
        <v>-9.6539999999999994E-3</v>
      </c>
      <c r="V38">
        <f>[3]gpt4omini_single_60_2!L37</f>
        <v>-7.0152999999999993E-2</v>
      </c>
      <c r="W38">
        <f>[4]gpt4omini_single_60_2!L37</f>
        <v>-0.29048600000000002</v>
      </c>
    </row>
    <row r="39" spans="1:23" x14ac:dyDescent="0.2">
      <c r="A39">
        <v>36</v>
      </c>
      <c r="B39">
        <f>[1]gpt4omini_single_100!L38</f>
        <v>-0.23829</v>
      </c>
      <c r="C39">
        <f>[2]gpt4omini_single_100!L38</f>
        <v>0.102483</v>
      </c>
      <c r="D39">
        <f>[3]gpt4omini_single_100!L38</f>
        <v>0.28348499999999999</v>
      </c>
      <c r="E39">
        <f>[4]gpt4omini_single_100!L38</f>
        <v>-0.34696199999999999</v>
      </c>
      <c r="G39">
        <v>36</v>
      </c>
      <c r="H39">
        <f>[1]gpt4omini_single_60!L38</f>
        <v>-0.11661000000000001</v>
      </c>
      <c r="I39">
        <f>[2]gpt4omini_single_60!L38</f>
        <v>0.15104799999999999</v>
      </c>
      <c r="J39">
        <f>[3]gpt4omini_single_60!L38</f>
        <v>0.84796499999999997</v>
      </c>
      <c r="K39">
        <f>[4]gpt4omini_single_60!L38</f>
        <v>-6.3811999999999994E-2</v>
      </c>
      <c r="M39">
        <v>36</v>
      </c>
      <c r="N39">
        <f>[1]gpt4omini_single_100_2!L38</f>
        <v>-0.59776399999999996</v>
      </c>
      <c r="O39">
        <f>[2]gpt4omini_single_100_2!L38</f>
        <v>-0.29046499999999997</v>
      </c>
      <c r="P39">
        <f>[3]gpt4omini_single_100_2!L38</f>
        <v>-0.36530600000000002</v>
      </c>
      <c r="Q39">
        <f>[4]gpt4omini_single_100_2!L38</f>
        <v>-0.65187300000000004</v>
      </c>
      <c r="S39">
        <v>36</v>
      </c>
      <c r="T39">
        <f>[1]gpt4omini_single_60_2!L38</f>
        <v>-0.27997499999999997</v>
      </c>
      <c r="U39">
        <f>[2]gpt4omini_single_60_2!L38</f>
        <v>-2.9588E-2</v>
      </c>
      <c r="V39">
        <f>[3]gpt4omini_single_60_2!L38</f>
        <v>-8.5875999999999994E-2</v>
      </c>
      <c r="W39">
        <f>[4]gpt4omini_single_60_2!L38</f>
        <v>-0.29942999999999997</v>
      </c>
    </row>
    <row r="40" spans="1:23" x14ac:dyDescent="0.2">
      <c r="A40">
        <v>37</v>
      </c>
      <c r="B40">
        <f>[1]gpt4omini_single_100!L39</f>
        <v>-0.24157899999999999</v>
      </c>
      <c r="C40">
        <f>[2]gpt4omini_single_100!L39</f>
        <v>9.4463000000000005E-2</v>
      </c>
      <c r="D40">
        <f>[3]gpt4omini_single_100!L39</f>
        <v>0.27454499999999998</v>
      </c>
      <c r="E40">
        <f>[4]gpt4omini_single_100!L39</f>
        <v>-0.355211</v>
      </c>
      <c r="G40">
        <v>37</v>
      </c>
      <c r="H40">
        <f>[1]gpt4omini_single_60!L39</f>
        <v>-0.117271</v>
      </c>
      <c r="I40">
        <f>[2]gpt4omini_single_60!L39</f>
        <v>0.149973</v>
      </c>
      <c r="J40">
        <f>[3]gpt4omini_single_60!L39</f>
        <v>0.80762199999999995</v>
      </c>
      <c r="K40">
        <f>[4]gpt4omini_single_60!L39</f>
        <v>-6.5922999999999995E-2</v>
      </c>
      <c r="M40">
        <v>37</v>
      </c>
      <c r="N40">
        <f>[1]gpt4omini_single_100_2!L39</f>
        <v>-0.60774499999999998</v>
      </c>
      <c r="O40">
        <f>[2]gpt4omini_single_100_2!L39</f>
        <v>-0.31615500000000002</v>
      </c>
      <c r="P40">
        <f>[3]gpt4omini_single_100_2!L39</f>
        <v>-0.38255899999999998</v>
      </c>
      <c r="Q40">
        <f>[4]gpt4omini_single_100_2!L39</f>
        <v>-0.65666500000000005</v>
      </c>
      <c r="S40">
        <v>37</v>
      </c>
      <c r="T40">
        <f>[1]gpt4omini_single_60_2!L39</f>
        <v>-0.29628300000000002</v>
      </c>
      <c r="U40">
        <f>[2]gpt4omini_single_60_2!L39</f>
        <v>-2.5978000000000001E-2</v>
      </c>
      <c r="V40">
        <f>[3]gpt4omini_single_60_2!L39</f>
        <v>7.3125999999999997E-2</v>
      </c>
      <c r="W40">
        <f>[4]gpt4omini_single_60_2!L39</f>
        <v>-0.30650100000000002</v>
      </c>
    </row>
    <row r="41" spans="1:23" x14ac:dyDescent="0.2">
      <c r="A41">
        <v>38</v>
      </c>
      <c r="B41">
        <f>[1]gpt4omini_single_100!L40</f>
        <v>-0.244339</v>
      </c>
      <c r="C41">
        <f>[2]gpt4omini_single_100!L40</f>
        <v>9.4092999999999996E-2</v>
      </c>
      <c r="D41">
        <f>[3]gpt4omini_single_100!L40</f>
        <v>0.28199000000000002</v>
      </c>
      <c r="E41">
        <f>[4]gpt4omini_single_100!L40</f>
        <v>-0.36504399999999998</v>
      </c>
      <c r="G41">
        <v>38</v>
      </c>
      <c r="H41">
        <f>[1]gpt4omini_single_60!L40</f>
        <v>-0.12606999999999999</v>
      </c>
      <c r="I41">
        <f>[2]gpt4omini_single_60!L40</f>
        <v>0.15424199999999999</v>
      </c>
      <c r="J41">
        <f>[3]gpt4omini_single_60!L40</f>
        <v>0.86389099999999996</v>
      </c>
      <c r="K41">
        <f>[4]gpt4omini_single_60!L40</f>
        <v>-6.0766000000000001E-2</v>
      </c>
      <c r="M41">
        <v>38</v>
      </c>
      <c r="N41">
        <f>[1]gpt4omini_single_100_2!L40</f>
        <v>-0.63007400000000002</v>
      </c>
      <c r="O41">
        <f>[2]gpt4omini_single_100_2!L40</f>
        <v>-0.33022800000000002</v>
      </c>
      <c r="P41">
        <f>[3]gpt4omini_single_100_2!L40</f>
        <v>-0.40549800000000003</v>
      </c>
      <c r="Q41">
        <f>[4]gpt4omini_single_100_2!L40</f>
        <v>-0.67499200000000004</v>
      </c>
      <c r="S41">
        <v>38</v>
      </c>
      <c r="T41">
        <f>[1]gpt4omini_single_60_2!L40</f>
        <v>-0.31431799999999999</v>
      </c>
      <c r="U41">
        <f>[2]gpt4omini_single_60_2!L40</f>
        <v>-2.5464000000000001E-2</v>
      </c>
      <c r="V41">
        <f>[3]gpt4omini_single_60_2!L40</f>
        <v>9.3718999999999997E-2</v>
      </c>
      <c r="W41">
        <f>[4]gpt4omini_single_60_2!L40</f>
        <v>-0.30590499999999998</v>
      </c>
    </row>
    <row r="42" spans="1:23" x14ac:dyDescent="0.2">
      <c r="A42">
        <v>39</v>
      </c>
      <c r="B42">
        <f>[1]gpt4omini_single_100!L41</f>
        <v>-0.25019599999999997</v>
      </c>
      <c r="C42">
        <f>[2]gpt4omini_single_100!L41</f>
        <v>9.6724000000000004E-2</v>
      </c>
      <c r="D42">
        <f>[3]gpt4omini_single_100!L41</f>
        <v>0.291408</v>
      </c>
      <c r="E42">
        <f>[4]gpt4omini_single_100!L41</f>
        <v>-0.36529600000000001</v>
      </c>
      <c r="G42">
        <v>39</v>
      </c>
      <c r="H42">
        <f>[1]gpt4omini_single_60!L41</f>
        <v>-0.12995899999999999</v>
      </c>
      <c r="I42">
        <f>[2]gpt4omini_single_60!L41</f>
        <v>0.16308</v>
      </c>
      <c r="J42">
        <f>[3]gpt4omini_single_60!L41</f>
        <v>0.76712199999999997</v>
      </c>
      <c r="K42">
        <f>[4]gpt4omini_single_60!L41</f>
        <v>-5.9910999999999999E-2</v>
      </c>
      <c r="M42">
        <v>39</v>
      </c>
      <c r="N42">
        <f>[1]gpt4omini_single_100_2!L41</f>
        <v>-0.64067499999999999</v>
      </c>
      <c r="O42">
        <f>[2]gpt4omini_single_100_2!L41</f>
        <v>-0.33308700000000002</v>
      </c>
      <c r="P42">
        <f>[3]gpt4omini_single_100_2!L41</f>
        <v>-0.4118</v>
      </c>
      <c r="Q42">
        <f>[4]gpt4omini_single_100_2!L41</f>
        <v>-0.67146899999999998</v>
      </c>
      <c r="S42">
        <v>39</v>
      </c>
      <c r="T42">
        <f>[1]gpt4omini_single_60_2!L41</f>
        <v>-0.32800000000000001</v>
      </c>
      <c r="U42">
        <f>[2]gpt4omini_single_60_2!L41</f>
        <v>-2.5059000000000001E-2</v>
      </c>
      <c r="V42">
        <f>[3]gpt4omini_single_60_2!L41</f>
        <v>8.4361000000000005E-2</v>
      </c>
      <c r="W42">
        <f>[4]gpt4omini_single_60_2!L41</f>
        <v>-0.301927</v>
      </c>
    </row>
    <row r="43" spans="1:23" x14ac:dyDescent="0.2">
      <c r="A43">
        <v>40</v>
      </c>
      <c r="B43">
        <f>[1]gpt4omini_single_100!L42</f>
        <v>-0.26334200000000002</v>
      </c>
      <c r="C43">
        <f>[2]gpt4omini_single_100!L42</f>
        <v>0.106617</v>
      </c>
      <c r="D43">
        <f>[3]gpt4omini_single_100!L42</f>
        <v>0.31329600000000002</v>
      </c>
      <c r="E43">
        <f>[4]gpt4omini_single_100!L42</f>
        <v>-0.37657600000000002</v>
      </c>
      <c r="G43">
        <v>40</v>
      </c>
      <c r="H43">
        <f>[1]gpt4omini_single_60!L42</f>
        <v>-0.13350600000000001</v>
      </c>
      <c r="I43">
        <f>[2]gpt4omini_single_60!L42</f>
        <v>0.16564100000000001</v>
      </c>
      <c r="J43">
        <f>[3]gpt4omini_single_60!L42</f>
        <v>0.77402000000000004</v>
      </c>
      <c r="K43">
        <f>[4]gpt4omini_single_60!L42</f>
        <v>-5.9163E-2</v>
      </c>
      <c r="M43">
        <v>40</v>
      </c>
      <c r="N43">
        <f>[1]gpt4omini_single_100_2!L42</f>
        <v>-0.65656199999999998</v>
      </c>
      <c r="O43">
        <f>[2]gpt4omini_single_100_2!L42</f>
        <v>-0.345914</v>
      </c>
      <c r="P43">
        <f>[3]gpt4omini_single_100_2!L42</f>
        <v>-0.41584300000000002</v>
      </c>
      <c r="Q43">
        <f>[4]gpt4omini_single_100_2!L42</f>
        <v>-0.68995200000000001</v>
      </c>
      <c r="S43">
        <v>40</v>
      </c>
      <c r="T43">
        <f>[1]gpt4omini_single_60_2!L42</f>
        <v>-0.33194299999999999</v>
      </c>
      <c r="U43">
        <f>[2]gpt4omini_single_60_2!L42</f>
        <v>-2.1568E-2</v>
      </c>
      <c r="V43">
        <f>[3]gpt4omini_single_60_2!L42</f>
        <v>6.2491999999999999E-2</v>
      </c>
      <c r="W43">
        <f>[4]gpt4omini_single_60_2!L42</f>
        <v>-0.30595299999999997</v>
      </c>
    </row>
    <row r="44" spans="1:23" x14ac:dyDescent="0.2">
      <c r="A44">
        <v>41</v>
      </c>
      <c r="B44">
        <f>[1]gpt4omini_single_100!L43</f>
        <v>-0.273283</v>
      </c>
      <c r="C44">
        <f>[2]gpt4omini_single_100!L43</f>
        <v>0.103898</v>
      </c>
      <c r="D44">
        <f>[3]gpt4omini_single_100!L43</f>
        <v>0.31417200000000001</v>
      </c>
      <c r="E44">
        <f>[4]gpt4omini_single_100!L43</f>
        <v>-0.38673000000000002</v>
      </c>
      <c r="G44">
        <v>41</v>
      </c>
      <c r="H44">
        <f>[1]gpt4omini_single_60!L43</f>
        <v>-0.13678999999999999</v>
      </c>
      <c r="I44">
        <f>[2]gpt4omini_single_60!L43</f>
        <v>0.14338200000000001</v>
      </c>
      <c r="J44">
        <f>[3]gpt4omini_single_60!L43</f>
        <v>0.63699700000000004</v>
      </c>
      <c r="K44">
        <f>[4]gpt4omini_single_60!L43</f>
        <v>-8.6000999999999994E-2</v>
      </c>
      <c r="M44">
        <v>41</v>
      </c>
      <c r="N44">
        <f>[1]gpt4omini_single_100_2!L43</f>
        <v>-0.664524</v>
      </c>
      <c r="O44">
        <f>[2]gpt4omini_single_100_2!L43</f>
        <v>-0.36096600000000001</v>
      </c>
      <c r="P44">
        <f>[3]gpt4omini_single_100_2!L43</f>
        <v>-0.41927500000000001</v>
      </c>
      <c r="Q44">
        <f>[4]gpt4omini_single_100_2!L43</f>
        <v>-0.69785799999999998</v>
      </c>
      <c r="S44">
        <v>41</v>
      </c>
      <c r="T44">
        <f>[1]gpt4omini_single_60_2!L43</f>
        <v>-0.336399</v>
      </c>
      <c r="U44">
        <f>[2]gpt4omini_single_60_2!L43</f>
        <v>-0.11808399999999999</v>
      </c>
      <c r="V44">
        <f>[3]gpt4omini_single_60_2!L43</f>
        <v>-0.12823799999999999</v>
      </c>
      <c r="W44">
        <f>[4]gpt4omini_single_60_2!L43</f>
        <v>-0.32240600000000003</v>
      </c>
    </row>
    <row r="45" spans="1:23" x14ac:dyDescent="0.2">
      <c r="A45">
        <v>42</v>
      </c>
      <c r="B45">
        <f>[1]gpt4omini_single_100!L44</f>
        <v>-0.27764899999999998</v>
      </c>
      <c r="C45">
        <f>[2]gpt4omini_single_100!L44</f>
        <v>0.109226</v>
      </c>
      <c r="D45">
        <f>[3]gpt4omini_single_100!L44</f>
        <v>0.30976500000000001</v>
      </c>
      <c r="E45">
        <f>[4]gpt4omini_single_100!L44</f>
        <v>-0.37787100000000001</v>
      </c>
      <c r="G45">
        <v>42</v>
      </c>
      <c r="H45">
        <f>[1]gpt4omini_single_60!L44</f>
        <v>-0.13580700000000001</v>
      </c>
      <c r="I45">
        <f>[2]gpt4omini_single_60!L44</f>
        <v>0.14765200000000001</v>
      </c>
      <c r="J45">
        <f>[3]gpt4omini_single_60!L44</f>
        <v>0.72388799999999998</v>
      </c>
      <c r="K45">
        <f>[4]gpt4omini_single_60!L44</f>
        <v>-8.2150000000000001E-2</v>
      </c>
      <c r="M45">
        <v>42</v>
      </c>
      <c r="N45">
        <f>[1]gpt4omini_single_100_2!L44</f>
        <v>-0.67139800000000005</v>
      </c>
      <c r="O45">
        <f>[2]gpt4omini_single_100_2!L44</f>
        <v>-0.36851200000000001</v>
      </c>
      <c r="P45">
        <f>[3]gpt4omini_single_100_2!L44</f>
        <v>-0.440971</v>
      </c>
      <c r="Q45">
        <f>[4]gpt4omini_single_100_2!L44</f>
        <v>-0.70249499999999998</v>
      </c>
      <c r="S45">
        <v>42</v>
      </c>
      <c r="T45">
        <f>[1]gpt4omini_single_60_2!L44</f>
        <v>-0.33431499999999997</v>
      </c>
      <c r="U45">
        <f>[2]gpt4omini_single_60_2!L44</f>
        <v>-0.126639</v>
      </c>
      <c r="V45">
        <f>[3]gpt4omini_single_60_2!L44</f>
        <v>-0.14086399999999999</v>
      </c>
      <c r="W45">
        <f>[4]gpt4omini_single_60_2!L44</f>
        <v>-0.31444299999999997</v>
      </c>
    </row>
    <row r="46" spans="1:23" x14ac:dyDescent="0.2">
      <c r="A46">
        <v>43</v>
      </c>
      <c r="B46">
        <f>[1]gpt4omini_single_100!L45</f>
        <v>-0.28048200000000001</v>
      </c>
      <c r="C46">
        <f>[2]gpt4omini_single_100!L45</f>
        <v>0.127611</v>
      </c>
      <c r="D46">
        <f>[3]gpt4omini_single_100!L45</f>
        <v>0.30383300000000002</v>
      </c>
      <c r="E46">
        <f>[4]gpt4omini_single_100!L45</f>
        <v>-0.38108999999999998</v>
      </c>
      <c r="G46">
        <v>43</v>
      </c>
      <c r="H46">
        <f>[1]gpt4omini_single_60!L45</f>
        <v>-0.136124</v>
      </c>
      <c r="I46">
        <f>[2]gpt4omini_single_60!L45</f>
        <v>0.14868999999999999</v>
      </c>
      <c r="J46">
        <f>[3]gpt4omini_single_60!L45</f>
        <v>0.76518299999999995</v>
      </c>
      <c r="K46">
        <f>[4]gpt4omini_single_60!L45</f>
        <v>-8.5716000000000001E-2</v>
      </c>
      <c r="M46">
        <v>43</v>
      </c>
      <c r="N46">
        <f>[1]gpt4omini_single_100_2!L45</f>
        <v>-0.677091</v>
      </c>
      <c r="O46">
        <f>[2]gpt4omini_single_100_2!L45</f>
        <v>-0.36489199999999999</v>
      </c>
      <c r="P46">
        <f>[3]gpt4omini_single_100_2!L45</f>
        <v>-0.44249899999999998</v>
      </c>
      <c r="Q46">
        <f>[4]gpt4omini_single_100_2!L45</f>
        <v>-0.65621600000000002</v>
      </c>
      <c r="S46">
        <v>43</v>
      </c>
      <c r="T46">
        <f>[1]gpt4omini_single_60_2!L45</f>
        <v>-0.34103699999999998</v>
      </c>
      <c r="U46">
        <f>[2]gpt4omini_single_60_2!L45</f>
        <v>-0.122863</v>
      </c>
      <c r="V46">
        <f>[3]gpt4omini_single_60_2!L45</f>
        <v>-0.15296699999999999</v>
      </c>
      <c r="W46">
        <f>[4]gpt4omini_single_60_2!L45</f>
        <v>-0.32419700000000001</v>
      </c>
    </row>
    <row r="47" spans="1:23" x14ac:dyDescent="0.2">
      <c r="A47">
        <v>44</v>
      </c>
      <c r="B47">
        <f>[1]gpt4omini_single_100!L46</f>
        <v>-0.28049299999999999</v>
      </c>
      <c r="C47">
        <f>[2]gpt4omini_single_100!L46</f>
        <v>0.12969900000000001</v>
      </c>
      <c r="D47">
        <f>[3]gpt4omini_single_100!L46</f>
        <v>0.33019399999999999</v>
      </c>
      <c r="E47">
        <f>[4]gpt4omini_single_100!L46</f>
        <v>-0.38736399999999999</v>
      </c>
      <c r="G47">
        <v>44</v>
      </c>
      <c r="H47">
        <f>[1]gpt4omini_single_60!L46</f>
        <v>-0.14480499999999999</v>
      </c>
      <c r="I47">
        <f>[2]gpt4omini_single_60!L46</f>
        <v>0.15587799999999999</v>
      </c>
      <c r="J47">
        <f>[3]gpt4omini_single_60!L46</f>
        <v>0.820052</v>
      </c>
      <c r="K47">
        <f>[4]gpt4omini_single_60!L46</f>
        <v>-7.5378000000000001E-2</v>
      </c>
      <c r="M47">
        <v>44</v>
      </c>
      <c r="N47">
        <f>[1]gpt4omini_single_100_2!L46</f>
        <v>-0.67796199999999995</v>
      </c>
      <c r="O47">
        <f>[2]gpt4omini_single_100_2!L46</f>
        <v>-0.372722</v>
      </c>
      <c r="P47">
        <f>[3]gpt4omini_single_100_2!L46</f>
        <v>-0.462783</v>
      </c>
      <c r="Q47">
        <f>[4]gpt4omini_single_100_2!L46</f>
        <v>-0.67939300000000002</v>
      </c>
      <c r="S47">
        <v>44</v>
      </c>
      <c r="T47">
        <f>[1]gpt4omini_single_60_2!L46</f>
        <v>-0.35408200000000001</v>
      </c>
      <c r="U47">
        <f>[2]gpt4omini_single_60_2!L46</f>
        <v>-0.127775</v>
      </c>
      <c r="V47">
        <f>[3]gpt4omini_single_60_2!L46</f>
        <v>-0.149508</v>
      </c>
      <c r="W47">
        <f>[4]gpt4omini_single_60_2!L46</f>
        <v>-0.32497199999999998</v>
      </c>
    </row>
    <row r="48" spans="1:23" x14ac:dyDescent="0.2">
      <c r="A48">
        <v>45</v>
      </c>
      <c r="B48">
        <f>[1]gpt4omini_single_100!L47</f>
        <v>-0.28450300000000001</v>
      </c>
      <c r="C48">
        <f>[2]gpt4omini_single_100!L47</f>
        <v>0.12731100000000001</v>
      </c>
      <c r="D48">
        <f>[3]gpt4omini_single_100!L47</f>
        <v>0.33906700000000001</v>
      </c>
      <c r="E48">
        <f>[4]gpt4omini_single_100!L47</f>
        <v>-0.39197900000000002</v>
      </c>
      <c r="G48">
        <v>45</v>
      </c>
      <c r="H48">
        <f>[1]gpt4omini_single_60!L47</f>
        <v>-0.15060499999999999</v>
      </c>
      <c r="I48">
        <f>[2]gpt4omini_single_60!L47</f>
        <v>0.16029399999999999</v>
      </c>
      <c r="J48">
        <f>[3]gpt4omini_single_60!L47</f>
        <v>0.80838600000000005</v>
      </c>
      <c r="K48">
        <f>[4]gpt4omini_single_60!L47</f>
        <v>-7.4090000000000003E-2</v>
      </c>
      <c r="M48">
        <v>45</v>
      </c>
      <c r="N48">
        <f>[1]gpt4omini_single_100_2!L47</f>
        <v>-0.68667100000000003</v>
      </c>
      <c r="O48">
        <f>[2]gpt4omini_single_100_2!L47</f>
        <v>-0.38312499999999999</v>
      </c>
      <c r="P48">
        <f>[3]gpt4omini_single_100_2!L47</f>
        <v>-0.473665</v>
      </c>
      <c r="Q48">
        <f>[4]gpt4omini_single_100_2!L47</f>
        <v>-0.68701800000000002</v>
      </c>
      <c r="S48">
        <v>45</v>
      </c>
      <c r="T48">
        <f>[1]gpt4omini_single_60_2!L47</f>
        <v>-0.36062300000000003</v>
      </c>
      <c r="U48">
        <f>[2]gpt4omini_single_60_2!L47</f>
        <v>-0.12617700000000001</v>
      </c>
      <c r="V48">
        <f>[3]gpt4omini_single_60_2!L47</f>
        <v>-0.15593699999999999</v>
      </c>
      <c r="W48">
        <f>[4]gpt4omini_single_60_2!L47</f>
        <v>-0.32832600000000001</v>
      </c>
    </row>
    <row r="49" spans="1:23" x14ac:dyDescent="0.2">
      <c r="A49">
        <v>46</v>
      </c>
      <c r="B49">
        <f>[1]gpt4omini_single_100!L48</f>
        <v>-0.28868300000000002</v>
      </c>
      <c r="C49">
        <f>[2]gpt4omini_single_100!L48</f>
        <v>0.12171899999999999</v>
      </c>
      <c r="D49">
        <f>[3]gpt4omini_single_100!L48</f>
        <v>0.30179600000000001</v>
      </c>
      <c r="E49">
        <f>[4]gpt4omini_single_100!L48</f>
        <v>-0.39638400000000001</v>
      </c>
      <c r="G49">
        <v>46</v>
      </c>
      <c r="H49">
        <f>[1]gpt4omini_single_60!L48</f>
        <v>-0.16153899999999999</v>
      </c>
      <c r="I49">
        <f>[2]gpt4omini_single_60!L48</f>
        <v>0.154586</v>
      </c>
      <c r="J49">
        <f>[3]gpt4omini_single_60!L48</f>
        <v>0.78320800000000002</v>
      </c>
      <c r="K49">
        <f>[4]gpt4omini_single_60!L48</f>
        <v>-7.3547000000000001E-2</v>
      </c>
      <c r="M49">
        <v>46</v>
      </c>
      <c r="N49">
        <f>[1]gpt4omini_single_100_2!L48</f>
        <v>-0.69091899999999995</v>
      </c>
      <c r="O49">
        <f>[2]gpt4omini_single_100_2!L48</f>
        <v>-0.39354899999999998</v>
      </c>
      <c r="P49">
        <f>[3]gpt4omini_single_100_2!L48</f>
        <v>-0.48042299999999999</v>
      </c>
      <c r="Q49">
        <f>[4]gpt4omini_single_100_2!L48</f>
        <v>-0.69238500000000003</v>
      </c>
      <c r="S49">
        <v>46</v>
      </c>
      <c r="T49">
        <f>[1]gpt4omini_single_60_2!L48</f>
        <v>-0.37020700000000001</v>
      </c>
      <c r="U49">
        <f>[2]gpt4omini_single_60_2!L48</f>
        <v>-0.12659599999999999</v>
      </c>
      <c r="V49">
        <f>[3]gpt4omini_single_60_2!L48</f>
        <v>-0.179092</v>
      </c>
      <c r="W49">
        <f>[4]gpt4omini_single_60_2!L48</f>
        <v>-0.34331699999999998</v>
      </c>
    </row>
    <row r="50" spans="1:23" x14ac:dyDescent="0.2">
      <c r="A50">
        <v>47</v>
      </c>
      <c r="B50">
        <f>[1]gpt4omini_single_100!L49</f>
        <v>-0.29620999999999997</v>
      </c>
      <c r="C50">
        <f>[2]gpt4omini_single_100!L49</f>
        <v>0.115286</v>
      </c>
      <c r="D50">
        <f>[3]gpt4omini_single_100!L49</f>
        <v>0.310141</v>
      </c>
      <c r="E50">
        <f>[4]gpt4omini_single_100!L49</f>
        <v>-0.40276600000000001</v>
      </c>
      <c r="G50">
        <v>47</v>
      </c>
      <c r="H50">
        <f>[1]gpt4omini_single_60!L49</f>
        <v>-0.16261700000000001</v>
      </c>
      <c r="I50">
        <f>[2]gpt4omini_single_60!L49</f>
        <v>0.15836</v>
      </c>
      <c r="J50">
        <f>[3]gpt4omini_single_60!L49</f>
        <v>0.72844399999999998</v>
      </c>
      <c r="K50">
        <f>[4]gpt4omini_single_60!L49</f>
        <v>-7.0290000000000005E-2</v>
      </c>
      <c r="M50">
        <v>47</v>
      </c>
      <c r="N50">
        <f>[1]gpt4omini_single_100_2!L49</f>
        <v>-0.700129</v>
      </c>
      <c r="O50">
        <f>[2]gpt4omini_single_100_2!L49</f>
        <v>-0.40820200000000001</v>
      </c>
      <c r="P50">
        <f>[3]gpt4omini_single_100_2!L49</f>
        <v>-0.49143599999999998</v>
      </c>
      <c r="Q50">
        <f>[4]gpt4omini_single_100_2!L49</f>
        <v>-0.70479700000000001</v>
      </c>
      <c r="S50">
        <v>47</v>
      </c>
      <c r="T50">
        <f>[1]gpt4omini_single_60_2!L49</f>
        <v>-0.36842200000000003</v>
      </c>
      <c r="U50">
        <f>[2]gpt4omini_single_60_2!L49</f>
        <v>-0.129001</v>
      </c>
      <c r="V50">
        <f>[3]gpt4omini_single_60_2!L49</f>
        <v>-0.22414700000000001</v>
      </c>
      <c r="W50">
        <f>[4]gpt4omini_single_60_2!L49</f>
        <v>-0.34300199999999997</v>
      </c>
    </row>
    <row r="51" spans="1:23" x14ac:dyDescent="0.2">
      <c r="A51">
        <v>48</v>
      </c>
      <c r="B51">
        <f>[1]gpt4omini_single_100!L50</f>
        <v>-0.30202200000000001</v>
      </c>
      <c r="C51">
        <f>[2]gpt4omini_single_100!L50</f>
        <v>0.117897</v>
      </c>
      <c r="D51">
        <f>[3]gpt4omini_single_100!L50</f>
        <v>0.315332</v>
      </c>
      <c r="E51">
        <f>[4]gpt4omini_single_100!L50</f>
        <v>-0.40945700000000002</v>
      </c>
      <c r="G51">
        <v>48</v>
      </c>
      <c r="H51">
        <f>[1]gpt4omini_single_60!L50</f>
        <v>-0.162913</v>
      </c>
      <c r="I51">
        <f>[2]gpt4omini_single_60!L50</f>
        <v>0.16433700000000001</v>
      </c>
      <c r="J51">
        <f>[3]gpt4omini_single_60!L50</f>
        <v>0.81396299999999999</v>
      </c>
      <c r="K51">
        <f>[4]gpt4omini_single_60!L50</f>
        <v>-7.1831999999999993E-2</v>
      </c>
      <c r="M51">
        <v>48</v>
      </c>
      <c r="N51">
        <f>[1]gpt4omini_single_100_2!L50</f>
        <v>-0.70193099999999997</v>
      </c>
      <c r="O51">
        <f>[2]gpt4omini_single_100_2!L50</f>
        <v>-0.40010400000000002</v>
      </c>
      <c r="P51">
        <f>[3]gpt4omini_single_100_2!L50</f>
        <v>-0.48883799999999999</v>
      </c>
      <c r="Q51">
        <f>[4]gpt4omini_single_100_2!L50</f>
        <v>-0.70144899999999999</v>
      </c>
      <c r="S51">
        <v>48</v>
      </c>
      <c r="T51">
        <f>[1]gpt4omini_single_60_2!L50</f>
        <v>-0.37426300000000001</v>
      </c>
      <c r="U51">
        <f>[2]gpt4omini_single_60_2!L50</f>
        <v>-0.136517</v>
      </c>
      <c r="V51">
        <f>[3]gpt4omini_single_60_2!L50</f>
        <v>-0.253025</v>
      </c>
      <c r="W51">
        <f>[4]gpt4omini_single_60_2!L50</f>
        <v>-0.35639199999999999</v>
      </c>
    </row>
    <row r="52" spans="1:23" x14ac:dyDescent="0.2">
      <c r="A52">
        <v>49</v>
      </c>
      <c r="B52">
        <f>[1]gpt4omini_single_100!L51</f>
        <v>-0.307029</v>
      </c>
      <c r="C52">
        <f>[2]gpt4omini_single_100!L51</f>
        <v>0.119709</v>
      </c>
      <c r="D52">
        <f>[3]gpt4omini_single_100!L51</f>
        <v>0.31852000000000003</v>
      </c>
      <c r="E52">
        <f>[4]gpt4omini_single_100!L51</f>
        <v>-0.413993</v>
      </c>
      <c r="G52">
        <v>49</v>
      </c>
      <c r="H52">
        <f>[1]gpt4omini_single_60!L51</f>
        <v>-0.158556</v>
      </c>
      <c r="I52">
        <f>[2]gpt4omini_single_60!L51</f>
        <v>0.17361299999999999</v>
      </c>
      <c r="J52">
        <f>[3]gpt4omini_single_60!L51</f>
        <v>0.814141</v>
      </c>
      <c r="K52">
        <f>[4]gpt4omini_single_60!L51</f>
        <v>-6.8904999999999994E-2</v>
      </c>
      <c r="M52">
        <v>49</v>
      </c>
      <c r="N52">
        <f>[1]gpt4omini_single_100_2!L51</f>
        <v>-0.70643199999999995</v>
      </c>
      <c r="O52">
        <f>[2]gpt4omini_single_100_2!L51</f>
        <v>-0.39248100000000002</v>
      </c>
      <c r="P52">
        <f>[3]gpt4omini_single_100_2!L51</f>
        <v>-0.48924899999999999</v>
      </c>
      <c r="Q52">
        <f>[4]gpt4omini_single_100_2!L51</f>
        <v>-0.70472999999999997</v>
      </c>
      <c r="S52">
        <v>49</v>
      </c>
      <c r="T52">
        <f>[1]gpt4omini_single_60_2!L51</f>
        <v>-0.37868800000000002</v>
      </c>
      <c r="U52">
        <f>[2]gpt4omini_single_60_2!L51</f>
        <v>-0.13631299999999999</v>
      </c>
      <c r="V52">
        <f>[3]gpt4omini_single_60_2!L51</f>
        <v>-0.253</v>
      </c>
      <c r="W52">
        <f>[4]gpt4omini_single_60_2!L51</f>
        <v>-0.35026299999999999</v>
      </c>
    </row>
    <row r="53" spans="1:23" x14ac:dyDescent="0.2">
      <c r="A53">
        <v>50</v>
      </c>
      <c r="B53">
        <f>[1]gpt4omini_single_100!L52</f>
        <v>-0.31669999999999998</v>
      </c>
      <c r="C53">
        <f>[2]gpt4omini_single_100!L52</f>
        <v>0.119183</v>
      </c>
      <c r="D53">
        <f>[3]gpt4omini_single_100!L52</f>
        <v>0.32228099999999998</v>
      </c>
      <c r="E53">
        <f>[4]gpt4omini_single_100!L52</f>
        <v>-0.414408</v>
      </c>
      <c r="G53">
        <v>50</v>
      </c>
      <c r="H53">
        <f>[1]gpt4omini_single_60!L52</f>
        <v>-0.16478100000000001</v>
      </c>
      <c r="I53">
        <f>[2]gpt4omini_single_60!L52</f>
        <v>0.17757200000000001</v>
      </c>
      <c r="J53">
        <f>[3]gpt4omini_single_60!L52</f>
        <v>0.80979999999999996</v>
      </c>
      <c r="K53">
        <f>[4]gpt4omini_single_60!L52</f>
        <v>-7.3996999999999993E-2</v>
      </c>
      <c r="M53">
        <v>50</v>
      </c>
      <c r="N53">
        <f>[1]gpt4omini_single_100_2!L52</f>
        <v>-0.71548999999999996</v>
      </c>
      <c r="O53">
        <f>[2]gpt4omini_single_100_2!L52</f>
        <v>-0.40634100000000001</v>
      </c>
      <c r="P53">
        <f>[3]gpt4omini_single_100_2!L52</f>
        <v>-0.50331999999999999</v>
      </c>
      <c r="Q53">
        <f>[4]gpt4omini_single_100_2!L52</f>
        <v>-0.73250800000000005</v>
      </c>
      <c r="S53">
        <v>50</v>
      </c>
      <c r="T53">
        <f>[1]gpt4omini_single_60_2!L52</f>
        <v>-0.38633200000000001</v>
      </c>
      <c r="U53">
        <f>[2]gpt4omini_single_60_2!L52</f>
        <v>-0.12388299999999999</v>
      </c>
      <c r="V53">
        <f>[3]gpt4omini_single_60_2!L52</f>
        <v>5.0429999999999997E-3</v>
      </c>
      <c r="W53">
        <f>[4]gpt4omini_single_60_2!L52</f>
        <v>-0.35744599999999999</v>
      </c>
    </row>
    <row r="54" spans="1:23" x14ac:dyDescent="0.2">
      <c r="A54">
        <v>51</v>
      </c>
      <c r="B54">
        <f>[1]gpt4omini_single_100!L53</f>
        <v>-0.31929600000000002</v>
      </c>
      <c r="C54">
        <f>[2]gpt4omini_single_100!L53</f>
        <v>0.117185</v>
      </c>
      <c r="D54">
        <f>[3]gpt4omini_single_100!L53</f>
        <v>0.35072799999999998</v>
      </c>
      <c r="E54">
        <f>[4]gpt4omini_single_100!L53</f>
        <v>-0.41673700000000002</v>
      </c>
      <c r="G54">
        <v>51</v>
      </c>
      <c r="H54">
        <f>[1]gpt4omini_single_60!L53</f>
        <v>-0.16198299999999999</v>
      </c>
      <c r="I54">
        <f>[2]gpt4omini_single_60!L53</f>
        <v>0.177818</v>
      </c>
      <c r="J54">
        <f>[3]gpt4omini_single_60!L53</f>
        <v>0.89448300000000003</v>
      </c>
      <c r="K54">
        <f>[4]gpt4omini_single_60!L53</f>
        <v>-7.2081999999999993E-2</v>
      </c>
      <c r="M54">
        <v>51</v>
      </c>
      <c r="N54">
        <f>[1]gpt4omini_single_100_2!L53</f>
        <v>-0.71819100000000002</v>
      </c>
      <c r="O54">
        <f>[2]gpt4omini_single_100_2!L53</f>
        <v>-0.39248499999999997</v>
      </c>
      <c r="P54">
        <f>[3]gpt4omini_single_100_2!L53</f>
        <v>-0.487485</v>
      </c>
      <c r="Q54">
        <f>[4]gpt4omini_single_100_2!L53</f>
        <v>-0.732043</v>
      </c>
      <c r="S54">
        <v>51</v>
      </c>
      <c r="T54">
        <f>[1]gpt4omini_single_60_2!L53</f>
        <v>-0.40845599999999999</v>
      </c>
      <c r="U54">
        <f>[2]gpt4omini_single_60_2!L53</f>
        <v>-0.119895</v>
      </c>
      <c r="V54">
        <f>[3]gpt4omini_single_60_2!L53</f>
        <v>-7.5159000000000004E-2</v>
      </c>
      <c r="W54">
        <f>[4]gpt4omini_single_60_2!L53</f>
        <v>-0.36683500000000002</v>
      </c>
    </row>
    <row r="55" spans="1:23" x14ac:dyDescent="0.2">
      <c r="A55">
        <v>52</v>
      </c>
      <c r="B55">
        <f>[1]gpt4omini_single_100!L54</f>
        <v>-0.32494699999999999</v>
      </c>
      <c r="C55">
        <f>[2]gpt4omini_single_100!L54</f>
        <v>0.108472</v>
      </c>
      <c r="D55">
        <f>[3]gpt4omini_single_100!L54</f>
        <v>0.29616799999999999</v>
      </c>
      <c r="E55">
        <f>[4]gpt4omini_single_100!L54</f>
        <v>-0.42026200000000002</v>
      </c>
      <c r="G55">
        <v>52</v>
      </c>
      <c r="H55">
        <f>[1]gpt4omini_single_60!L54</f>
        <v>-0.16614899999999999</v>
      </c>
      <c r="I55">
        <f>[2]gpt4omini_single_60!L54</f>
        <v>0.186858</v>
      </c>
      <c r="J55">
        <f>[3]gpt4omini_single_60!L54</f>
        <v>1.0341640000000001</v>
      </c>
      <c r="K55">
        <f>[4]gpt4omini_single_60!L54</f>
        <v>-7.7317999999999998E-2</v>
      </c>
      <c r="M55">
        <v>52</v>
      </c>
      <c r="N55">
        <f>[1]gpt4omini_single_100_2!L54</f>
        <v>-0.70800600000000002</v>
      </c>
      <c r="O55">
        <f>[2]gpt4omini_single_100_2!L54</f>
        <v>-0.36869400000000002</v>
      </c>
      <c r="P55">
        <f>[3]gpt4omini_single_100_2!L54</f>
        <v>-0.48673699999999998</v>
      </c>
      <c r="Q55">
        <f>[4]gpt4omini_single_100_2!L54</f>
        <v>-0.74330399999999996</v>
      </c>
      <c r="S55">
        <v>52</v>
      </c>
      <c r="T55">
        <f>[1]gpt4omini_single_60_2!L54</f>
        <v>-0.42069000000000001</v>
      </c>
      <c r="U55">
        <f>[2]gpt4omini_single_60_2!L54</f>
        <v>-0.12640499999999999</v>
      </c>
      <c r="V55">
        <f>[3]gpt4omini_single_60_2!L54</f>
        <v>5.6087999999999999E-2</v>
      </c>
      <c r="W55">
        <f>[4]gpt4omini_single_60_2!L54</f>
        <v>-0.37926799999999999</v>
      </c>
    </row>
    <row r="56" spans="1:23" x14ac:dyDescent="0.2">
      <c r="A56">
        <v>53</v>
      </c>
      <c r="B56">
        <f>[1]gpt4omini_single_100!L55</f>
        <v>-0.33687400000000001</v>
      </c>
      <c r="C56">
        <f>[2]gpt4omini_single_100!L55</f>
        <v>0.11328299999999999</v>
      </c>
      <c r="D56">
        <f>[3]gpt4omini_single_100!L55</f>
        <v>0.33698299999999998</v>
      </c>
      <c r="E56">
        <f>[4]gpt4omini_single_100!L55</f>
        <v>-0.429977</v>
      </c>
      <c r="G56">
        <v>53</v>
      </c>
      <c r="H56">
        <f>[1]gpt4omini_single_60!L55</f>
        <v>-0.12740099999999999</v>
      </c>
      <c r="I56">
        <f>[2]gpt4omini_single_60!L55</f>
        <v>0.16631199999999999</v>
      </c>
      <c r="J56">
        <f>[3]gpt4omini_single_60!L55</f>
        <v>0.85209800000000002</v>
      </c>
      <c r="K56">
        <f>[4]gpt4omini_single_60!L55</f>
        <v>-7.5453999999999993E-2</v>
      </c>
      <c r="M56">
        <v>53</v>
      </c>
      <c r="N56">
        <f>[1]gpt4omini_single_100_2!L55</f>
        <v>-0.73285599999999995</v>
      </c>
      <c r="O56">
        <f>[2]gpt4omini_single_100_2!L55</f>
        <v>-0.40457900000000002</v>
      </c>
      <c r="P56">
        <f>[3]gpt4omini_single_100_2!L55</f>
        <v>-0.53009300000000004</v>
      </c>
      <c r="Q56">
        <f>[4]gpt4omini_single_100_2!L55</f>
        <v>-0.75803299999999996</v>
      </c>
      <c r="S56">
        <v>53</v>
      </c>
      <c r="T56">
        <f>[1]gpt4omini_single_60_2!L55</f>
        <v>-0.37255199999999999</v>
      </c>
      <c r="U56">
        <f>[2]gpt4omini_single_60_2!L55</f>
        <v>-0.14791799999999999</v>
      </c>
      <c r="V56">
        <f>[3]gpt4omini_single_60_2!L55</f>
        <v>4.2314999999999998E-2</v>
      </c>
      <c r="W56">
        <f>[4]gpt4omini_single_60_2!L55</f>
        <v>-0.372861</v>
      </c>
    </row>
    <row r="57" spans="1:23" x14ac:dyDescent="0.2">
      <c r="A57">
        <v>54</v>
      </c>
      <c r="B57">
        <f>[1]gpt4omini_single_100!L56</f>
        <v>-0.34012500000000001</v>
      </c>
      <c r="C57">
        <f>[2]gpt4omini_single_100!L56</f>
        <v>0.116243</v>
      </c>
      <c r="D57">
        <f>[3]gpt4omini_single_100!L56</f>
        <v>0.32627800000000001</v>
      </c>
      <c r="E57">
        <f>[4]gpt4omini_single_100!L56</f>
        <v>-0.42770599999999998</v>
      </c>
      <c r="G57">
        <v>54</v>
      </c>
      <c r="H57">
        <f>[1]gpt4omini_single_60!L56</f>
        <v>-0.13472500000000001</v>
      </c>
      <c r="I57">
        <f>[2]gpt4omini_single_60!L56</f>
        <v>0.180616</v>
      </c>
      <c r="J57">
        <f>[3]gpt4omini_single_60!L56</f>
        <v>1.105234</v>
      </c>
      <c r="K57">
        <f>[4]gpt4omini_single_60!L56</f>
        <v>-7.6814999999999994E-2</v>
      </c>
      <c r="M57">
        <v>54</v>
      </c>
      <c r="N57">
        <f>[1]gpt4omini_single_100_2!L56</f>
        <v>-0.73196300000000003</v>
      </c>
      <c r="O57">
        <f>[2]gpt4omini_single_100_2!L56</f>
        <v>-0.40481800000000001</v>
      </c>
      <c r="P57">
        <f>[3]gpt4omini_single_100_2!L56</f>
        <v>-0.51275099999999996</v>
      </c>
      <c r="Q57">
        <f>[4]gpt4omini_single_100_2!L56</f>
        <v>-0.75578699999999999</v>
      </c>
      <c r="S57">
        <v>54</v>
      </c>
      <c r="T57">
        <f>[1]gpt4omini_single_60_2!L56</f>
        <v>-0.39048100000000002</v>
      </c>
      <c r="U57">
        <f>[2]gpt4omini_single_60_2!L56</f>
        <v>-0.16298399999999999</v>
      </c>
      <c r="V57">
        <f>[3]gpt4omini_single_60_2!L56</f>
        <v>6.0277999999999998E-2</v>
      </c>
      <c r="W57">
        <f>[4]gpt4omini_single_60_2!L56</f>
        <v>-0.39555200000000001</v>
      </c>
    </row>
    <row r="58" spans="1:23" x14ac:dyDescent="0.2">
      <c r="A58">
        <v>55</v>
      </c>
      <c r="B58">
        <f>[1]gpt4omini_single_100!L57</f>
        <v>-0.34717900000000002</v>
      </c>
      <c r="C58">
        <f>[2]gpt4omini_single_100!L57</f>
        <v>0.136042</v>
      </c>
      <c r="D58">
        <f>[3]gpt4omini_single_100!L57</f>
        <v>0.32903700000000002</v>
      </c>
      <c r="E58">
        <f>[4]gpt4omini_single_100!L57</f>
        <v>-0.43591299999999999</v>
      </c>
      <c r="G58">
        <v>55</v>
      </c>
      <c r="H58">
        <f>[1]gpt4omini_single_60!L57</f>
        <v>-0.132495</v>
      </c>
      <c r="I58">
        <f>[2]gpt4omini_single_60!L57</f>
        <v>0.18097099999999999</v>
      </c>
      <c r="J58">
        <f>[3]gpt4omini_single_60!L57</f>
        <v>1.1489549999999999</v>
      </c>
      <c r="K58">
        <f>[4]gpt4omini_single_60!L57</f>
        <v>-7.7358999999999997E-2</v>
      </c>
      <c r="M58">
        <v>55</v>
      </c>
      <c r="N58">
        <f>[1]gpt4omini_single_100_2!L57</f>
        <v>-0.73983699999999997</v>
      </c>
      <c r="O58">
        <f>[2]gpt4omini_single_100_2!L57</f>
        <v>-0.38601799999999997</v>
      </c>
      <c r="P58">
        <f>[3]gpt4omini_single_100_2!L57</f>
        <v>-0.47083199999999997</v>
      </c>
      <c r="Q58">
        <f>[4]gpt4omini_single_100_2!L57</f>
        <v>-0.76454599999999995</v>
      </c>
      <c r="S58">
        <v>55</v>
      </c>
      <c r="T58">
        <f>[1]gpt4omini_single_60_2!L57</f>
        <v>-0.39364399999999999</v>
      </c>
      <c r="U58">
        <f>[2]gpt4omini_single_60_2!L57</f>
        <v>-0.15869900000000001</v>
      </c>
      <c r="V58">
        <f>[3]gpt4omini_single_60_2!L57</f>
        <v>6.7012000000000002E-2</v>
      </c>
      <c r="W58">
        <f>[4]gpt4omini_single_60_2!L57</f>
        <v>-0.39734700000000001</v>
      </c>
    </row>
    <row r="59" spans="1:23" x14ac:dyDescent="0.2">
      <c r="A59">
        <v>56</v>
      </c>
      <c r="B59">
        <f>[1]gpt4omini_single_100!L58</f>
        <v>-0.35692400000000002</v>
      </c>
      <c r="C59">
        <f>[2]gpt4omini_single_100!L58</f>
        <v>0.13079199999999999</v>
      </c>
      <c r="D59">
        <f>[3]gpt4omini_single_100!L58</f>
        <v>0.29027700000000001</v>
      </c>
      <c r="E59">
        <f>[4]gpt4omini_single_100!L58</f>
        <v>-0.424037</v>
      </c>
      <c r="G59">
        <v>56</v>
      </c>
      <c r="H59">
        <f>[1]gpt4omini_single_60!L58</f>
        <v>-0.134931</v>
      </c>
      <c r="I59">
        <f>[2]gpt4omini_single_60!L58</f>
        <v>0.185499</v>
      </c>
      <c r="J59">
        <f>[3]gpt4omini_single_60!L58</f>
        <v>1.139947</v>
      </c>
      <c r="K59">
        <f>[4]gpt4omini_single_60!L58</f>
        <v>-7.4352000000000001E-2</v>
      </c>
      <c r="M59">
        <v>56</v>
      </c>
      <c r="N59">
        <f>[1]gpt4omini_single_100_2!L58</f>
        <v>-0.74702599999999997</v>
      </c>
      <c r="O59">
        <f>[2]gpt4omini_single_100_2!L58</f>
        <v>-0.40213300000000002</v>
      </c>
      <c r="P59">
        <f>[3]gpt4omini_single_100_2!L58</f>
        <v>-0.49821799999999999</v>
      </c>
      <c r="Q59">
        <f>[4]gpt4omini_single_100_2!L58</f>
        <v>-0.75387099999999996</v>
      </c>
      <c r="S59">
        <v>56</v>
      </c>
      <c r="T59">
        <f>[1]gpt4omini_single_60_2!L58</f>
        <v>-0.400169</v>
      </c>
      <c r="U59">
        <f>[2]gpt4omini_single_60_2!L58</f>
        <v>-0.14626</v>
      </c>
      <c r="V59">
        <f>[3]gpt4omini_single_60_2!L58</f>
        <v>0.16107299999999999</v>
      </c>
      <c r="W59">
        <f>[4]gpt4omini_single_60_2!L58</f>
        <v>-0.39606599999999997</v>
      </c>
    </row>
    <row r="60" spans="1:23" x14ac:dyDescent="0.2">
      <c r="A60">
        <v>57</v>
      </c>
      <c r="B60">
        <f>[1]gpt4omini_single_100!L59</f>
        <v>-0.39018700000000001</v>
      </c>
      <c r="C60">
        <f>[2]gpt4omini_single_100!L59</f>
        <v>0.12694900000000001</v>
      </c>
      <c r="D60">
        <f>[3]gpt4omini_single_100!L59</f>
        <v>0.31490099999999999</v>
      </c>
      <c r="E60">
        <f>[4]gpt4omini_single_100!L59</f>
        <v>-0.442527</v>
      </c>
      <c r="G60">
        <v>57</v>
      </c>
      <c r="H60">
        <f>[1]gpt4omini_single_60!L59</f>
        <v>-0.13570099999999999</v>
      </c>
      <c r="I60">
        <f>[2]gpt4omini_single_60!L59</f>
        <v>0.18726699999999999</v>
      </c>
      <c r="J60">
        <f>[3]gpt4omini_single_60!L59</f>
        <v>1.1602779999999999</v>
      </c>
      <c r="K60">
        <f>[4]gpt4omini_single_60!L59</f>
        <v>-7.3976E-2</v>
      </c>
      <c r="M60">
        <v>57</v>
      </c>
      <c r="N60">
        <f>[1]gpt4omini_single_100_2!L59</f>
        <v>-0.749502</v>
      </c>
      <c r="O60">
        <f>[2]gpt4omini_single_100_2!L59</f>
        <v>-0.41871900000000001</v>
      </c>
      <c r="P60">
        <f>[3]gpt4omini_single_100_2!L59</f>
        <v>-0.53182099999999999</v>
      </c>
      <c r="Q60">
        <f>[4]gpt4omini_single_100_2!L59</f>
        <v>-0.77170000000000005</v>
      </c>
      <c r="S60">
        <v>57</v>
      </c>
      <c r="T60">
        <f>[1]gpt4omini_single_60_2!L59</f>
        <v>-0.405335</v>
      </c>
      <c r="U60">
        <f>[2]gpt4omini_single_60_2!L59</f>
        <v>-0.14923900000000001</v>
      </c>
      <c r="V60">
        <f>[3]gpt4omini_single_60_2!L59</f>
        <v>0.171374</v>
      </c>
      <c r="W60">
        <f>[4]gpt4omini_single_60_2!L59</f>
        <v>-0.39356200000000002</v>
      </c>
    </row>
    <row r="61" spans="1:23" x14ac:dyDescent="0.2">
      <c r="A61">
        <v>58</v>
      </c>
      <c r="B61">
        <f>[1]gpt4omini_single_100!L60</f>
        <v>-0.40405000000000002</v>
      </c>
      <c r="C61">
        <f>[2]gpt4omini_single_100!L60</f>
        <v>0.13905999999999999</v>
      </c>
      <c r="D61">
        <f>[3]gpt4omini_single_100!L60</f>
        <v>0.31592599999999998</v>
      </c>
      <c r="E61">
        <f>[4]gpt4omini_single_100!L60</f>
        <v>-0.45585999999999999</v>
      </c>
      <c r="G61">
        <v>58</v>
      </c>
      <c r="H61">
        <f>[1]gpt4omini_single_60!L60</f>
        <v>-0.118823</v>
      </c>
      <c r="I61">
        <f>[2]gpt4omini_single_60!L60</f>
        <v>0.18765799999999999</v>
      </c>
      <c r="J61">
        <f>[3]gpt4omini_single_60!L60</f>
        <v>1.234499</v>
      </c>
      <c r="K61">
        <f>[4]gpt4omini_single_60!L60</f>
        <v>-7.1857000000000004E-2</v>
      </c>
      <c r="M61">
        <v>58</v>
      </c>
      <c r="N61">
        <f>[1]gpt4omini_single_100_2!L60</f>
        <v>-0.77104600000000001</v>
      </c>
      <c r="O61">
        <f>[2]gpt4omini_single_100_2!L60</f>
        <v>-0.40346599999999999</v>
      </c>
      <c r="P61">
        <f>[3]gpt4omini_single_100_2!L60</f>
        <v>-0.53503900000000004</v>
      </c>
      <c r="Q61">
        <f>[4]gpt4omini_single_100_2!L60</f>
        <v>-0.79856000000000005</v>
      </c>
      <c r="S61">
        <v>58</v>
      </c>
      <c r="T61">
        <f>[1]gpt4omini_single_60_2!L60</f>
        <v>-0.40960299999999999</v>
      </c>
      <c r="U61">
        <f>[2]gpt4omini_single_60_2!L60</f>
        <v>-0.14882699999999999</v>
      </c>
      <c r="V61">
        <f>[3]gpt4omini_single_60_2!L60</f>
        <v>0.20955199999999999</v>
      </c>
      <c r="W61">
        <f>[4]gpt4omini_single_60_2!L60</f>
        <v>-0.39549899999999999</v>
      </c>
    </row>
    <row r="62" spans="1:23" x14ac:dyDescent="0.2">
      <c r="A62">
        <v>59</v>
      </c>
      <c r="B62">
        <f>[1]gpt4omini_single_100!L61</f>
        <v>-0.409134</v>
      </c>
      <c r="C62">
        <f>[2]gpt4omini_single_100!L61</f>
        <v>0.14049900000000001</v>
      </c>
      <c r="D62">
        <f>[3]gpt4omini_single_100!L61</f>
        <v>0.32020300000000002</v>
      </c>
      <c r="E62">
        <f>[4]gpt4omini_single_100!L61</f>
        <v>-0.43006</v>
      </c>
      <c r="G62">
        <v>59</v>
      </c>
      <c r="H62">
        <f>[1]gpt4omini_single_60!L61</f>
        <v>-0.120392</v>
      </c>
      <c r="I62">
        <f>[2]gpt4omini_single_60!L61</f>
        <v>0.209727</v>
      </c>
      <c r="J62">
        <f>[3]gpt4omini_single_60!L61</f>
        <v>1.2592429999999999</v>
      </c>
      <c r="K62">
        <f>[4]gpt4omini_single_60!L61</f>
        <v>-8.6333999999999994E-2</v>
      </c>
      <c r="M62">
        <v>59</v>
      </c>
      <c r="N62">
        <f>[1]gpt4omini_single_100_2!L61</f>
        <v>-0.71730799999999995</v>
      </c>
      <c r="O62">
        <f>[2]gpt4omini_single_100_2!L61</f>
        <v>-0.39101999999999998</v>
      </c>
      <c r="P62">
        <f>[3]gpt4omini_single_100_2!L61</f>
        <v>-0.54059999999999997</v>
      </c>
      <c r="Q62">
        <f>[4]gpt4omini_single_100_2!L61</f>
        <v>-0.80388899999999996</v>
      </c>
      <c r="S62">
        <v>59</v>
      </c>
      <c r="T62">
        <f>[1]gpt4omini_single_60_2!L61</f>
        <v>-0.40230100000000002</v>
      </c>
      <c r="U62">
        <f>[2]gpt4omini_single_60_2!L61</f>
        <v>-0.137184</v>
      </c>
      <c r="V62">
        <f>[3]gpt4omini_single_60_2!L61</f>
        <v>0.24857399999999999</v>
      </c>
      <c r="W62">
        <f>[4]gpt4omini_single_60_2!L61</f>
        <v>-0.40173999999999999</v>
      </c>
    </row>
    <row r="63" spans="1:23" x14ac:dyDescent="0.2">
      <c r="A63">
        <v>60</v>
      </c>
      <c r="B63">
        <f>[1]gpt4omini_single_100!L62</f>
        <v>-0.428149</v>
      </c>
      <c r="C63">
        <f>[2]gpt4omini_single_100!L62</f>
        <v>0.13502</v>
      </c>
      <c r="D63">
        <f>[3]gpt4omini_single_100!L62</f>
        <v>0.34365800000000002</v>
      </c>
      <c r="E63">
        <f>[4]gpt4omini_single_100!L62</f>
        <v>-0.44896399999999997</v>
      </c>
      <c r="G63">
        <v>60</v>
      </c>
      <c r="H63">
        <f>[1]gpt4omini_single_60!L62</f>
        <v>-0.12123299999999999</v>
      </c>
      <c r="I63">
        <f>[2]gpt4omini_single_60!L62</f>
        <v>0.216919</v>
      </c>
      <c r="J63">
        <f>[3]gpt4omini_single_60!L62</f>
        <v>1.2256020000000001</v>
      </c>
      <c r="K63">
        <f>[4]gpt4omini_single_60!L62</f>
        <v>-8.7847999999999996E-2</v>
      </c>
      <c r="M63">
        <v>60</v>
      </c>
      <c r="N63">
        <f>[1]gpt4omini_single_100_2!L62</f>
        <v>-0.78579600000000005</v>
      </c>
      <c r="O63">
        <f>[2]gpt4omini_single_100_2!L62</f>
        <v>-0.412273</v>
      </c>
      <c r="P63">
        <f>[3]gpt4omini_single_100_2!L62</f>
        <v>-0.55841799999999997</v>
      </c>
      <c r="Q63">
        <f>[4]gpt4omini_single_100_2!L62</f>
        <v>-0.79589299999999996</v>
      </c>
      <c r="S63">
        <v>60</v>
      </c>
      <c r="T63">
        <f>[1]gpt4omini_single_60_2!L62</f>
        <v>-0.40472200000000003</v>
      </c>
      <c r="U63">
        <f>[2]gpt4omini_single_60_2!L62</f>
        <v>-0.162244</v>
      </c>
      <c r="V63">
        <f>[3]gpt4omini_single_60_2!L62</f>
        <v>0.218504</v>
      </c>
      <c r="W63">
        <f>[4]gpt4omini_single_60_2!L62</f>
        <v>-0.39962799999999998</v>
      </c>
    </row>
    <row r="64" spans="1:23" x14ac:dyDescent="0.2">
      <c r="A64">
        <v>61</v>
      </c>
      <c r="B64">
        <f>[1]gpt4omini_single_100!L63</f>
        <v>-0.44175399999999998</v>
      </c>
      <c r="C64">
        <f>[2]gpt4omini_single_100!L63</f>
        <v>0.14659700000000001</v>
      </c>
      <c r="D64">
        <f>[3]gpt4omini_single_100!L63</f>
        <v>0.35386600000000001</v>
      </c>
      <c r="E64">
        <f>[4]gpt4omini_single_100!L63</f>
        <v>-0.46033099999999999</v>
      </c>
      <c r="M64">
        <v>61</v>
      </c>
      <c r="N64">
        <f>[1]gpt4omini_single_100_2!L63</f>
        <v>-0.80288899999999996</v>
      </c>
      <c r="O64">
        <f>[2]gpt4omini_single_100_2!L63</f>
        <v>-0.42258299999999999</v>
      </c>
      <c r="P64">
        <f>[3]gpt4omini_single_100_2!L63</f>
        <v>-0.62715299999999996</v>
      </c>
      <c r="Q64">
        <f>[4]gpt4omini_single_100_2!L63</f>
        <v>-0.81758399999999998</v>
      </c>
    </row>
    <row r="65" spans="1:17" x14ac:dyDescent="0.2">
      <c r="A65">
        <v>62</v>
      </c>
      <c r="B65">
        <f>[1]gpt4omini_single_100!L64</f>
        <v>-0.43745299999999998</v>
      </c>
      <c r="C65">
        <f>[2]gpt4omini_single_100!L64</f>
        <v>0.133269</v>
      </c>
      <c r="D65">
        <f>[3]gpt4omini_single_100!L64</f>
        <v>0.35081800000000002</v>
      </c>
      <c r="E65">
        <f>[4]gpt4omini_single_100!L64</f>
        <v>-0.46114500000000003</v>
      </c>
      <c r="M65">
        <v>62</v>
      </c>
      <c r="N65">
        <f>[1]gpt4omini_single_100_2!L64</f>
        <v>-0.79210100000000006</v>
      </c>
      <c r="O65">
        <f>[2]gpt4omini_single_100_2!L64</f>
        <v>-0.432641</v>
      </c>
      <c r="P65">
        <f>[3]gpt4omini_single_100_2!L64</f>
        <v>-0.62482400000000005</v>
      </c>
      <c r="Q65">
        <f>[4]gpt4omini_single_100_2!L64</f>
        <v>-0.80168899999999998</v>
      </c>
    </row>
    <row r="66" spans="1:17" x14ac:dyDescent="0.2">
      <c r="A66">
        <v>63</v>
      </c>
      <c r="B66">
        <f>[1]gpt4omini_single_100!L65</f>
        <v>-0.45815</v>
      </c>
      <c r="C66">
        <f>[2]gpt4omini_single_100!L65</f>
        <v>0.14343800000000001</v>
      </c>
      <c r="D66">
        <f>[3]gpt4omini_single_100!L65</f>
        <v>0.35249999999999998</v>
      </c>
      <c r="E66">
        <f>[4]gpt4omini_single_100!L65</f>
        <v>-0.47804799999999997</v>
      </c>
      <c r="M66">
        <v>63</v>
      </c>
      <c r="N66">
        <f>[1]gpt4omini_single_100_2!L65</f>
        <v>-0.82742300000000002</v>
      </c>
      <c r="O66">
        <f>[2]gpt4omini_single_100_2!L65</f>
        <v>-0.448994</v>
      </c>
      <c r="P66">
        <f>[3]gpt4omini_single_100_2!L65</f>
        <v>-0.64488699999999999</v>
      </c>
      <c r="Q66">
        <f>[4]gpt4omini_single_100_2!L65</f>
        <v>-0.83098899999999998</v>
      </c>
    </row>
    <row r="67" spans="1:17" x14ac:dyDescent="0.2">
      <c r="A67">
        <v>64</v>
      </c>
      <c r="B67">
        <f>[1]gpt4omini_single_100!L66</f>
        <v>-0.46174599999999999</v>
      </c>
      <c r="C67">
        <f>[2]gpt4omini_single_100!L66</f>
        <v>0.13886499999999999</v>
      </c>
      <c r="D67">
        <f>[3]gpt4omini_single_100!L66</f>
        <v>0.37334000000000001</v>
      </c>
      <c r="E67">
        <f>[4]gpt4omini_single_100!L66</f>
        <v>-0.48047099999999998</v>
      </c>
      <c r="M67">
        <v>64</v>
      </c>
      <c r="N67">
        <f>[1]gpt4omini_single_100_2!L66</f>
        <v>-0.84104900000000005</v>
      </c>
      <c r="O67">
        <f>[2]gpt4omini_single_100_2!L66</f>
        <v>-0.46648099999999998</v>
      </c>
      <c r="P67">
        <f>[3]gpt4omini_single_100_2!L66</f>
        <v>-0.62040700000000004</v>
      </c>
      <c r="Q67">
        <f>[4]gpt4omini_single_100_2!L66</f>
        <v>-0.83727200000000002</v>
      </c>
    </row>
    <row r="68" spans="1:17" x14ac:dyDescent="0.2">
      <c r="A68">
        <v>65</v>
      </c>
      <c r="B68">
        <f>[1]gpt4omini_single_100!L67</f>
        <v>-0.473246</v>
      </c>
      <c r="C68">
        <f>[2]gpt4omini_single_100!L67</f>
        <v>0.141843</v>
      </c>
      <c r="D68">
        <f>[3]gpt4omini_single_100!L67</f>
        <v>0.37986500000000001</v>
      </c>
      <c r="E68">
        <f>[4]gpt4omini_single_100!L67</f>
        <v>-0.48844599999999999</v>
      </c>
      <c r="M68">
        <v>65</v>
      </c>
      <c r="N68">
        <f>[1]gpt4omini_single_100_2!L67</f>
        <v>-0.85512200000000005</v>
      </c>
      <c r="O68">
        <f>[2]gpt4omini_single_100_2!L67</f>
        <v>-0.47080499999999997</v>
      </c>
      <c r="P68">
        <f>[3]gpt4omini_single_100_2!L67</f>
        <v>-0.65446400000000005</v>
      </c>
      <c r="Q68">
        <f>[4]gpt4omini_single_100_2!L67</f>
        <v>-0.84332700000000005</v>
      </c>
    </row>
    <row r="69" spans="1:17" x14ac:dyDescent="0.2">
      <c r="A69">
        <v>66</v>
      </c>
      <c r="B69">
        <f>[1]gpt4omini_single_100!L68</f>
        <v>-0.47869899999999999</v>
      </c>
      <c r="C69">
        <f>[2]gpt4omini_single_100!L68</f>
        <v>0.13755899999999999</v>
      </c>
      <c r="D69">
        <f>[3]gpt4omini_single_100!L68</f>
        <v>0.40271000000000001</v>
      </c>
      <c r="E69">
        <f>[4]gpt4omini_single_100!L68</f>
        <v>-0.495311</v>
      </c>
      <c r="M69">
        <v>66</v>
      </c>
      <c r="N69">
        <f>[1]gpt4omini_single_100_2!L68</f>
        <v>-0.85980400000000001</v>
      </c>
      <c r="O69">
        <f>[2]gpt4omini_single_100_2!L68</f>
        <v>-0.47578100000000001</v>
      </c>
      <c r="P69">
        <f>[3]gpt4omini_single_100_2!L68</f>
        <v>-0.65641799999999995</v>
      </c>
      <c r="Q69">
        <f>[4]gpt4omini_single_100_2!L68</f>
        <v>-0.84636500000000003</v>
      </c>
    </row>
    <row r="70" spans="1:17" x14ac:dyDescent="0.2">
      <c r="A70">
        <v>67</v>
      </c>
      <c r="B70">
        <f>[1]gpt4omini_single_100!L69</f>
        <v>-0.48391600000000001</v>
      </c>
      <c r="C70">
        <f>[2]gpt4omini_single_100!L69</f>
        <v>0.125862</v>
      </c>
      <c r="D70">
        <f>[3]gpt4omini_single_100!L69</f>
        <v>0.40555400000000003</v>
      </c>
      <c r="E70">
        <f>[4]gpt4omini_single_100!L69</f>
        <v>-0.50680599999999998</v>
      </c>
      <c r="M70">
        <v>67</v>
      </c>
      <c r="N70">
        <f>[1]gpt4omini_single_100_2!L69</f>
        <v>-0.86778999999999995</v>
      </c>
      <c r="O70">
        <f>[2]gpt4omini_single_100_2!L69</f>
        <v>-0.490342</v>
      </c>
      <c r="P70">
        <f>[3]gpt4omini_single_100_2!L69</f>
        <v>-0.72869899999999999</v>
      </c>
      <c r="Q70">
        <f>[4]gpt4omini_single_100_2!L69</f>
        <v>-0.85285699999999998</v>
      </c>
    </row>
    <row r="71" spans="1:17" x14ac:dyDescent="0.2">
      <c r="A71">
        <v>68</v>
      </c>
      <c r="B71">
        <f>[1]gpt4omini_single_100!L70</f>
        <v>-0.48582700000000001</v>
      </c>
      <c r="C71">
        <f>[2]gpt4omini_single_100!L70</f>
        <v>0.13219500000000001</v>
      </c>
      <c r="D71">
        <f>[3]gpt4omini_single_100!L70</f>
        <v>0.42366300000000001</v>
      </c>
      <c r="E71">
        <f>[4]gpt4omini_single_100!L70</f>
        <v>-0.51028700000000005</v>
      </c>
      <c r="M71">
        <v>68</v>
      </c>
      <c r="N71">
        <f>[1]gpt4omini_single_100_2!L70</f>
        <v>-0.87392400000000003</v>
      </c>
      <c r="O71">
        <f>[2]gpt4omini_single_100_2!L70</f>
        <v>-0.48724400000000001</v>
      </c>
      <c r="P71">
        <f>[3]gpt4omini_single_100_2!L70</f>
        <v>-0.74085699999999999</v>
      </c>
      <c r="Q71">
        <f>[4]gpt4omini_single_100_2!L70</f>
        <v>-0.85322900000000002</v>
      </c>
    </row>
    <row r="72" spans="1:17" x14ac:dyDescent="0.2">
      <c r="A72">
        <v>69</v>
      </c>
      <c r="B72">
        <f>[1]gpt4omini_single_100!L71</f>
        <v>-0.48110799999999998</v>
      </c>
      <c r="C72">
        <f>[2]gpt4omini_single_100!L71</f>
        <v>0.12979299999999999</v>
      </c>
      <c r="D72">
        <f>[3]gpt4omini_single_100!L71</f>
        <v>0.42948199999999997</v>
      </c>
      <c r="E72">
        <f>[4]gpt4omini_single_100!L71</f>
        <v>-0.50900299999999998</v>
      </c>
      <c r="M72">
        <v>69</v>
      </c>
      <c r="N72">
        <f>[1]gpt4omini_single_100_2!L71</f>
        <v>-0.86980299999999999</v>
      </c>
      <c r="O72">
        <f>[2]gpt4omini_single_100_2!L71</f>
        <v>-0.48951</v>
      </c>
      <c r="P72">
        <f>[3]gpt4omini_single_100_2!L71</f>
        <v>-0.69103300000000001</v>
      </c>
      <c r="Q72">
        <f>[4]gpt4omini_single_100_2!L71</f>
        <v>-0.84876799999999997</v>
      </c>
    </row>
    <row r="73" spans="1:17" x14ac:dyDescent="0.2">
      <c r="A73">
        <v>70</v>
      </c>
      <c r="B73">
        <f>[1]gpt4omini_single_100!L72</f>
        <v>-0.49836900000000001</v>
      </c>
      <c r="C73">
        <f>[2]gpt4omini_single_100!L72</f>
        <v>0.125529</v>
      </c>
      <c r="D73">
        <f>[3]gpt4omini_single_100!L72</f>
        <v>0.461451</v>
      </c>
      <c r="E73">
        <f>[4]gpt4omini_single_100!L72</f>
        <v>-0.51632900000000004</v>
      </c>
      <c r="M73">
        <v>70</v>
      </c>
      <c r="N73">
        <f>[1]gpt4omini_single_100_2!L72</f>
        <v>-0.87629199999999996</v>
      </c>
      <c r="O73">
        <f>[2]gpt4omini_single_100_2!L72</f>
        <v>-0.49984800000000001</v>
      </c>
      <c r="P73">
        <f>[3]gpt4omini_single_100_2!L72</f>
        <v>-0.70980399999999999</v>
      </c>
      <c r="Q73">
        <f>[4]gpt4omini_single_100_2!L72</f>
        <v>-0.86388799999999999</v>
      </c>
    </row>
    <row r="74" spans="1:17" x14ac:dyDescent="0.2">
      <c r="A74">
        <v>71</v>
      </c>
      <c r="B74">
        <f>[1]gpt4omini_single_100!L73</f>
        <v>-0.5111</v>
      </c>
      <c r="C74">
        <f>[2]gpt4omini_single_100!L73</f>
        <v>0.13444999999999999</v>
      </c>
      <c r="D74">
        <f>[3]gpt4omini_single_100!L73</f>
        <v>0.46528199999999997</v>
      </c>
      <c r="E74">
        <f>[4]gpt4omini_single_100!L73</f>
        <v>-0.53066899999999995</v>
      </c>
      <c r="M74">
        <v>71</v>
      </c>
      <c r="N74">
        <f>[1]gpt4omini_single_100_2!L73</f>
        <v>-0.89869500000000002</v>
      </c>
      <c r="O74">
        <f>[2]gpt4omini_single_100_2!L73</f>
        <v>-0.50240399999999996</v>
      </c>
      <c r="P74">
        <f>[3]gpt4omini_single_100_2!L73</f>
        <v>-0.75782899999999997</v>
      </c>
      <c r="Q74">
        <f>[4]gpt4omini_single_100_2!L73</f>
        <v>-0.88186699999999996</v>
      </c>
    </row>
    <row r="75" spans="1:17" x14ac:dyDescent="0.2">
      <c r="A75">
        <v>72</v>
      </c>
      <c r="B75">
        <f>[1]gpt4omini_single_100!L74</f>
        <v>-0.516934</v>
      </c>
      <c r="C75">
        <f>[2]gpt4omini_single_100!L74</f>
        <v>0.147754</v>
      </c>
      <c r="D75">
        <f>[3]gpt4omini_single_100!L74</f>
        <v>0.40828199999999998</v>
      </c>
      <c r="E75">
        <f>[4]gpt4omini_single_100!L74</f>
        <v>-0.53448399999999996</v>
      </c>
      <c r="M75">
        <v>72</v>
      </c>
      <c r="N75">
        <f>[1]gpt4omini_single_100_2!L74</f>
        <v>-0.90558499999999997</v>
      </c>
      <c r="O75">
        <f>[2]gpt4omini_single_100_2!L74</f>
        <v>-0.50255700000000003</v>
      </c>
      <c r="P75">
        <f>[3]gpt4omini_single_100_2!L74</f>
        <v>-0.711758</v>
      </c>
      <c r="Q75">
        <f>[4]gpt4omini_single_100_2!L74</f>
        <v>-0.87280500000000005</v>
      </c>
    </row>
    <row r="76" spans="1:17" x14ac:dyDescent="0.2">
      <c r="A76">
        <v>73</v>
      </c>
      <c r="B76">
        <f>[1]gpt4omini_single_100!L75</f>
        <v>-0.52703800000000001</v>
      </c>
      <c r="C76">
        <f>[2]gpt4omini_single_100!L75</f>
        <v>0.15820999999999999</v>
      </c>
      <c r="D76">
        <f>[3]gpt4omini_single_100!L75</f>
        <v>0.44181500000000001</v>
      </c>
      <c r="E76">
        <f>[4]gpt4omini_single_100!L75</f>
        <v>-0.53405899999999995</v>
      </c>
      <c r="M76">
        <v>73</v>
      </c>
      <c r="N76">
        <f>[1]gpt4omini_single_100_2!L75</f>
        <v>-0.90559000000000001</v>
      </c>
      <c r="O76">
        <f>[2]gpt4omini_single_100_2!L75</f>
        <v>-0.51526400000000006</v>
      </c>
      <c r="P76">
        <f>[3]gpt4omini_single_100_2!L75</f>
        <v>-0.6764</v>
      </c>
      <c r="Q76">
        <f>[4]gpt4omini_single_100_2!L75</f>
        <v>-0.90952999999999995</v>
      </c>
    </row>
    <row r="77" spans="1:17" x14ac:dyDescent="0.2">
      <c r="A77">
        <v>74</v>
      </c>
      <c r="B77">
        <f>[1]gpt4omini_single_100!L76</f>
        <v>-0.51617999999999997</v>
      </c>
      <c r="C77">
        <f>[2]gpt4omini_single_100!L76</f>
        <v>0.15006</v>
      </c>
      <c r="D77">
        <f>[3]gpt4omini_single_100!L76</f>
        <v>0.41270499999999999</v>
      </c>
      <c r="E77">
        <f>[4]gpt4omini_single_100!L76</f>
        <v>-0.53653399999999996</v>
      </c>
      <c r="M77">
        <v>74</v>
      </c>
      <c r="N77">
        <f>[1]gpt4omini_single_100_2!L76</f>
        <v>-0.88933499999999999</v>
      </c>
      <c r="O77">
        <f>[2]gpt4omini_single_100_2!L76</f>
        <v>-0.51822400000000002</v>
      </c>
      <c r="P77">
        <f>[3]gpt4omini_single_100_2!L76</f>
        <v>-0.656837</v>
      </c>
      <c r="Q77">
        <f>[4]gpt4omini_single_100_2!L76</f>
        <v>-0.90146599999999999</v>
      </c>
    </row>
    <row r="78" spans="1:17" x14ac:dyDescent="0.2">
      <c r="A78">
        <v>75</v>
      </c>
      <c r="B78">
        <f>[1]gpt4omini_single_100!L77</f>
        <v>-0.56554599999999999</v>
      </c>
      <c r="C78">
        <f>[2]gpt4omini_single_100!L77</f>
        <v>0.18001900000000001</v>
      </c>
      <c r="D78">
        <f>[3]gpt4omini_single_100!L77</f>
        <v>0.46358700000000003</v>
      </c>
      <c r="E78">
        <f>[4]gpt4omini_single_100!L77</f>
        <v>-0.55408000000000002</v>
      </c>
      <c r="M78">
        <v>75</v>
      </c>
      <c r="N78">
        <f>[1]gpt4omini_single_100_2!L77</f>
        <v>-0.954322</v>
      </c>
      <c r="O78">
        <f>[2]gpt4omini_single_100_2!L77</f>
        <v>-0.53306200000000004</v>
      </c>
      <c r="P78">
        <f>[3]gpt4omini_single_100_2!L77</f>
        <v>-0.70498899999999998</v>
      </c>
      <c r="Q78">
        <f>[4]gpt4omini_single_100_2!L77</f>
        <v>-0.91045100000000001</v>
      </c>
    </row>
    <row r="79" spans="1:17" x14ac:dyDescent="0.2">
      <c r="A79">
        <v>76</v>
      </c>
      <c r="B79">
        <f>[1]gpt4omini_single_100!L78</f>
        <v>-0.579515</v>
      </c>
      <c r="C79">
        <f>[2]gpt4omini_single_100!L78</f>
        <v>0.19143199999999999</v>
      </c>
      <c r="D79">
        <f>[3]gpt4omini_single_100!L78</f>
        <v>0.477244</v>
      </c>
      <c r="E79">
        <f>[4]gpt4omini_single_100!L78</f>
        <v>-0.56648600000000005</v>
      </c>
      <c r="M79">
        <v>76</v>
      </c>
      <c r="N79">
        <f>[1]gpt4omini_single_100_2!L78</f>
        <v>-0.98911700000000002</v>
      </c>
      <c r="O79">
        <f>[2]gpt4omini_single_100_2!L78</f>
        <v>-0.54713800000000001</v>
      </c>
      <c r="P79">
        <f>[3]gpt4omini_single_100_2!L78</f>
        <v>-0.73309100000000005</v>
      </c>
      <c r="Q79">
        <f>[4]gpt4omini_single_100_2!L78</f>
        <v>-0.94250500000000004</v>
      </c>
    </row>
    <row r="80" spans="1:17" x14ac:dyDescent="0.2">
      <c r="A80">
        <v>77</v>
      </c>
      <c r="B80">
        <f>[1]gpt4omini_single_100!L79</f>
        <v>-0.579453</v>
      </c>
      <c r="C80">
        <f>[2]gpt4omini_single_100!L79</f>
        <v>0.19395499999999999</v>
      </c>
      <c r="D80">
        <f>[3]gpt4omini_single_100!L79</f>
        <v>0.48032999999999998</v>
      </c>
      <c r="E80">
        <f>[4]gpt4omini_single_100!L79</f>
        <v>-0.574353</v>
      </c>
      <c r="M80">
        <v>77</v>
      </c>
      <c r="N80">
        <f>[1]gpt4omini_single_100_2!L79</f>
        <v>-0.99656999999999996</v>
      </c>
      <c r="O80">
        <f>[2]gpt4omini_single_100_2!L79</f>
        <v>-0.558145</v>
      </c>
      <c r="P80">
        <f>[3]gpt4omini_single_100_2!L79</f>
        <v>-0.74568299999999998</v>
      </c>
      <c r="Q80">
        <f>[4]gpt4omini_single_100_2!L79</f>
        <v>-0.95722700000000005</v>
      </c>
    </row>
    <row r="81" spans="1:17" x14ac:dyDescent="0.2">
      <c r="A81">
        <v>78</v>
      </c>
      <c r="B81">
        <f>[1]gpt4omini_single_100!L80</f>
        <v>-0.56903899999999996</v>
      </c>
      <c r="C81">
        <f>[2]gpt4omini_single_100!L80</f>
        <v>0.18751899999999999</v>
      </c>
      <c r="D81">
        <f>[3]gpt4omini_single_100!L80</f>
        <v>0.47008800000000001</v>
      </c>
      <c r="E81">
        <f>[4]gpt4omini_single_100!L80</f>
        <v>-0.55840699999999999</v>
      </c>
      <c r="M81">
        <v>78</v>
      </c>
      <c r="N81">
        <f>[1]gpt4omini_single_100_2!L80</f>
        <v>-0.966395</v>
      </c>
      <c r="O81">
        <f>[2]gpt4omini_single_100_2!L80</f>
        <v>-0.57237199999999999</v>
      </c>
      <c r="P81">
        <f>[3]gpt4omini_single_100_2!L80</f>
        <v>-0.76316899999999999</v>
      </c>
      <c r="Q81">
        <f>[4]gpt4omini_single_100_2!L80</f>
        <v>-0.92420800000000003</v>
      </c>
    </row>
    <row r="82" spans="1:17" x14ac:dyDescent="0.2">
      <c r="A82">
        <v>79</v>
      </c>
      <c r="B82">
        <f>[1]gpt4omini_single_100!L81</f>
        <v>-0.528366</v>
      </c>
      <c r="C82">
        <f>[2]gpt4omini_single_100!L81</f>
        <v>0.19862299999999999</v>
      </c>
      <c r="D82">
        <f>[3]gpt4omini_single_100!L81</f>
        <v>0.461669</v>
      </c>
      <c r="E82">
        <f>[4]gpt4omini_single_100!L81</f>
        <v>-0.51070899999999997</v>
      </c>
      <c r="M82">
        <v>79</v>
      </c>
      <c r="N82">
        <f>[1]gpt4omini_single_100_2!L81</f>
        <v>-0.98621700000000001</v>
      </c>
      <c r="O82">
        <f>[2]gpt4omini_single_100_2!L81</f>
        <v>-0.55362599999999995</v>
      </c>
      <c r="P82">
        <f>[3]gpt4omini_single_100_2!L81</f>
        <v>-0.772401</v>
      </c>
      <c r="Q82">
        <f>[4]gpt4omini_single_100_2!L81</f>
        <v>-0.924346</v>
      </c>
    </row>
    <row r="83" spans="1:17" x14ac:dyDescent="0.2">
      <c r="A83">
        <v>80</v>
      </c>
      <c r="B83">
        <f>[1]gpt4omini_single_100!L82</f>
        <v>-0.55744899999999997</v>
      </c>
      <c r="C83">
        <f>[2]gpt4omini_single_100!L82</f>
        <v>0.21582299999999999</v>
      </c>
      <c r="D83">
        <f>[3]gpt4omini_single_100!L82</f>
        <v>0.52017999999999998</v>
      </c>
      <c r="E83">
        <f>[4]gpt4omini_single_100!L82</f>
        <v>-0.53037800000000002</v>
      </c>
      <c r="M83">
        <v>80</v>
      </c>
      <c r="N83">
        <f>[1]gpt4omini_single_100_2!L82</f>
        <v>-0.97888900000000001</v>
      </c>
      <c r="O83">
        <f>[2]gpt4omini_single_100_2!L82</f>
        <v>-0.59017200000000003</v>
      </c>
      <c r="P83">
        <f>[3]gpt4omini_single_100_2!L82</f>
        <v>-0.84904400000000002</v>
      </c>
      <c r="Q83">
        <f>[4]gpt4omini_single_100_2!L82</f>
        <v>-1.000078</v>
      </c>
    </row>
    <row r="84" spans="1:17" x14ac:dyDescent="0.2">
      <c r="A84">
        <v>81</v>
      </c>
      <c r="B84">
        <f>[1]gpt4omini_single_100!L83</f>
        <v>-0.53135600000000005</v>
      </c>
      <c r="C84">
        <f>[2]gpt4omini_single_100!L83</f>
        <v>0.23053100000000001</v>
      </c>
      <c r="D84">
        <f>[3]gpt4omini_single_100!L83</f>
        <v>0.53406600000000004</v>
      </c>
      <c r="E84">
        <f>[4]gpt4omini_single_100!L83</f>
        <v>-0.56515899999999997</v>
      </c>
      <c r="M84">
        <v>81</v>
      </c>
      <c r="N84">
        <f>[1]gpt4omini_single_100_2!L83</f>
        <v>-1.029779</v>
      </c>
      <c r="O84">
        <f>[2]gpt4omini_single_100_2!L83</f>
        <v>-0.60390900000000003</v>
      </c>
      <c r="P84">
        <f>[3]gpt4omini_single_100_2!L83</f>
        <v>-0.81281000000000003</v>
      </c>
      <c r="Q84">
        <f>[4]gpt4omini_single_100_2!L83</f>
        <v>-0.979321</v>
      </c>
    </row>
    <row r="85" spans="1:17" x14ac:dyDescent="0.2">
      <c r="A85">
        <v>82</v>
      </c>
      <c r="B85">
        <f>[1]gpt4omini_single_100!L84</f>
        <v>-0.55629200000000001</v>
      </c>
      <c r="C85">
        <f>[2]gpt4omini_single_100!L84</f>
        <v>0.233379</v>
      </c>
      <c r="D85">
        <f>[3]gpt4omini_single_100!L84</f>
        <v>0.50226899999999997</v>
      </c>
      <c r="E85">
        <f>[4]gpt4omini_single_100!L84</f>
        <v>-0.58344799999999997</v>
      </c>
      <c r="M85">
        <v>82</v>
      </c>
      <c r="N85">
        <f>[1]gpt4omini_single_100_2!L84</f>
        <v>-1.062603</v>
      </c>
      <c r="O85">
        <f>[2]gpt4omini_single_100_2!L84</f>
        <v>-0.644486</v>
      </c>
      <c r="P85">
        <f>[3]gpt4omini_single_100_2!L84</f>
        <v>-0.80379100000000003</v>
      </c>
      <c r="Q85">
        <f>[4]gpt4omini_single_100_2!L84</f>
        <v>-1.007185</v>
      </c>
    </row>
    <row r="86" spans="1:17" x14ac:dyDescent="0.2">
      <c r="A86">
        <v>83</v>
      </c>
      <c r="B86">
        <f>[1]gpt4omini_single_100!L85</f>
        <v>-0.53253499999999998</v>
      </c>
      <c r="C86">
        <f>[2]gpt4omini_single_100!L85</f>
        <v>0.22000800000000001</v>
      </c>
      <c r="D86">
        <f>[3]gpt4omini_single_100!L85</f>
        <v>0.52320800000000001</v>
      </c>
      <c r="E86">
        <f>[4]gpt4omini_single_100!L85</f>
        <v>-0.59106800000000004</v>
      </c>
      <c r="M86">
        <v>83</v>
      </c>
      <c r="N86">
        <f>[1]gpt4omini_single_100_2!L85</f>
        <v>-1.0543279999999999</v>
      </c>
      <c r="O86">
        <f>[2]gpt4omini_single_100_2!L85</f>
        <v>-0.65019800000000005</v>
      </c>
      <c r="P86">
        <f>[3]gpt4omini_single_100_2!L85</f>
        <v>-0.86345099999999997</v>
      </c>
      <c r="Q86">
        <f>[4]gpt4omini_single_100_2!L85</f>
        <v>-1.025061</v>
      </c>
    </row>
    <row r="87" spans="1:17" x14ac:dyDescent="0.2">
      <c r="A87">
        <v>84</v>
      </c>
      <c r="B87">
        <f>[1]gpt4omini_single_100!L86</f>
        <v>-0.55162699999999998</v>
      </c>
      <c r="C87">
        <f>[2]gpt4omini_single_100!L86</f>
        <v>0.22701099999999999</v>
      </c>
      <c r="D87">
        <f>[3]gpt4omini_single_100!L86</f>
        <v>0.55291699999999999</v>
      </c>
      <c r="E87">
        <f>[4]gpt4omini_single_100!L86</f>
        <v>-0.594773</v>
      </c>
      <c r="M87">
        <v>84</v>
      </c>
      <c r="N87">
        <f>[1]gpt4omini_single_100_2!L86</f>
        <v>-1.0711079999999999</v>
      </c>
      <c r="O87">
        <f>[2]gpt4omini_single_100_2!L86</f>
        <v>-0.68172200000000005</v>
      </c>
      <c r="P87">
        <f>[3]gpt4omini_single_100_2!L86</f>
        <v>-0.87556100000000003</v>
      </c>
      <c r="Q87">
        <f>[4]gpt4omini_single_100_2!L86</f>
        <v>-1.04674</v>
      </c>
    </row>
    <row r="88" spans="1:17" x14ac:dyDescent="0.2">
      <c r="A88">
        <v>85</v>
      </c>
      <c r="B88">
        <f>[1]gpt4omini_single_100!L87</f>
        <v>-0.54917700000000003</v>
      </c>
      <c r="C88">
        <f>[2]gpt4omini_single_100!L87</f>
        <v>0.2084</v>
      </c>
      <c r="D88">
        <f>[3]gpt4omini_single_100!L87</f>
        <v>0.53144000000000002</v>
      </c>
      <c r="E88">
        <f>[4]gpt4omini_single_100!L87</f>
        <v>-0.57749099999999998</v>
      </c>
      <c r="M88">
        <v>85</v>
      </c>
      <c r="N88">
        <f>[1]gpt4omini_single_100_2!L87</f>
        <v>-1.069545</v>
      </c>
      <c r="O88">
        <f>[2]gpt4omini_single_100_2!L87</f>
        <v>-0.67336300000000004</v>
      </c>
      <c r="P88">
        <f>[3]gpt4omini_single_100_2!L87</f>
        <v>-0.81308100000000005</v>
      </c>
      <c r="Q88">
        <f>[4]gpt4omini_single_100_2!L87</f>
        <v>-1.0229220000000001</v>
      </c>
    </row>
    <row r="89" spans="1:17" x14ac:dyDescent="0.2">
      <c r="A89">
        <v>86</v>
      </c>
      <c r="B89">
        <f>[1]gpt4omini_single_100!L88</f>
        <v>-0.576963</v>
      </c>
      <c r="C89">
        <f>[2]gpt4omini_single_100!L88</f>
        <v>0.216282</v>
      </c>
      <c r="D89">
        <f>[3]gpt4omini_single_100!L88</f>
        <v>0.54763600000000001</v>
      </c>
      <c r="E89">
        <f>[4]gpt4omini_single_100!L88</f>
        <v>-0.60035799999999995</v>
      </c>
      <c r="M89">
        <v>86</v>
      </c>
      <c r="N89">
        <f>[1]gpt4omini_single_100_2!L88</f>
        <v>-1.0785229999999999</v>
      </c>
      <c r="O89">
        <f>[2]gpt4omini_single_100_2!L88</f>
        <v>-0.71692299999999998</v>
      </c>
      <c r="P89">
        <f>[3]gpt4omini_single_100_2!L88</f>
        <v>-0.68201299999999998</v>
      </c>
      <c r="Q89">
        <f>[4]gpt4omini_single_100_2!L88</f>
        <v>-1.050602</v>
      </c>
    </row>
    <row r="90" spans="1:17" x14ac:dyDescent="0.2">
      <c r="A90">
        <v>87</v>
      </c>
      <c r="B90">
        <f>[1]gpt4omini_single_100!L89</f>
        <v>-0.58078700000000005</v>
      </c>
      <c r="C90">
        <f>[2]gpt4omini_single_100!L89</f>
        <v>0.217893</v>
      </c>
      <c r="D90">
        <f>[3]gpt4omini_single_100!L89</f>
        <v>0.57463799999999998</v>
      </c>
      <c r="E90">
        <f>[4]gpt4omini_single_100!L89</f>
        <v>-0.60131800000000002</v>
      </c>
      <c r="M90">
        <v>87</v>
      </c>
      <c r="N90">
        <f>[1]gpt4omini_single_100_2!L89</f>
        <v>-1.081037</v>
      </c>
      <c r="O90">
        <f>[2]gpt4omini_single_100_2!L89</f>
        <v>-0.725406</v>
      </c>
      <c r="P90">
        <f>[3]gpt4omini_single_100_2!L89</f>
        <v>-0.67944899999999997</v>
      </c>
      <c r="Q90">
        <f>[4]gpt4omini_single_100_2!L89</f>
        <v>-1.0415000000000001</v>
      </c>
    </row>
    <row r="91" spans="1:17" x14ac:dyDescent="0.2">
      <c r="A91">
        <v>88</v>
      </c>
      <c r="B91">
        <f>[1]gpt4omini_single_100!L90</f>
        <v>-0.59518300000000002</v>
      </c>
      <c r="C91">
        <f>[2]gpt4omini_single_100!L90</f>
        <v>0.24627199999999999</v>
      </c>
      <c r="D91">
        <f>[3]gpt4omini_single_100!L90</f>
        <v>0.59272100000000005</v>
      </c>
      <c r="E91">
        <f>[4]gpt4omini_single_100!L90</f>
        <v>-0.61096099999999998</v>
      </c>
      <c r="M91">
        <v>88</v>
      </c>
      <c r="N91">
        <f>[1]gpt4omini_single_100_2!L90</f>
        <v>-1.1125849999999999</v>
      </c>
      <c r="O91">
        <f>[2]gpt4omini_single_100_2!L90</f>
        <v>-0.739228</v>
      </c>
      <c r="P91">
        <f>[3]gpt4omini_single_100_2!L90</f>
        <v>-0.68435599999999996</v>
      </c>
      <c r="Q91">
        <f>[4]gpt4omini_single_100_2!L90</f>
        <v>-1.0558529999999999</v>
      </c>
    </row>
    <row r="92" spans="1:17" x14ac:dyDescent="0.2">
      <c r="A92">
        <v>89</v>
      </c>
      <c r="B92">
        <f>[1]gpt4omini_single_100!L91</f>
        <v>-0.57799599999999995</v>
      </c>
      <c r="C92">
        <f>[2]gpt4omini_single_100!L91</f>
        <v>0.249699</v>
      </c>
      <c r="D92">
        <f>[3]gpt4omini_single_100!L91</f>
        <v>0.60869399999999996</v>
      </c>
      <c r="E92">
        <f>[4]gpt4omini_single_100!L91</f>
        <v>-0.61631800000000003</v>
      </c>
      <c r="M92">
        <v>89</v>
      </c>
      <c r="N92">
        <f>[1]gpt4omini_single_100_2!L91</f>
        <v>-1.082875</v>
      </c>
      <c r="O92">
        <f>[2]gpt4omini_single_100_2!L91</f>
        <v>-0.75831599999999999</v>
      </c>
      <c r="P92">
        <f>[3]gpt4omini_single_100_2!L91</f>
        <v>-0.63835900000000001</v>
      </c>
      <c r="Q92">
        <f>[4]gpt4omini_single_100_2!L91</f>
        <v>-1.075483</v>
      </c>
    </row>
    <row r="93" spans="1:17" x14ac:dyDescent="0.2">
      <c r="A93">
        <v>90</v>
      </c>
      <c r="B93">
        <f>[1]gpt4omini_single_100!L92</f>
        <v>-0.57972699999999999</v>
      </c>
      <c r="C93">
        <f>[2]gpt4omini_single_100!L92</f>
        <v>0.22913600000000001</v>
      </c>
      <c r="D93">
        <f>[3]gpt4omini_single_100!L92</f>
        <v>0.61405500000000002</v>
      </c>
      <c r="E93">
        <f>[4]gpt4omini_single_100!L92</f>
        <v>-0.62262099999999998</v>
      </c>
      <c r="M93">
        <v>90</v>
      </c>
      <c r="N93">
        <f>[1]gpt4omini_single_100_2!L92</f>
        <v>-1.0928629999999999</v>
      </c>
      <c r="O93">
        <f>[2]gpt4omini_single_100_2!L92</f>
        <v>-0.77681599999999995</v>
      </c>
      <c r="P93">
        <f>[3]gpt4omini_single_100_2!L92</f>
        <v>-0.66914099999999999</v>
      </c>
      <c r="Q93">
        <f>[4]gpt4omini_single_100_2!L92</f>
        <v>-1.0898969999999999</v>
      </c>
    </row>
    <row r="94" spans="1:17" x14ac:dyDescent="0.2">
      <c r="A94">
        <v>91</v>
      </c>
      <c r="B94">
        <f>[1]gpt4omini_single_100!L93</f>
        <v>-0.60439900000000002</v>
      </c>
      <c r="C94">
        <f>[2]gpt4omini_single_100!L93</f>
        <v>0.239506</v>
      </c>
      <c r="D94">
        <f>[3]gpt4omini_single_100!L93</f>
        <v>0.60801499999999997</v>
      </c>
      <c r="E94">
        <f>[4]gpt4omini_single_100!L93</f>
        <v>-0.64354500000000003</v>
      </c>
      <c r="M94">
        <v>91</v>
      </c>
      <c r="N94">
        <f>[1]gpt4omini_single_100_2!L93</f>
        <v>-1.126217</v>
      </c>
      <c r="O94">
        <f>[2]gpt4omini_single_100_2!L93</f>
        <v>-0.78801100000000002</v>
      </c>
      <c r="P94">
        <f>[3]gpt4omini_single_100_2!L93</f>
        <v>-0.69115499999999996</v>
      </c>
      <c r="Q94">
        <f>[4]gpt4omini_single_100_2!L93</f>
        <v>-1.080894</v>
      </c>
    </row>
    <row r="95" spans="1:17" x14ac:dyDescent="0.2">
      <c r="A95">
        <v>92</v>
      </c>
      <c r="B95">
        <f>[1]gpt4omini_single_100!L94</f>
        <v>-0.60814299999999999</v>
      </c>
      <c r="C95">
        <f>[2]gpt4omini_single_100!L94</f>
        <v>0.23149600000000001</v>
      </c>
      <c r="D95">
        <f>[3]gpt4omini_single_100!L94</f>
        <v>0.61709800000000004</v>
      </c>
      <c r="E95">
        <f>[4]gpt4omini_single_100!L94</f>
        <v>-0.64471800000000001</v>
      </c>
      <c r="M95">
        <v>92</v>
      </c>
      <c r="N95">
        <f>[1]gpt4omini_single_100_2!L94</f>
        <v>-1.139559</v>
      </c>
      <c r="O95">
        <f>[2]gpt4omini_single_100_2!L94</f>
        <v>-0.79188599999999998</v>
      </c>
      <c r="P95">
        <f>[3]gpt4omini_single_100_2!L94</f>
        <v>-0.70630800000000005</v>
      </c>
      <c r="Q95">
        <f>[4]gpt4omini_single_100_2!L94</f>
        <v>-1.0838540000000001</v>
      </c>
    </row>
    <row r="96" spans="1:17" x14ac:dyDescent="0.2">
      <c r="A96">
        <v>93</v>
      </c>
      <c r="B96">
        <f>[1]gpt4omini_single_100!L95</f>
        <v>-0.61302999999999996</v>
      </c>
      <c r="C96">
        <f>[2]gpt4omini_single_100!L95</f>
        <v>0.24496899999999999</v>
      </c>
      <c r="D96">
        <f>[3]gpt4omini_single_100!L95</f>
        <v>0.62547600000000003</v>
      </c>
      <c r="E96">
        <f>[4]gpt4omini_single_100!L95</f>
        <v>-0.63893299999999997</v>
      </c>
      <c r="M96">
        <v>93</v>
      </c>
      <c r="N96">
        <f>[1]gpt4omini_single_100_2!L95</f>
        <v>-1.144188</v>
      </c>
      <c r="O96">
        <f>[2]gpt4omini_single_100_2!L95</f>
        <v>-0.77707000000000004</v>
      </c>
      <c r="P96">
        <f>[3]gpt4omini_single_100_2!L95</f>
        <v>-0.69347999999999999</v>
      </c>
      <c r="Q96">
        <f>[4]gpt4omini_single_100_2!L95</f>
        <v>-1.0585370000000001</v>
      </c>
    </row>
    <row r="97" spans="1:17" x14ac:dyDescent="0.2">
      <c r="A97">
        <v>94</v>
      </c>
      <c r="B97">
        <f>[1]gpt4omini_single_100!L96</f>
        <v>-0.61558999999999997</v>
      </c>
      <c r="C97">
        <f>[2]gpt4omini_single_100!L96</f>
        <v>0.24191799999999999</v>
      </c>
      <c r="D97">
        <f>[3]gpt4omini_single_100!L96</f>
        <v>0.61411700000000002</v>
      </c>
      <c r="E97">
        <f>[4]gpt4omini_single_100!L96</f>
        <v>-0.65803400000000001</v>
      </c>
      <c r="M97">
        <v>94</v>
      </c>
      <c r="N97">
        <f>[1]gpt4omini_single_100_2!L96</f>
        <v>-1.149017</v>
      </c>
      <c r="O97">
        <f>[2]gpt4omini_single_100_2!L96</f>
        <v>-0.80386800000000003</v>
      </c>
      <c r="P97">
        <f>[3]gpt4omini_single_100_2!L96</f>
        <v>-0.71768600000000005</v>
      </c>
      <c r="Q97">
        <f>[4]gpt4omini_single_100_2!L96</f>
        <v>-1.085081</v>
      </c>
    </row>
    <row r="98" spans="1:17" x14ac:dyDescent="0.2">
      <c r="A98">
        <v>95</v>
      </c>
      <c r="B98">
        <f>[1]gpt4omini_single_100!L97</f>
        <v>-0.624054</v>
      </c>
      <c r="C98">
        <f>[2]gpt4omini_single_100!L97</f>
        <v>0.23647299999999999</v>
      </c>
      <c r="D98">
        <f>[3]gpt4omini_single_100!L97</f>
        <v>0.640463</v>
      </c>
      <c r="E98">
        <f>[4]gpt4omini_single_100!L97</f>
        <v>-0.65356099999999995</v>
      </c>
      <c r="M98">
        <v>95</v>
      </c>
      <c r="N98">
        <f>[1]gpt4omini_single_100_2!L97</f>
        <v>-1.162102</v>
      </c>
      <c r="O98">
        <f>[2]gpt4omini_single_100_2!L97</f>
        <v>-0.80167900000000003</v>
      </c>
      <c r="P98">
        <f>[3]gpt4omini_single_100_2!L97</f>
        <v>-0.74484899999999998</v>
      </c>
      <c r="Q98">
        <f>[4]gpt4omini_single_100_2!L97</f>
        <v>-1.078031</v>
      </c>
    </row>
    <row r="99" spans="1:17" x14ac:dyDescent="0.2">
      <c r="A99">
        <v>96</v>
      </c>
      <c r="B99">
        <f>[1]gpt4omini_single_100!L98</f>
        <v>-0.62823899999999999</v>
      </c>
      <c r="C99">
        <f>[2]gpt4omini_single_100!L98</f>
        <v>0.23425099999999999</v>
      </c>
      <c r="D99">
        <f>[3]gpt4omini_single_100!L98</f>
        <v>0.62914199999999998</v>
      </c>
      <c r="E99">
        <f>[4]gpt4omini_single_100!L98</f>
        <v>-0.65806399999999998</v>
      </c>
      <c r="M99">
        <v>96</v>
      </c>
      <c r="N99">
        <f>[1]gpt4omini_single_100_2!L98</f>
        <v>-1.177997</v>
      </c>
      <c r="O99">
        <f>[2]gpt4omini_single_100_2!L98</f>
        <v>-0.81172500000000003</v>
      </c>
      <c r="P99">
        <f>[3]gpt4omini_single_100_2!L98</f>
        <v>-0.73404000000000003</v>
      </c>
      <c r="Q99">
        <f>[4]gpt4omini_single_100_2!L98</f>
        <v>-1.093186</v>
      </c>
    </row>
    <row r="100" spans="1:17" x14ac:dyDescent="0.2">
      <c r="A100">
        <v>97</v>
      </c>
      <c r="B100">
        <f>[1]gpt4omini_single_100!L99</f>
        <v>-0.63127</v>
      </c>
      <c r="C100">
        <f>[2]gpt4omini_single_100!L99</f>
        <v>0.23454900000000001</v>
      </c>
      <c r="D100">
        <f>[3]gpt4omini_single_100!L99</f>
        <v>0.66372799999999998</v>
      </c>
      <c r="E100">
        <f>[4]gpt4omini_single_100!L99</f>
        <v>-0.65870499999999998</v>
      </c>
      <c r="M100">
        <v>97</v>
      </c>
      <c r="N100">
        <f>[1]gpt4omini_single_100_2!L99</f>
        <v>-1.180947</v>
      </c>
      <c r="O100">
        <f>[2]gpt4omini_single_100_2!L99</f>
        <v>-0.81866300000000003</v>
      </c>
      <c r="P100">
        <f>[3]gpt4omini_single_100_2!L99</f>
        <v>-0.76424700000000001</v>
      </c>
      <c r="Q100">
        <f>[4]gpt4omini_single_100_2!L99</f>
        <v>-1.1125659999999999</v>
      </c>
    </row>
    <row r="101" spans="1:17" x14ac:dyDescent="0.2">
      <c r="A101">
        <v>98</v>
      </c>
      <c r="B101">
        <f>[1]gpt4omini_single_100!L100</f>
        <v>-0.63309499999999996</v>
      </c>
      <c r="C101">
        <f>[2]gpt4omini_single_100!L100</f>
        <v>0.223972</v>
      </c>
      <c r="D101">
        <f>[3]gpt4omini_single_100!L100</f>
        <v>0.65401399999999998</v>
      </c>
      <c r="E101">
        <f>[4]gpt4omini_single_100!L100</f>
        <v>-0.65953200000000001</v>
      </c>
      <c r="M101">
        <v>98</v>
      </c>
      <c r="N101">
        <f>[1]gpt4omini_single_100_2!L100</f>
        <v>-1.168293</v>
      </c>
      <c r="O101">
        <f>[2]gpt4omini_single_100_2!L100</f>
        <v>-0.82408499999999996</v>
      </c>
      <c r="P101">
        <f>[3]gpt4omini_single_100_2!L100</f>
        <v>-0.78142800000000001</v>
      </c>
      <c r="Q101">
        <f>[4]gpt4omini_single_100_2!L100</f>
        <v>-1.0953489999999999</v>
      </c>
    </row>
    <row r="102" spans="1:17" x14ac:dyDescent="0.2">
      <c r="A102">
        <v>99</v>
      </c>
      <c r="B102">
        <f>[1]gpt4omini_single_100!L101</f>
        <v>-0.63656599999999997</v>
      </c>
      <c r="C102">
        <f>[2]gpt4omini_single_100!L101</f>
        <v>0.23002900000000001</v>
      </c>
      <c r="D102">
        <f>[3]gpt4omini_single_100!L101</f>
        <v>0.67313599999999996</v>
      </c>
      <c r="E102">
        <f>[4]gpt4omini_single_100!L101</f>
        <v>-0.66933799999999999</v>
      </c>
      <c r="M102">
        <v>99</v>
      </c>
      <c r="N102">
        <f>[1]gpt4omini_single_100_2!L101</f>
        <v>-1.188823</v>
      </c>
      <c r="O102">
        <f>[2]gpt4omini_single_100_2!L101</f>
        <v>-0.83884199999999998</v>
      </c>
      <c r="P102">
        <f>[3]gpt4omini_single_100_2!L101</f>
        <v>-0.80385799999999996</v>
      </c>
      <c r="Q102">
        <f>[4]gpt4omini_single_100_2!L101</f>
        <v>-1.1221289999999999</v>
      </c>
    </row>
    <row r="103" spans="1:17" x14ac:dyDescent="0.2">
      <c r="A103">
        <v>100</v>
      </c>
      <c r="B103">
        <f>[1]gpt4omini_single_100!L102</f>
        <v>-0.63621700000000003</v>
      </c>
      <c r="C103">
        <f>[2]gpt4omini_single_100!L102</f>
        <v>0.21617</v>
      </c>
      <c r="D103">
        <f>[3]gpt4omini_single_100!L102</f>
        <v>0.64480199999999999</v>
      </c>
      <c r="E103">
        <f>[4]gpt4omini_single_100!L102</f>
        <v>-0.65888199999999997</v>
      </c>
      <c r="M103">
        <v>100</v>
      </c>
      <c r="N103">
        <f>[1]gpt4omini_single_100_2!L102</f>
        <v>-1.1682490000000001</v>
      </c>
      <c r="O103">
        <f>[2]gpt4omini_single_100_2!L102</f>
        <v>-0.82979400000000003</v>
      </c>
      <c r="P103">
        <f>[3]gpt4omini_single_100_2!L102</f>
        <v>-0.80690899999999999</v>
      </c>
      <c r="Q103">
        <f>[4]gpt4omini_single_100_2!L102</f>
        <v>-1.104663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Delta Trends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Gianluca Di Paola</cp:lastModifiedBy>
  <dcterms:created xsi:type="dcterms:W3CDTF">2026-04-27T17:11:35Z</dcterms:created>
  <dcterms:modified xsi:type="dcterms:W3CDTF">2026-04-28T18:11:31Z</dcterms:modified>
</cp:coreProperties>
</file>