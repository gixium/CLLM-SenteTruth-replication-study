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ml.chartshapes+xml"/>
  <Override PartName="/xl/charts/chart1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xium/Repos/CLLM-SenteTruth-replication-study/results/"/>
    </mc:Choice>
  </mc:AlternateContent>
  <xr:revisionPtr revIDLastSave="0" documentId="13_ncr:1_{75A04C78-029E-EB4B-8C5A-30B71AA705AE}" xr6:coauthVersionLast="47" xr6:coauthVersionMax="47" xr10:uidLastSave="{00000000-0000-0000-0000-000000000000}"/>
  <bookViews>
    <workbookView xWindow="-4500" yWindow="-21000" windowWidth="38400" windowHeight="21000" xr2:uid="{00000000-000D-0000-FFFF-FFFF00000000}"/>
  </bookViews>
  <sheets>
    <sheet name="charts" sheetId="9" r:id="rId1"/>
    <sheet name="gpt_metrics" sheetId="1" r:id="rId2"/>
    <sheet name="gpt_delta-trend" sheetId="2" r:id="rId3"/>
    <sheet name="gemini_metrics" sheetId="7" r:id="rId4"/>
    <sheet name="gemini_delta-trend" sheetId="8" r:id="rId5"/>
    <sheet name="deepseek-chat_metrics" sheetId="10" r:id="rId6"/>
    <sheet name="deepseek-chat_delta-trend" sheetId="11" r:id="rId7"/>
    <sheet name="deepseek-reasoner_metrics" sheetId="12" r:id="rId8"/>
    <sheet name="deepseek-reasoner_delta-trend" sheetId="1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3" i="13" l="1"/>
  <c r="P103" i="13"/>
  <c r="O103" i="13"/>
  <c r="N103" i="13"/>
  <c r="F103" i="13"/>
  <c r="D103" i="13"/>
  <c r="C103" i="13"/>
  <c r="B103" i="13"/>
  <c r="R102" i="13"/>
  <c r="P102" i="13"/>
  <c r="O102" i="13"/>
  <c r="N102" i="13"/>
  <c r="F102" i="13"/>
  <c r="D102" i="13"/>
  <c r="C102" i="13"/>
  <c r="B102" i="13"/>
  <c r="R101" i="13"/>
  <c r="P101" i="13"/>
  <c r="O101" i="13"/>
  <c r="N101" i="13"/>
  <c r="F101" i="13"/>
  <c r="D101" i="13"/>
  <c r="C101" i="13"/>
  <c r="B101" i="13"/>
  <c r="R100" i="13"/>
  <c r="P100" i="13"/>
  <c r="O100" i="13"/>
  <c r="N100" i="13"/>
  <c r="F100" i="13"/>
  <c r="D100" i="13"/>
  <c r="C100" i="13"/>
  <c r="B100" i="13"/>
  <c r="R99" i="13"/>
  <c r="P99" i="13"/>
  <c r="O99" i="13"/>
  <c r="N99" i="13"/>
  <c r="F99" i="13"/>
  <c r="D99" i="13"/>
  <c r="C99" i="13"/>
  <c r="B99" i="13"/>
  <c r="R98" i="13"/>
  <c r="P98" i="13"/>
  <c r="O98" i="13"/>
  <c r="N98" i="13"/>
  <c r="F98" i="13"/>
  <c r="D98" i="13"/>
  <c r="C98" i="13"/>
  <c r="B98" i="13"/>
  <c r="R97" i="13"/>
  <c r="P97" i="13"/>
  <c r="O97" i="13"/>
  <c r="N97" i="13"/>
  <c r="F97" i="13"/>
  <c r="D97" i="13"/>
  <c r="C97" i="13"/>
  <c r="B97" i="13"/>
  <c r="R96" i="13"/>
  <c r="P96" i="13"/>
  <c r="O96" i="13"/>
  <c r="N96" i="13"/>
  <c r="F96" i="13"/>
  <c r="D96" i="13"/>
  <c r="C96" i="13"/>
  <c r="B96" i="13"/>
  <c r="R95" i="13"/>
  <c r="P95" i="13"/>
  <c r="O95" i="13"/>
  <c r="N95" i="13"/>
  <c r="F95" i="13"/>
  <c r="D95" i="13"/>
  <c r="C95" i="13"/>
  <c r="B95" i="13"/>
  <c r="R94" i="13"/>
  <c r="P94" i="13"/>
  <c r="O94" i="13"/>
  <c r="N94" i="13"/>
  <c r="F94" i="13"/>
  <c r="D94" i="13"/>
  <c r="C94" i="13"/>
  <c r="B94" i="13"/>
  <c r="R93" i="13"/>
  <c r="P93" i="13"/>
  <c r="O93" i="13"/>
  <c r="N93" i="13"/>
  <c r="F93" i="13"/>
  <c r="D93" i="13"/>
  <c r="C93" i="13"/>
  <c r="B93" i="13"/>
  <c r="R92" i="13"/>
  <c r="P92" i="13"/>
  <c r="O92" i="13"/>
  <c r="N92" i="13"/>
  <c r="F92" i="13"/>
  <c r="D92" i="13"/>
  <c r="C92" i="13"/>
  <c r="B92" i="13"/>
  <c r="R91" i="13"/>
  <c r="P91" i="13"/>
  <c r="O91" i="13"/>
  <c r="N91" i="13"/>
  <c r="F91" i="13"/>
  <c r="D91" i="13"/>
  <c r="C91" i="13"/>
  <c r="B91" i="13"/>
  <c r="R90" i="13"/>
  <c r="P90" i="13"/>
  <c r="O90" i="13"/>
  <c r="N90" i="13"/>
  <c r="F90" i="13"/>
  <c r="D90" i="13"/>
  <c r="C90" i="13"/>
  <c r="B90" i="13"/>
  <c r="R89" i="13"/>
  <c r="P89" i="13"/>
  <c r="O89" i="13"/>
  <c r="N89" i="13"/>
  <c r="F89" i="13"/>
  <c r="D89" i="13"/>
  <c r="C89" i="13"/>
  <c r="B89" i="13"/>
  <c r="R88" i="13"/>
  <c r="P88" i="13"/>
  <c r="O88" i="13"/>
  <c r="N88" i="13"/>
  <c r="F88" i="13"/>
  <c r="D88" i="13"/>
  <c r="C88" i="13"/>
  <c r="B88" i="13"/>
  <c r="R87" i="13"/>
  <c r="P87" i="13"/>
  <c r="O87" i="13"/>
  <c r="N87" i="13"/>
  <c r="F87" i="13"/>
  <c r="D87" i="13"/>
  <c r="C87" i="13"/>
  <c r="B87" i="13"/>
  <c r="R86" i="13"/>
  <c r="P86" i="13"/>
  <c r="O86" i="13"/>
  <c r="N86" i="13"/>
  <c r="F86" i="13"/>
  <c r="D86" i="13"/>
  <c r="C86" i="13"/>
  <c r="B86" i="13"/>
  <c r="R85" i="13"/>
  <c r="P85" i="13"/>
  <c r="O85" i="13"/>
  <c r="N85" i="13"/>
  <c r="F85" i="13"/>
  <c r="D85" i="13"/>
  <c r="C85" i="13"/>
  <c r="B85" i="13"/>
  <c r="R84" i="13"/>
  <c r="P84" i="13"/>
  <c r="O84" i="13"/>
  <c r="N84" i="13"/>
  <c r="F84" i="13"/>
  <c r="D84" i="13"/>
  <c r="C84" i="13"/>
  <c r="B84" i="13"/>
  <c r="R83" i="13"/>
  <c r="P83" i="13"/>
  <c r="O83" i="13"/>
  <c r="N83" i="13"/>
  <c r="F83" i="13"/>
  <c r="D83" i="13"/>
  <c r="C83" i="13"/>
  <c r="B83" i="13"/>
  <c r="R82" i="13"/>
  <c r="P82" i="13"/>
  <c r="O82" i="13"/>
  <c r="N82" i="13"/>
  <c r="F82" i="13"/>
  <c r="D82" i="13"/>
  <c r="C82" i="13"/>
  <c r="B82" i="13"/>
  <c r="R81" i="13"/>
  <c r="P81" i="13"/>
  <c r="O81" i="13"/>
  <c r="N81" i="13"/>
  <c r="F81" i="13"/>
  <c r="D81" i="13"/>
  <c r="C81" i="13"/>
  <c r="B81" i="13"/>
  <c r="R80" i="13"/>
  <c r="P80" i="13"/>
  <c r="O80" i="13"/>
  <c r="N80" i="13"/>
  <c r="F80" i="13"/>
  <c r="D80" i="13"/>
  <c r="C80" i="13"/>
  <c r="B80" i="13"/>
  <c r="R79" i="13"/>
  <c r="P79" i="13"/>
  <c r="O79" i="13"/>
  <c r="N79" i="13"/>
  <c r="F79" i="13"/>
  <c r="D79" i="13"/>
  <c r="C79" i="13"/>
  <c r="B79" i="13"/>
  <c r="R78" i="13"/>
  <c r="P78" i="13"/>
  <c r="O78" i="13"/>
  <c r="N78" i="13"/>
  <c r="F78" i="13"/>
  <c r="D78" i="13"/>
  <c r="C78" i="13"/>
  <c r="B78" i="13"/>
  <c r="R77" i="13"/>
  <c r="P77" i="13"/>
  <c r="O77" i="13"/>
  <c r="N77" i="13"/>
  <c r="F77" i="13"/>
  <c r="D77" i="13"/>
  <c r="C77" i="13"/>
  <c r="B77" i="13"/>
  <c r="R76" i="13"/>
  <c r="P76" i="13"/>
  <c r="O76" i="13"/>
  <c r="N76" i="13"/>
  <c r="F76" i="13"/>
  <c r="D76" i="13"/>
  <c r="C76" i="13"/>
  <c r="B76" i="13"/>
  <c r="R75" i="13"/>
  <c r="P75" i="13"/>
  <c r="O75" i="13"/>
  <c r="N75" i="13"/>
  <c r="F75" i="13"/>
  <c r="D75" i="13"/>
  <c r="C75" i="13"/>
  <c r="B75" i="13"/>
  <c r="R74" i="13"/>
  <c r="P74" i="13"/>
  <c r="O74" i="13"/>
  <c r="N74" i="13"/>
  <c r="F74" i="13"/>
  <c r="D74" i="13"/>
  <c r="C74" i="13"/>
  <c r="B74" i="13"/>
  <c r="R73" i="13"/>
  <c r="P73" i="13"/>
  <c r="O73" i="13"/>
  <c r="N73" i="13"/>
  <c r="F73" i="13"/>
  <c r="D73" i="13"/>
  <c r="C73" i="13"/>
  <c r="B73" i="13"/>
  <c r="R72" i="13"/>
  <c r="P72" i="13"/>
  <c r="O72" i="13"/>
  <c r="N72" i="13"/>
  <c r="F72" i="13"/>
  <c r="D72" i="13"/>
  <c r="C72" i="13"/>
  <c r="B72" i="13"/>
  <c r="R71" i="13"/>
  <c r="P71" i="13"/>
  <c r="O71" i="13"/>
  <c r="N71" i="13"/>
  <c r="F71" i="13"/>
  <c r="D71" i="13"/>
  <c r="C71" i="13"/>
  <c r="B71" i="13"/>
  <c r="R70" i="13"/>
  <c r="P70" i="13"/>
  <c r="O70" i="13"/>
  <c r="N70" i="13"/>
  <c r="F70" i="13"/>
  <c r="D70" i="13"/>
  <c r="C70" i="13"/>
  <c r="B70" i="13"/>
  <c r="R69" i="13"/>
  <c r="P69" i="13"/>
  <c r="O69" i="13"/>
  <c r="N69" i="13"/>
  <c r="F69" i="13"/>
  <c r="D69" i="13"/>
  <c r="C69" i="13"/>
  <c r="B69" i="13"/>
  <c r="R68" i="13"/>
  <c r="P68" i="13"/>
  <c r="O68" i="13"/>
  <c r="N68" i="13"/>
  <c r="F68" i="13"/>
  <c r="D68" i="13"/>
  <c r="C68" i="13"/>
  <c r="B68" i="13"/>
  <c r="R67" i="13"/>
  <c r="P67" i="13"/>
  <c r="O67" i="13"/>
  <c r="N67" i="13"/>
  <c r="F67" i="13"/>
  <c r="D67" i="13"/>
  <c r="C67" i="13"/>
  <c r="B67" i="13"/>
  <c r="R66" i="13"/>
  <c r="P66" i="13"/>
  <c r="O66" i="13"/>
  <c r="N66" i="13"/>
  <c r="F66" i="13"/>
  <c r="D66" i="13"/>
  <c r="C66" i="13"/>
  <c r="B66" i="13"/>
  <c r="R65" i="13"/>
  <c r="P65" i="13"/>
  <c r="O65" i="13"/>
  <c r="N65" i="13"/>
  <c r="F65" i="13"/>
  <c r="D65" i="13"/>
  <c r="C65" i="13"/>
  <c r="B65" i="13"/>
  <c r="R64" i="13"/>
  <c r="P64" i="13"/>
  <c r="O64" i="13"/>
  <c r="N64" i="13"/>
  <c r="F64" i="13"/>
  <c r="D64" i="13"/>
  <c r="C64" i="13"/>
  <c r="B64" i="13"/>
  <c r="X63" i="13"/>
  <c r="V63" i="13"/>
  <c r="U63" i="13"/>
  <c r="T63" i="13"/>
  <c r="R63" i="13"/>
  <c r="P63" i="13"/>
  <c r="O63" i="13"/>
  <c r="N63" i="13"/>
  <c r="L63" i="13"/>
  <c r="J63" i="13"/>
  <c r="I63" i="13"/>
  <c r="H63" i="13"/>
  <c r="F63" i="13"/>
  <c r="D63" i="13"/>
  <c r="C63" i="13"/>
  <c r="B63" i="13"/>
  <c r="X62" i="13"/>
  <c r="V62" i="13"/>
  <c r="U62" i="13"/>
  <c r="T62" i="13"/>
  <c r="R62" i="13"/>
  <c r="P62" i="13"/>
  <c r="O62" i="13"/>
  <c r="N62" i="13"/>
  <c r="L62" i="13"/>
  <c r="J62" i="13"/>
  <c r="I62" i="13"/>
  <c r="H62" i="13"/>
  <c r="F62" i="13"/>
  <c r="D62" i="13"/>
  <c r="C62" i="13"/>
  <c r="B62" i="13"/>
  <c r="X61" i="13"/>
  <c r="V61" i="13"/>
  <c r="U61" i="13"/>
  <c r="T61" i="13"/>
  <c r="R61" i="13"/>
  <c r="P61" i="13"/>
  <c r="O61" i="13"/>
  <c r="N61" i="13"/>
  <c r="L61" i="13"/>
  <c r="J61" i="13"/>
  <c r="I61" i="13"/>
  <c r="H61" i="13"/>
  <c r="F61" i="13"/>
  <c r="D61" i="13"/>
  <c r="C61" i="13"/>
  <c r="B61" i="13"/>
  <c r="X60" i="13"/>
  <c r="V60" i="13"/>
  <c r="U60" i="13"/>
  <c r="T60" i="13"/>
  <c r="R60" i="13"/>
  <c r="P60" i="13"/>
  <c r="O60" i="13"/>
  <c r="N60" i="13"/>
  <c r="L60" i="13"/>
  <c r="J60" i="13"/>
  <c r="I60" i="13"/>
  <c r="H60" i="13"/>
  <c r="F60" i="13"/>
  <c r="D60" i="13"/>
  <c r="C60" i="13"/>
  <c r="B60" i="13"/>
  <c r="X59" i="13"/>
  <c r="V59" i="13"/>
  <c r="U59" i="13"/>
  <c r="T59" i="13"/>
  <c r="R59" i="13"/>
  <c r="P59" i="13"/>
  <c r="O59" i="13"/>
  <c r="N59" i="13"/>
  <c r="L59" i="13"/>
  <c r="J59" i="13"/>
  <c r="I59" i="13"/>
  <c r="H59" i="13"/>
  <c r="F59" i="13"/>
  <c r="D59" i="13"/>
  <c r="C59" i="13"/>
  <c r="B59" i="13"/>
  <c r="X58" i="13"/>
  <c r="V58" i="13"/>
  <c r="U58" i="13"/>
  <c r="T58" i="13"/>
  <c r="R58" i="13"/>
  <c r="P58" i="13"/>
  <c r="O58" i="13"/>
  <c r="N58" i="13"/>
  <c r="L58" i="13"/>
  <c r="J58" i="13"/>
  <c r="I58" i="13"/>
  <c r="H58" i="13"/>
  <c r="F58" i="13"/>
  <c r="D58" i="13"/>
  <c r="C58" i="13"/>
  <c r="B58" i="13"/>
  <c r="X57" i="13"/>
  <c r="V57" i="13"/>
  <c r="U57" i="13"/>
  <c r="T57" i="13"/>
  <c r="R57" i="13"/>
  <c r="P57" i="13"/>
  <c r="O57" i="13"/>
  <c r="N57" i="13"/>
  <c r="L57" i="13"/>
  <c r="J57" i="13"/>
  <c r="I57" i="13"/>
  <c r="H57" i="13"/>
  <c r="F57" i="13"/>
  <c r="D57" i="13"/>
  <c r="C57" i="13"/>
  <c r="B57" i="13"/>
  <c r="X56" i="13"/>
  <c r="V56" i="13"/>
  <c r="U56" i="13"/>
  <c r="T56" i="13"/>
  <c r="R56" i="13"/>
  <c r="P56" i="13"/>
  <c r="O56" i="13"/>
  <c r="N56" i="13"/>
  <c r="L56" i="13"/>
  <c r="J56" i="13"/>
  <c r="I56" i="13"/>
  <c r="H56" i="13"/>
  <c r="F56" i="13"/>
  <c r="D56" i="13"/>
  <c r="C56" i="13"/>
  <c r="B56" i="13"/>
  <c r="X55" i="13"/>
  <c r="V55" i="13"/>
  <c r="U55" i="13"/>
  <c r="T55" i="13"/>
  <c r="R55" i="13"/>
  <c r="P55" i="13"/>
  <c r="O55" i="13"/>
  <c r="N55" i="13"/>
  <c r="L55" i="13"/>
  <c r="J55" i="13"/>
  <c r="I55" i="13"/>
  <c r="H55" i="13"/>
  <c r="F55" i="13"/>
  <c r="D55" i="13"/>
  <c r="C55" i="13"/>
  <c r="B55" i="13"/>
  <c r="X54" i="13"/>
  <c r="V54" i="13"/>
  <c r="U54" i="13"/>
  <c r="T54" i="13"/>
  <c r="R54" i="13"/>
  <c r="P54" i="13"/>
  <c r="O54" i="13"/>
  <c r="N54" i="13"/>
  <c r="L54" i="13"/>
  <c r="J54" i="13"/>
  <c r="I54" i="13"/>
  <c r="H54" i="13"/>
  <c r="F54" i="13"/>
  <c r="D54" i="13"/>
  <c r="C54" i="13"/>
  <c r="B54" i="13"/>
  <c r="X53" i="13"/>
  <c r="V53" i="13"/>
  <c r="U53" i="13"/>
  <c r="T53" i="13"/>
  <c r="R53" i="13"/>
  <c r="P53" i="13"/>
  <c r="O53" i="13"/>
  <c r="N53" i="13"/>
  <c r="L53" i="13"/>
  <c r="J53" i="13"/>
  <c r="I53" i="13"/>
  <c r="H53" i="13"/>
  <c r="F53" i="13"/>
  <c r="D53" i="13"/>
  <c r="C53" i="13"/>
  <c r="B53" i="13"/>
  <c r="X52" i="13"/>
  <c r="V52" i="13"/>
  <c r="U52" i="13"/>
  <c r="T52" i="13"/>
  <c r="R52" i="13"/>
  <c r="P52" i="13"/>
  <c r="O52" i="13"/>
  <c r="N52" i="13"/>
  <c r="L52" i="13"/>
  <c r="J52" i="13"/>
  <c r="I52" i="13"/>
  <c r="H52" i="13"/>
  <c r="F52" i="13"/>
  <c r="D52" i="13"/>
  <c r="C52" i="13"/>
  <c r="B52" i="13"/>
  <c r="X51" i="13"/>
  <c r="V51" i="13"/>
  <c r="U51" i="13"/>
  <c r="T51" i="13"/>
  <c r="R51" i="13"/>
  <c r="P51" i="13"/>
  <c r="O51" i="13"/>
  <c r="N51" i="13"/>
  <c r="L51" i="13"/>
  <c r="J51" i="13"/>
  <c r="I51" i="13"/>
  <c r="H51" i="13"/>
  <c r="F51" i="13"/>
  <c r="D51" i="13"/>
  <c r="C51" i="13"/>
  <c r="B51" i="13"/>
  <c r="X50" i="13"/>
  <c r="V50" i="13"/>
  <c r="U50" i="13"/>
  <c r="T50" i="13"/>
  <c r="R50" i="13"/>
  <c r="P50" i="13"/>
  <c r="O50" i="13"/>
  <c r="N50" i="13"/>
  <c r="L50" i="13"/>
  <c r="J50" i="13"/>
  <c r="I50" i="13"/>
  <c r="H50" i="13"/>
  <c r="F50" i="13"/>
  <c r="D50" i="13"/>
  <c r="C50" i="13"/>
  <c r="B50" i="13"/>
  <c r="X49" i="13"/>
  <c r="V49" i="13"/>
  <c r="U49" i="13"/>
  <c r="T49" i="13"/>
  <c r="R49" i="13"/>
  <c r="P49" i="13"/>
  <c r="O49" i="13"/>
  <c r="N49" i="13"/>
  <c r="L49" i="13"/>
  <c r="J49" i="13"/>
  <c r="I49" i="13"/>
  <c r="H49" i="13"/>
  <c r="F49" i="13"/>
  <c r="D49" i="13"/>
  <c r="C49" i="13"/>
  <c r="B49" i="13"/>
  <c r="X48" i="13"/>
  <c r="V48" i="13"/>
  <c r="U48" i="13"/>
  <c r="T48" i="13"/>
  <c r="R48" i="13"/>
  <c r="P48" i="13"/>
  <c r="O48" i="13"/>
  <c r="N48" i="13"/>
  <c r="L48" i="13"/>
  <c r="J48" i="13"/>
  <c r="I48" i="13"/>
  <c r="H48" i="13"/>
  <c r="F48" i="13"/>
  <c r="D48" i="13"/>
  <c r="C48" i="13"/>
  <c r="B48" i="13"/>
  <c r="X47" i="13"/>
  <c r="V47" i="13"/>
  <c r="U47" i="13"/>
  <c r="T47" i="13"/>
  <c r="R47" i="13"/>
  <c r="P47" i="13"/>
  <c r="O47" i="13"/>
  <c r="N47" i="13"/>
  <c r="L47" i="13"/>
  <c r="J47" i="13"/>
  <c r="I47" i="13"/>
  <c r="H47" i="13"/>
  <c r="F47" i="13"/>
  <c r="D47" i="13"/>
  <c r="C47" i="13"/>
  <c r="B47" i="13"/>
  <c r="X46" i="13"/>
  <c r="V46" i="13"/>
  <c r="U46" i="13"/>
  <c r="T46" i="13"/>
  <c r="R46" i="13"/>
  <c r="P46" i="13"/>
  <c r="O46" i="13"/>
  <c r="N46" i="13"/>
  <c r="L46" i="13"/>
  <c r="J46" i="13"/>
  <c r="I46" i="13"/>
  <c r="H46" i="13"/>
  <c r="F46" i="13"/>
  <c r="D46" i="13"/>
  <c r="C46" i="13"/>
  <c r="B46" i="13"/>
  <c r="X45" i="13"/>
  <c r="V45" i="13"/>
  <c r="U45" i="13"/>
  <c r="T45" i="13"/>
  <c r="R45" i="13"/>
  <c r="P45" i="13"/>
  <c r="O45" i="13"/>
  <c r="N45" i="13"/>
  <c r="L45" i="13"/>
  <c r="J45" i="13"/>
  <c r="I45" i="13"/>
  <c r="H45" i="13"/>
  <c r="F45" i="13"/>
  <c r="D45" i="13"/>
  <c r="C45" i="13"/>
  <c r="B45" i="13"/>
  <c r="X44" i="13"/>
  <c r="V44" i="13"/>
  <c r="U44" i="13"/>
  <c r="T44" i="13"/>
  <c r="R44" i="13"/>
  <c r="P44" i="13"/>
  <c r="O44" i="13"/>
  <c r="N44" i="13"/>
  <c r="L44" i="13"/>
  <c r="J44" i="13"/>
  <c r="I44" i="13"/>
  <c r="H44" i="13"/>
  <c r="F44" i="13"/>
  <c r="D44" i="13"/>
  <c r="C44" i="13"/>
  <c r="B44" i="13"/>
  <c r="X43" i="13"/>
  <c r="V43" i="13"/>
  <c r="U43" i="13"/>
  <c r="T43" i="13"/>
  <c r="R43" i="13"/>
  <c r="P43" i="13"/>
  <c r="O43" i="13"/>
  <c r="N43" i="13"/>
  <c r="L43" i="13"/>
  <c r="J43" i="13"/>
  <c r="I43" i="13"/>
  <c r="H43" i="13"/>
  <c r="F43" i="13"/>
  <c r="D43" i="13"/>
  <c r="C43" i="13"/>
  <c r="B43" i="13"/>
  <c r="X42" i="13"/>
  <c r="V42" i="13"/>
  <c r="U42" i="13"/>
  <c r="T42" i="13"/>
  <c r="R42" i="13"/>
  <c r="P42" i="13"/>
  <c r="O42" i="13"/>
  <c r="N42" i="13"/>
  <c r="L42" i="13"/>
  <c r="J42" i="13"/>
  <c r="I42" i="13"/>
  <c r="H42" i="13"/>
  <c r="F42" i="13"/>
  <c r="D42" i="13"/>
  <c r="C42" i="13"/>
  <c r="B42" i="13"/>
  <c r="X41" i="13"/>
  <c r="V41" i="13"/>
  <c r="U41" i="13"/>
  <c r="T41" i="13"/>
  <c r="R41" i="13"/>
  <c r="P41" i="13"/>
  <c r="O41" i="13"/>
  <c r="N41" i="13"/>
  <c r="L41" i="13"/>
  <c r="J41" i="13"/>
  <c r="I41" i="13"/>
  <c r="H41" i="13"/>
  <c r="F41" i="13"/>
  <c r="D41" i="13"/>
  <c r="C41" i="13"/>
  <c r="B41" i="13"/>
  <c r="X40" i="13"/>
  <c r="V40" i="13"/>
  <c r="U40" i="13"/>
  <c r="T40" i="13"/>
  <c r="R40" i="13"/>
  <c r="P40" i="13"/>
  <c r="O40" i="13"/>
  <c r="N40" i="13"/>
  <c r="L40" i="13"/>
  <c r="J40" i="13"/>
  <c r="I40" i="13"/>
  <c r="H40" i="13"/>
  <c r="F40" i="13"/>
  <c r="D40" i="13"/>
  <c r="C40" i="13"/>
  <c r="B40" i="13"/>
  <c r="X39" i="13"/>
  <c r="V39" i="13"/>
  <c r="U39" i="13"/>
  <c r="T39" i="13"/>
  <c r="R39" i="13"/>
  <c r="P39" i="13"/>
  <c r="O39" i="13"/>
  <c r="N39" i="13"/>
  <c r="L39" i="13"/>
  <c r="J39" i="13"/>
  <c r="I39" i="13"/>
  <c r="H39" i="13"/>
  <c r="F39" i="13"/>
  <c r="D39" i="13"/>
  <c r="C39" i="13"/>
  <c r="B39" i="13"/>
  <c r="X38" i="13"/>
  <c r="V38" i="13"/>
  <c r="U38" i="13"/>
  <c r="T38" i="13"/>
  <c r="R38" i="13"/>
  <c r="P38" i="13"/>
  <c r="O38" i="13"/>
  <c r="N38" i="13"/>
  <c r="L38" i="13"/>
  <c r="J38" i="13"/>
  <c r="I38" i="13"/>
  <c r="H38" i="13"/>
  <c r="F38" i="13"/>
  <c r="D38" i="13"/>
  <c r="C38" i="13"/>
  <c r="B38" i="13"/>
  <c r="X37" i="13"/>
  <c r="V37" i="13"/>
  <c r="U37" i="13"/>
  <c r="T37" i="13"/>
  <c r="R37" i="13"/>
  <c r="P37" i="13"/>
  <c r="O37" i="13"/>
  <c r="N37" i="13"/>
  <c r="L37" i="13"/>
  <c r="J37" i="13"/>
  <c r="I37" i="13"/>
  <c r="H37" i="13"/>
  <c r="F37" i="13"/>
  <c r="D37" i="13"/>
  <c r="C37" i="13"/>
  <c r="B37" i="13"/>
  <c r="X36" i="13"/>
  <c r="V36" i="13"/>
  <c r="U36" i="13"/>
  <c r="T36" i="13"/>
  <c r="R36" i="13"/>
  <c r="P36" i="13"/>
  <c r="O36" i="13"/>
  <c r="N36" i="13"/>
  <c r="L36" i="13"/>
  <c r="J36" i="13"/>
  <c r="I36" i="13"/>
  <c r="H36" i="13"/>
  <c r="F36" i="13"/>
  <c r="D36" i="13"/>
  <c r="C36" i="13"/>
  <c r="B36" i="13"/>
  <c r="X35" i="13"/>
  <c r="V35" i="13"/>
  <c r="U35" i="13"/>
  <c r="T35" i="13"/>
  <c r="R35" i="13"/>
  <c r="P35" i="13"/>
  <c r="O35" i="13"/>
  <c r="N35" i="13"/>
  <c r="L35" i="13"/>
  <c r="J35" i="13"/>
  <c r="I35" i="13"/>
  <c r="H35" i="13"/>
  <c r="F35" i="13"/>
  <c r="D35" i="13"/>
  <c r="C35" i="13"/>
  <c r="B35" i="13"/>
  <c r="X34" i="13"/>
  <c r="V34" i="13"/>
  <c r="U34" i="13"/>
  <c r="T34" i="13"/>
  <c r="R34" i="13"/>
  <c r="P34" i="13"/>
  <c r="O34" i="13"/>
  <c r="N34" i="13"/>
  <c r="L34" i="13"/>
  <c r="J34" i="13"/>
  <c r="I34" i="13"/>
  <c r="H34" i="13"/>
  <c r="F34" i="13"/>
  <c r="D34" i="13"/>
  <c r="C34" i="13"/>
  <c r="B34" i="13"/>
  <c r="X33" i="13"/>
  <c r="V33" i="13"/>
  <c r="U33" i="13"/>
  <c r="T33" i="13"/>
  <c r="R33" i="13"/>
  <c r="P33" i="13"/>
  <c r="O33" i="13"/>
  <c r="N33" i="13"/>
  <c r="L33" i="13"/>
  <c r="J33" i="13"/>
  <c r="I33" i="13"/>
  <c r="H33" i="13"/>
  <c r="F33" i="13"/>
  <c r="D33" i="13"/>
  <c r="C33" i="13"/>
  <c r="B33" i="13"/>
  <c r="X32" i="13"/>
  <c r="V32" i="13"/>
  <c r="U32" i="13"/>
  <c r="T32" i="13"/>
  <c r="R32" i="13"/>
  <c r="P32" i="13"/>
  <c r="O32" i="13"/>
  <c r="N32" i="13"/>
  <c r="L32" i="13"/>
  <c r="J32" i="13"/>
  <c r="I32" i="13"/>
  <c r="H32" i="13"/>
  <c r="F32" i="13"/>
  <c r="D32" i="13"/>
  <c r="C32" i="13"/>
  <c r="B32" i="13"/>
  <c r="X31" i="13"/>
  <c r="V31" i="13"/>
  <c r="U31" i="13"/>
  <c r="T31" i="13"/>
  <c r="R31" i="13"/>
  <c r="P31" i="13"/>
  <c r="O31" i="13"/>
  <c r="N31" i="13"/>
  <c r="L31" i="13"/>
  <c r="J31" i="13"/>
  <c r="I31" i="13"/>
  <c r="H31" i="13"/>
  <c r="F31" i="13"/>
  <c r="D31" i="13"/>
  <c r="C31" i="13"/>
  <c r="B31" i="13"/>
  <c r="X30" i="13"/>
  <c r="V30" i="13"/>
  <c r="U30" i="13"/>
  <c r="T30" i="13"/>
  <c r="R30" i="13"/>
  <c r="P30" i="13"/>
  <c r="O30" i="13"/>
  <c r="N30" i="13"/>
  <c r="L30" i="13"/>
  <c r="J30" i="13"/>
  <c r="I30" i="13"/>
  <c r="H30" i="13"/>
  <c r="F30" i="13"/>
  <c r="D30" i="13"/>
  <c r="C30" i="13"/>
  <c r="B30" i="13"/>
  <c r="X29" i="13"/>
  <c r="V29" i="13"/>
  <c r="U29" i="13"/>
  <c r="T29" i="13"/>
  <c r="R29" i="13"/>
  <c r="P29" i="13"/>
  <c r="O29" i="13"/>
  <c r="N29" i="13"/>
  <c r="L29" i="13"/>
  <c r="J29" i="13"/>
  <c r="I29" i="13"/>
  <c r="H29" i="13"/>
  <c r="F29" i="13"/>
  <c r="D29" i="13"/>
  <c r="C29" i="13"/>
  <c r="B29" i="13"/>
  <c r="X28" i="13"/>
  <c r="V28" i="13"/>
  <c r="U28" i="13"/>
  <c r="T28" i="13"/>
  <c r="R28" i="13"/>
  <c r="P28" i="13"/>
  <c r="O28" i="13"/>
  <c r="N28" i="13"/>
  <c r="L28" i="13"/>
  <c r="J28" i="13"/>
  <c r="I28" i="13"/>
  <c r="H28" i="13"/>
  <c r="F28" i="13"/>
  <c r="D28" i="13"/>
  <c r="C28" i="13"/>
  <c r="B28" i="13"/>
  <c r="X27" i="13"/>
  <c r="V27" i="13"/>
  <c r="U27" i="13"/>
  <c r="T27" i="13"/>
  <c r="R27" i="13"/>
  <c r="P27" i="13"/>
  <c r="O27" i="13"/>
  <c r="N27" i="13"/>
  <c r="L27" i="13"/>
  <c r="J27" i="13"/>
  <c r="I27" i="13"/>
  <c r="H27" i="13"/>
  <c r="F27" i="13"/>
  <c r="D27" i="13"/>
  <c r="C27" i="13"/>
  <c r="B27" i="13"/>
  <c r="X26" i="13"/>
  <c r="V26" i="13"/>
  <c r="U26" i="13"/>
  <c r="T26" i="13"/>
  <c r="R26" i="13"/>
  <c r="P26" i="13"/>
  <c r="O26" i="13"/>
  <c r="N26" i="13"/>
  <c r="L26" i="13"/>
  <c r="J26" i="13"/>
  <c r="I26" i="13"/>
  <c r="H26" i="13"/>
  <c r="F26" i="13"/>
  <c r="D26" i="13"/>
  <c r="C26" i="13"/>
  <c r="B26" i="13"/>
  <c r="X25" i="13"/>
  <c r="V25" i="13"/>
  <c r="U25" i="13"/>
  <c r="T25" i="13"/>
  <c r="R25" i="13"/>
  <c r="P25" i="13"/>
  <c r="O25" i="13"/>
  <c r="N25" i="13"/>
  <c r="L25" i="13"/>
  <c r="J25" i="13"/>
  <c r="I25" i="13"/>
  <c r="H25" i="13"/>
  <c r="F25" i="13"/>
  <c r="D25" i="13"/>
  <c r="C25" i="13"/>
  <c r="B25" i="13"/>
  <c r="X24" i="13"/>
  <c r="V24" i="13"/>
  <c r="U24" i="13"/>
  <c r="T24" i="13"/>
  <c r="R24" i="13"/>
  <c r="P24" i="13"/>
  <c r="O24" i="13"/>
  <c r="N24" i="13"/>
  <c r="L24" i="13"/>
  <c r="J24" i="13"/>
  <c r="I24" i="13"/>
  <c r="H24" i="13"/>
  <c r="F24" i="13"/>
  <c r="D24" i="13"/>
  <c r="C24" i="13"/>
  <c r="B24" i="13"/>
  <c r="X23" i="13"/>
  <c r="V23" i="13"/>
  <c r="U23" i="13"/>
  <c r="T23" i="13"/>
  <c r="R23" i="13"/>
  <c r="P23" i="13"/>
  <c r="O23" i="13"/>
  <c r="N23" i="13"/>
  <c r="L23" i="13"/>
  <c r="J23" i="13"/>
  <c r="I23" i="13"/>
  <c r="H23" i="13"/>
  <c r="F23" i="13"/>
  <c r="D23" i="13"/>
  <c r="C23" i="13"/>
  <c r="B23" i="13"/>
  <c r="X22" i="13"/>
  <c r="V22" i="13"/>
  <c r="U22" i="13"/>
  <c r="T22" i="13"/>
  <c r="R22" i="13"/>
  <c r="P22" i="13"/>
  <c r="O22" i="13"/>
  <c r="N22" i="13"/>
  <c r="L22" i="13"/>
  <c r="J22" i="13"/>
  <c r="I22" i="13"/>
  <c r="H22" i="13"/>
  <c r="F22" i="13"/>
  <c r="D22" i="13"/>
  <c r="C22" i="13"/>
  <c r="B22" i="13"/>
  <c r="X21" i="13"/>
  <c r="V21" i="13"/>
  <c r="U21" i="13"/>
  <c r="T21" i="13"/>
  <c r="R21" i="13"/>
  <c r="P21" i="13"/>
  <c r="O21" i="13"/>
  <c r="N21" i="13"/>
  <c r="L21" i="13"/>
  <c r="J21" i="13"/>
  <c r="I21" i="13"/>
  <c r="H21" i="13"/>
  <c r="F21" i="13"/>
  <c r="D21" i="13"/>
  <c r="C21" i="13"/>
  <c r="B21" i="13"/>
  <c r="X20" i="13"/>
  <c r="V20" i="13"/>
  <c r="U20" i="13"/>
  <c r="T20" i="13"/>
  <c r="R20" i="13"/>
  <c r="P20" i="13"/>
  <c r="O20" i="13"/>
  <c r="N20" i="13"/>
  <c r="L20" i="13"/>
  <c r="J20" i="13"/>
  <c r="I20" i="13"/>
  <c r="H20" i="13"/>
  <c r="F20" i="13"/>
  <c r="D20" i="13"/>
  <c r="C20" i="13"/>
  <c r="B20" i="13"/>
  <c r="X19" i="13"/>
  <c r="V19" i="13"/>
  <c r="U19" i="13"/>
  <c r="T19" i="13"/>
  <c r="R19" i="13"/>
  <c r="P19" i="13"/>
  <c r="O19" i="13"/>
  <c r="N19" i="13"/>
  <c r="L19" i="13"/>
  <c r="J19" i="13"/>
  <c r="I19" i="13"/>
  <c r="H19" i="13"/>
  <c r="F19" i="13"/>
  <c r="D19" i="13"/>
  <c r="C19" i="13"/>
  <c r="B19" i="13"/>
  <c r="X18" i="13"/>
  <c r="V18" i="13"/>
  <c r="U18" i="13"/>
  <c r="T18" i="13"/>
  <c r="R18" i="13"/>
  <c r="P18" i="13"/>
  <c r="O18" i="13"/>
  <c r="N18" i="13"/>
  <c r="L18" i="13"/>
  <c r="J18" i="13"/>
  <c r="I18" i="13"/>
  <c r="H18" i="13"/>
  <c r="F18" i="13"/>
  <c r="D18" i="13"/>
  <c r="C18" i="13"/>
  <c r="B18" i="13"/>
  <c r="X17" i="13"/>
  <c r="V17" i="13"/>
  <c r="U17" i="13"/>
  <c r="T17" i="13"/>
  <c r="R17" i="13"/>
  <c r="P17" i="13"/>
  <c r="O17" i="13"/>
  <c r="N17" i="13"/>
  <c r="L17" i="13"/>
  <c r="J17" i="13"/>
  <c r="I17" i="13"/>
  <c r="H17" i="13"/>
  <c r="F17" i="13"/>
  <c r="D17" i="13"/>
  <c r="C17" i="13"/>
  <c r="B17" i="13"/>
  <c r="X16" i="13"/>
  <c r="V16" i="13"/>
  <c r="U16" i="13"/>
  <c r="T16" i="13"/>
  <c r="R16" i="13"/>
  <c r="P16" i="13"/>
  <c r="O16" i="13"/>
  <c r="N16" i="13"/>
  <c r="L16" i="13"/>
  <c r="J16" i="13"/>
  <c r="I16" i="13"/>
  <c r="H16" i="13"/>
  <c r="F16" i="13"/>
  <c r="D16" i="13"/>
  <c r="C16" i="13"/>
  <c r="B16" i="13"/>
  <c r="X15" i="13"/>
  <c r="V15" i="13"/>
  <c r="U15" i="13"/>
  <c r="T15" i="13"/>
  <c r="R15" i="13"/>
  <c r="P15" i="13"/>
  <c r="O15" i="13"/>
  <c r="N15" i="13"/>
  <c r="L15" i="13"/>
  <c r="J15" i="13"/>
  <c r="I15" i="13"/>
  <c r="H15" i="13"/>
  <c r="F15" i="13"/>
  <c r="D15" i="13"/>
  <c r="C15" i="13"/>
  <c r="B15" i="13"/>
  <c r="X14" i="13"/>
  <c r="V14" i="13"/>
  <c r="U14" i="13"/>
  <c r="T14" i="13"/>
  <c r="R14" i="13"/>
  <c r="P14" i="13"/>
  <c r="O14" i="13"/>
  <c r="N14" i="13"/>
  <c r="L14" i="13"/>
  <c r="J14" i="13"/>
  <c r="I14" i="13"/>
  <c r="H14" i="13"/>
  <c r="F14" i="13"/>
  <c r="D14" i="13"/>
  <c r="C14" i="13"/>
  <c r="B14" i="13"/>
  <c r="X13" i="13"/>
  <c r="V13" i="13"/>
  <c r="U13" i="13"/>
  <c r="T13" i="13"/>
  <c r="R13" i="13"/>
  <c r="P13" i="13"/>
  <c r="O13" i="13"/>
  <c r="N13" i="13"/>
  <c r="L13" i="13"/>
  <c r="J13" i="13"/>
  <c r="I13" i="13"/>
  <c r="H13" i="13"/>
  <c r="F13" i="13"/>
  <c r="D13" i="13"/>
  <c r="C13" i="13"/>
  <c r="B13" i="13"/>
  <c r="X12" i="13"/>
  <c r="V12" i="13"/>
  <c r="U12" i="13"/>
  <c r="T12" i="13"/>
  <c r="R12" i="13"/>
  <c r="P12" i="13"/>
  <c r="O12" i="13"/>
  <c r="N12" i="13"/>
  <c r="L12" i="13"/>
  <c r="J12" i="13"/>
  <c r="I12" i="13"/>
  <c r="H12" i="13"/>
  <c r="F12" i="13"/>
  <c r="D12" i="13"/>
  <c r="C12" i="13"/>
  <c r="B12" i="13"/>
  <c r="X11" i="13"/>
  <c r="V11" i="13"/>
  <c r="U11" i="13"/>
  <c r="T11" i="13"/>
  <c r="R11" i="13"/>
  <c r="P11" i="13"/>
  <c r="O11" i="13"/>
  <c r="N11" i="13"/>
  <c r="L11" i="13"/>
  <c r="J11" i="13"/>
  <c r="I11" i="13"/>
  <c r="H11" i="13"/>
  <c r="F11" i="13"/>
  <c r="D11" i="13"/>
  <c r="C11" i="13"/>
  <c r="B11" i="13"/>
  <c r="X10" i="13"/>
  <c r="V10" i="13"/>
  <c r="U10" i="13"/>
  <c r="T10" i="13"/>
  <c r="R10" i="13"/>
  <c r="P10" i="13"/>
  <c r="O10" i="13"/>
  <c r="N10" i="13"/>
  <c r="L10" i="13"/>
  <c r="J10" i="13"/>
  <c r="I10" i="13"/>
  <c r="H10" i="13"/>
  <c r="F10" i="13"/>
  <c r="D10" i="13"/>
  <c r="C10" i="13"/>
  <c r="B10" i="13"/>
  <c r="X9" i="13"/>
  <c r="V9" i="13"/>
  <c r="U9" i="13"/>
  <c r="T9" i="13"/>
  <c r="R9" i="13"/>
  <c r="P9" i="13"/>
  <c r="O9" i="13"/>
  <c r="N9" i="13"/>
  <c r="L9" i="13"/>
  <c r="J9" i="13"/>
  <c r="I9" i="13"/>
  <c r="H9" i="13"/>
  <c r="F9" i="13"/>
  <c r="D9" i="13"/>
  <c r="C9" i="13"/>
  <c r="B9" i="13"/>
  <c r="X8" i="13"/>
  <c r="V8" i="13"/>
  <c r="U8" i="13"/>
  <c r="T8" i="13"/>
  <c r="R8" i="13"/>
  <c r="P8" i="13"/>
  <c r="O8" i="13"/>
  <c r="N8" i="13"/>
  <c r="L8" i="13"/>
  <c r="J8" i="13"/>
  <c r="I8" i="13"/>
  <c r="H8" i="13"/>
  <c r="F8" i="13"/>
  <c r="D8" i="13"/>
  <c r="C8" i="13"/>
  <c r="B8" i="13"/>
  <c r="X7" i="13"/>
  <c r="V7" i="13"/>
  <c r="U7" i="13"/>
  <c r="T7" i="13"/>
  <c r="R7" i="13"/>
  <c r="P7" i="13"/>
  <c r="O7" i="13"/>
  <c r="N7" i="13"/>
  <c r="L7" i="13"/>
  <c r="J7" i="13"/>
  <c r="I7" i="13"/>
  <c r="H7" i="13"/>
  <c r="F7" i="13"/>
  <c r="D7" i="13"/>
  <c r="C7" i="13"/>
  <c r="B7" i="13"/>
  <c r="X6" i="13"/>
  <c r="V6" i="13"/>
  <c r="U6" i="13"/>
  <c r="T6" i="13"/>
  <c r="R6" i="13"/>
  <c r="P6" i="13"/>
  <c r="O6" i="13"/>
  <c r="N6" i="13"/>
  <c r="L6" i="13"/>
  <c r="J6" i="13"/>
  <c r="I6" i="13"/>
  <c r="H6" i="13"/>
  <c r="F6" i="13"/>
  <c r="D6" i="13"/>
  <c r="C6" i="13"/>
  <c r="B6" i="13"/>
  <c r="X5" i="13"/>
  <c r="V5" i="13"/>
  <c r="U5" i="13"/>
  <c r="T5" i="13"/>
  <c r="R5" i="13"/>
  <c r="P5" i="13"/>
  <c r="O5" i="13"/>
  <c r="N5" i="13"/>
  <c r="L5" i="13"/>
  <c r="J5" i="13"/>
  <c r="I5" i="13"/>
  <c r="H5" i="13"/>
  <c r="F5" i="13"/>
  <c r="D5" i="13"/>
  <c r="C5" i="13"/>
  <c r="B5" i="13"/>
  <c r="X4" i="13"/>
  <c r="V4" i="13"/>
  <c r="U4" i="13"/>
  <c r="T4" i="13"/>
  <c r="R4" i="13"/>
  <c r="P4" i="13"/>
  <c r="O4" i="13"/>
  <c r="N4" i="13"/>
  <c r="L4" i="13"/>
  <c r="J4" i="13"/>
  <c r="I4" i="13"/>
  <c r="H4" i="13"/>
  <c r="F4" i="13"/>
  <c r="D4" i="13"/>
  <c r="C4" i="13"/>
  <c r="B4" i="13"/>
  <c r="X3" i="13"/>
  <c r="V3" i="13"/>
  <c r="U3" i="13"/>
  <c r="T3" i="13"/>
  <c r="R3" i="13"/>
  <c r="P3" i="13"/>
  <c r="O3" i="13"/>
  <c r="N3" i="13"/>
  <c r="L3" i="13"/>
  <c r="J3" i="13"/>
  <c r="I3" i="13"/>
  <c r="H3" i="13"/>
  <c r="F3" i="13"/>
  <c r="D3" i="13"/>
  <c r="C3" i="13"/>
  <c r="B3" i="13"/>
  <c r="H21" i="12"/>
  <c r="G21" i="12"/>
  <c r="F21" i="12"/>
  <c r="E21" i="12"/>
  <c r="D21" i="12"/>
  <c r="C21" i="12"/>
  <c r="H19" i="12"/>
  <c r="G19" i="12"/>
  <c r="F19" i="12"/>
  <c r="E19" i="12"/>
  <c r="L38" i="12" s="1"/>
  <c r="D19" i="12"/>
  <c r="C19" i="12"/>
  <c r="H18" i="12"/>
  <c r="G18" i="12"/>
  <c r="F18" i="12"/>
  <c r="E18" i="12"/>
  <c r="K38" i="12" s="1"/>
  <c r="D18" i="12"/>
  <c r="C18" i="12"/>
  <c r="H17" i="12"/>
  <c r="G17" i="12"/>
  <c r="F17" i="12"/>
  <c r="E17" i="12"/>
  <c r="D17" i="12"/>
  <c r="C17" i="12"/>
  <c r="H16" i="12"/>
  <c r="G16" i="12"/>
  <c r="F16" i="12"/>
  <c r="E16" i="12"/>
  <c r="D16" i="12"/>
  <c r="C16" i="12"/>
  <c r="H14" i="12"/>
  <c r="G14" i="12"/>
  <c r="F14" i="12"/>
  <c r="E14" i="12"/>
  <c r="L37" i="12" s="1"/>
  <c r="D14" i="12"/>
  <c r="C14" i="12"/>
  <c r="H13" i="12"/>
  <c r="G13" i="12"/>
  <c r="F13" i="12"/>
  <c r="E13" i="12"/>
  <c r="K37" i="12" s="1"/>
  <c r="D13" i="12"/>
  <c r="C13" i="12"/>
  <c r="H12" i="12"/>
  <c r="G12" i="12"/>
  <c r="F12" i="12"/>
  <c r="E12" i="12"/>
  <c r="J37" i="12" s="1"/>
  <c r="D12" i="12"/>
  <c r="C12" i="12"/>
  <c r="H11" i="12"/>
  <c r="G11" i="12"/>
  <c r="F11" i="12"/>
  <c r="E11" i="12"/>
  <c r="D11" i="12"/>
  <c r="C11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4" i="12"/>
  <c r="G4" i="12"/>
  <c r="F4" i="12"/>
  <c r="E4" i="12"/>
  <c r="D4" i="12"/>
  <c r="C4" i="12"/>
  <c r="H3" i="12"/>
  <c r="G3" i="12"/>
  <c r="F3" i="12"/>
  <c r="E3" i="12"/>
  <c r="D3" i="12"/>
  <c r="C3" i="12"/>
  <c r="H2" i="12"/>
  <c r="G2" i="12"/>
  <c r="F2" i="12"/>
  <c r="E2" i="12"/>
  <c r="D2" i="12"/>
  <c r="C2" i="12"/>
  <c r="J38" i="12"/>
  <c r="N36" i="12"/>
  <c r="J36" i="12"/>
  <c r="L35" i="12"/>
  <c r="N38" i="12"/>
  <c r="N37" i="12"/>
  <c r="L36" i="12"/>
  <c r="K36" i="12"/>
  <c r="N35" i="12"/>
  <c r="K35" i="12"/>
  <c r="J35" i="12"/>
  <c r="R103" i="11"/>
  <c r="P103" i="11"/>
  <c r="O103" i="11"/>
  <c r="N103" i="11"/>
  <c r="F103" i="11"/>
  <c r="D103" i="11"/>
  <c r="C103" i="11"/>
  <c r="B103" i="11"/>
  <c r="R102" i="11"/>
  <c r="P102" i="11"/>
  <c r="O102" i="11"/>
  <c r="N102" i="11"/>
  <c r="F102" i="11"/>
  <c r="D102" i="11"/>
  <c r="C102" i="11"/>
  <c r="B102" i="11"/>
  <c r="R101" i="11"/>
  <c r="P101" i="11"/>
  <c r="O101" i="11"/>
  <c r="N101" i="11"/>
  <c r="F101" i="11"/>
  <c r="D101" i="11"/>
  <c r="C101" i="11"/>
  <c r="B101" i="11"/>
  <c r="R100" i="11"/>
  <c r="P100" i="11"/>
  <c r="O100" i="11"/>
  <c r="N100" i="11"/>
  <c r="F100" i="11"/>
  <c r="D100" i="11"/>
  <c r="C100" i="11"/>
  <c r="B100" i="11"/>
  <c r="R99" i="11"/>
  <c r="P99" i="11"/>
  <c r="O99" i="11"/>
  <c r="N99" i="11"/>
  <c r="F99" i="11"/>
  <c r="D99" i="11"/>
  <c r="C99" i="11"/>
  <c r="B99" i="11"/>
  <c r="R98" i="11"/>
  <c r="P98" i="11"/>
  <c r="O98" i="11"/>
  <c r="N98" i="11"/>
  <c r="F98" i="11"/>
  <c r="D98" i="11"/>
  <c r="C98" i="11"/>
  <c r="B98" i="11"/>
  <c r="R97" i="11"/>
  <c r="P97" i="11"/>
  <c r="O97" i="11"/>
  <c r="N97" i="11"/>
  <c r="F97" i="11"/>
  <c r="D97" i="11"/>
  <c r="C97" i="11"/>
  <c r="B97" i="11"/>
  <c r="R96" i="11"/>
  <c r="P96" i="11"/>
  <c r="O96" i="11"/>
  <c r="N96" i="11"/>
  <c r="F96" i="11"/>
  <c r="D96" i="11"/>
  <c r="C96" i="11"/>
  <c r="B96" i="11"/>
  <c r="R95" i="11"/>
  <c r="P95" i="11"/>
  <c r="O95" i="11"/>
  <c r="N95" i="11"/>
  <c r="F95" i="11"/>
  <c r="D95" i="11"/>
  <c r="C95" i="11"/>
  <c r="B95" i="11"/>
  <c r="R94" i="11"/>
  <c r="P94" i="11"/>
  <c r="O94" i="11"/>
  <c r="N94" i="11"/>
  <c r="F94" i="11"/>
  <c r="D94" i="11"/>
  <c r="C94" i="11"/>
  <c r="B94" i="11"/>
  <c r="R93" i="11"/>
  <c r="P93" i="11"/>
  <c r="O93" i="11"/>
  <c r="N93" i="11"/>
  <c r="F93" i="11"/>
  <c r="D93" i="11"/>
  <c r="C93" i="11"/>
  <c r="B93" i="11"/>
  <c r="R92" i="11"/>
  <c r="P92" i="11"/>
  <c r="O92" i="11"/>
  <c r="N92" i="11"/>
  <c r="F92" i="11"/>
  <c r="D92" i="11"/>
  <c r="C92" i="11"/>
  <c r="B92" i="11"/>
  <c r="R91" i="11"/>
  <c r="P91" i="11"/>
  <c r="O91" i="11"/>
  <c r="N91" i="11"/>
  <c r="F91" i="11"/>
  <c r="D91" i="11"/>
  <c r="C91" i="11"/>
  <c r="B91" i="11"/>
  <c r="R90" i="11"/>
  <c r="P90" i="11"/>
  <c r="O90" i="11"/>
  <c r="N90" i="11"/>
  <c r="F90" i="11"/>
  <c r="D90" i="11"/>
  <c r="C90" i="11"/>
  <c r="B90" i="11"/>
  <c r="R89" i="11"/>
  <c r="P89" i="11"/>
  <c r="O89" i="11"/>
  <c r="N89" i="11"/>
  <c r="F89" i="11"/>
  <c r="D89" i="11"/>
  <c r="C89" i="11"/>
  <c r="B89" i="11"/>
  <c r="R88" i="11"/>
  <c r="P88" i="11"/>
  <c r="O88" i="11"/>
  <c r="N88" i="11"/>
  <c r="F88" i="11"/>
  <c r="D88" i="11"/>
  <c r="C88" i="11"/>
  <c r="B88" i="11"/>
  <c r="R87" i="11"/>
  <c r="P87" i="11"/>
  <c r="O87" i="11"/>
  <c r="N87" i="11"/>
  <c r="F87" i="11"/>
  <c r="D87" i="11"/>
  <c r="C87" i="11"/>
  <c r="B87" i="11"/>
  <c r="R86" i="11"/>
  <c r="P86" i="11"/>
  <c r="O86" i="11"/>
  <c r="N86" i="11"/>
  <c r="F86" i="11"/>
  <c r="D86" i="11"/>
  <c r="C86" i="11"/>
  <c r="B86" i="11"/>
  <c r="R85" i="11"/>
  <c r="P85" i="11"/>
  <c r="O85" i="11"/>
  <c r="N85" i="11"/>
  <c r="F85" i="11"/>
  <c r="D85" i="11"/>
  <c r="C85" i="11"/>
  <c r="B85" i="11"/>
  <c r="R84" i="11"/>
  <c r="P84" i="11"/>
  <c r="O84" i="11"/>
  <c r="N84" i="11"/>
  <c r="F84" i="11"/>
  <c r="D84" i="11"/>
  <c r="C84" i="11"/>
  <c r="B84" i="11"/>
  <c r="R83" i="11"/>
  <c r="P83" i="11"/>
  <c r="O83" i="11"/>
  <c r="N83" i="11"/>
  <c r="F83" i="11"/>
  <c r="D83" i="11"/>
  <c r="C83" i="11"/>
  <c r="B83" i="11"/>
  <c r="R82" i="11"/>
  <c r="P82" i="11"/>
  <c r="O82" i="11"/>
  <c r="N82" i="11"/>
  <c r="F82" i="11"/>
  <c r="D82" i="11"/>
  <c r="C82" i="11"/>
  <c r="B82" i="11"/>
  <c r="R81" i="11"/>
  <c r="P81" i="11"/>
  <c r="O81" i="11"/>
  <c r="N81" i="11"/>
  <c r="F81" i="11"/>
  <c r="D81" i="11"/>
  <c r="C81" i="11"/>
  <c r="B81" i="11"/>
  <c r="R80" i="11"/>
  <c r="P80" i="11"/>
  <c r="O80" i="11"/>
  <c r="N80" i="11"/>
  <c r="F80" i="11"/>
  <c r="D80" i="11"/>
  <c r="C80" i="11"/>
  <c r="B80" i="11"/>
  <c r="R79" i="11"/>
  <c r="P79" i="11"/>
  <c r="O79" i="11"/>
  <c r="N79" i="11"/>
  <c r="F79" i="11"/>
  <c r="D79" i="11"/>
  <c r="C79" i="11"/>
  <c r="B79" i="11"/>
  <c r="R78" i="11"/>
  <c r="P78" i="11"/>
  <c r="O78" i="11"/>
  <c r="N78" i="11"/>
  <c r="F78" i="11"/>
  <c r="D78" i="11"/>
  <c r="C78" i="11"/>
  <c r="B78" i="11"/>
  <c r="R77" i="11"/>
  <c r="P77" i="11"/>
  <c r="O77" i="11"/>
  <c r="N77" i="11"/>
  <c r="F77" i="11"/>
  <c r="D77" i="11"/>
  <c r="C77" i="11"/>
  <c r="B77" i="11"/>
  <c r="R76" i="11"/>
  <c r="P76" i="11"/>
  <c r="O76" i="11"/>
  <c r="N76" i="11"/>
  <c r="F76" i="11"/>
  <c r="D76" i="11"/>
  <c r="C76" i="11"/>
  <c r="B76" i="11"/>
  <c r="R75" i="11"/>
  <c r="P75" i="11"/>
  <c r="O75" i="11"/>
  <c r="N75" i="11"/>
  <c r="F75" i="11"/>
  <c r="D75" i="11"/>
  <c r="C75" i="11"/>
  <c r="B75" i="11"/>
  <c r="R74" i="11"/>
  <c r="P74" i="11"/>
  <c r="O74" i="11"/>
  <c r="N74" i="11"/>
  <c r="F74" i="11"/>
  <c r="D74" i="11"/>
  <c r="C74" i="11"/>
  <c r="B74" i="11"/>
  <c r="R73" i="11"/>
  <c r="P73" i="11"/>
  <c r="O73" i="11"/>
  <c r="N73" i="11"/>
  <c r="F73" i="11"/>
  <c r="D73" i="11"/>
  <c r="C73" i="11"/>
  <c r="B73" i="11"/>
  <c r="R72" i="11"/>
  <c r="P72" i="11"/>
  <c r="O72" i="11"/>
  <c r="N72" i="11"/>
  <c r="F72" i="11"/>
  <c r="D72" i="11"/>
  <c r="C72" i="11"/>
  <c r="B72" i="11"/>
  <c r="R71" i="11"/>
  <c r="P71" i="11"/>
  <c r="O71" i="11"/>
  <c r="N71" i="11"/>
  <c r="F71" i="11"/>
  <c r="D71" i="11"/>
  <c r="C71" i="11"/>
  <c r="B71" i="11"/>
  <c r="R70" i="11"/>
  <c r="P70" i="11"/>
  <c r="O70" i="11"/>
  <c r="N70" i="11"/>
  <c r="F70" i="11"/>
  <c r="D70" i="11"/>
  <c r="C70" i="11"/>
  <c r="B70" i="11"/>
  <c r="R69" i="11"/>
  <c r="P69" i="11"/>
  <c r="O69" i="11"/>
  <c r="N69" i="11"/>
  <c r="F69" i="11"/>
  <c r="D69" i="11"/>
  <c r="C69" i="11"/>
  <c r="B69" i="11"/>
  <c r="R68" i="11"/>
  <c r="P68" i="11"/>
  <c r="O68" i="11"/>
  <c r="N68" i="11"/>
  <c r="F68" i="11"/>
  <c r="D68" i="11"/>
  <c r="C68" i="11"/>
  <c r="B68" i="11"/>
  <c r="R67" i="11"/>
  <c r="P67" i="11"/>
  <c r="O67" i="11"/>
  <c r="N67" i="11"/>
  <c r="F67" i="11"/>
  <c r="D67" i="11"/>
  <c r="C67" i="11"/>
  <c r="B67" i="11"/>
  <c r="R66" i="11"/>
  <c r="P66" i="11"/>
  <c r="O66" i="11"/>
  <c r="N66" i="11"/>
  <c r="F66" i="11"/>
  <c r="D66" i="11"/>
  <c r="C66" i="11"/>
  <c r="B66" i="11"/>
  <c r="R65" i="11"/>
  <c r="P65" i="11"/>
  <c r="O65" i="11"/>
  <c r="N65" i="11"/>
  <c r="F65" i="11"/>
  <c r="D65" i="11"/>
  <c r="C65" i="11"/>
  <c r="B65" i="11"/>
  <c r="R64" i="11"/>
  <c r="P64" i="11"/>
  <c r="O64" i="11"/>
  <c r="N64" i="11"/>
  <c r="F64" i="11"/>
  <c r="D64" i="11"/>
  <c r="C64" i="11"/>
  <c r="B64" i="11"/>
  <c r="X63" i="11"/>
  <c r="V63" i="11"/>
  <c r="U63" i="11"/>
  <c r="T63" i="11"/>
  <c r="R63" i="11"/>
  <c r="P63" i="11"/>
  <c r="O63" i="11"/>
  <c r="N63" i="11"/>
  <c r="L63" i="11"/>
  <c r="J63" i="11"/>
  <c r="I63" i="11"/>
  <c r="H63" i="11"/>
  <c r="F63" i="11"/>
  <c r="D63" i="11"/>
  <c r="C63" i="11"/>
  <c r="B63" i="11"/>
  <c r="X62" i="11"/>
  <c r="V62" i="11"/>
  <c r="U62" i="11"/>
  <c r="T62" i="11"/>
  <c r="R62" i="11"/>
  <c r="P62" i="11"/>
  <c r="O62" i="11"/>
  <c r="N62" i="11"/>
  <c r="L62" i="11"/>
  <c r="J62" i="11"/>
  <c r="I62" i="11"/>
  <c r="H62" i="11"/>
  <c r="F62" i="11"/>
  <c r="D62" i="11"/>
  <c r="C62" i="11"/>
  <c r="B62" i="11"/>
  <c r="X61" i="11"/>
  <c r="V61" i="11"/>
  <c r="U61" i="11"/>
  <c r="T61" i="11"/>
  <c r="R61" i="11"/>
  <c r="P61" i="11"/>
  <c r="O61" i="11"/>
  <c r="N61" i="11"/>
  <c r="L61" i="11"/>
  <c r="J61" i="11"/>
  <c r="I61" i="11"/>
  <c r="H61" i="11"/>
  <c r="F61" i="11"/>
  <c r="D61" i="11"/>
  <c r="C61" i="11"/>
  <c r="B61" i="11"/>
  <c r="X60" i="11"/>
  <c r="V60" i="11"/>
  <c r="U60" i="11"/>
  <c r="T60" i="11"/>
  <c r="R60" i="11"/>
  <c r="P60" i="11"/>
  <c r="O60" i="11"/>
  <c r="N60" i="11"/>
  <c r="L60" i="11"/>
  <c r="J60" i="11"/>
  <c r="I60" i="11"/>
  <c r="H60" i="11"/>
  <c r="F60" i="11"/>
  <c r="D60" i="11"/>
  <c r="C60" i="11"/>
  <c r="B60" i="11"/>
  <c r="X59" i="11"/>
  <c r="V59" i="11"/>
  <c r="U59" i="11"/>
  <c r="T59" i="11"/>
  <c r="R59" i="11"/>
  <c r="P59" i="11"/>
  <c r="O59" i="11"/>
  <c r="N59" i="11"/>
  <c r="L59" i="11"/>
  <c r="J59" i="11"/>
  <c r="I59" i="11"/>
  <c r="H59" i="11"/>
  <c r="F59" i="11"/>
  <c r="D59" i="11"/>
  <c r="C59" i="11"/>
  <c r="B59" i="11"/>
  <c r="X58" i="11"/>
  <c r="V58" i="11"/>
  <c r="U58" i="11"/>
  <c r="T58" i="11"/>
  <c r="R58" i="11"/>
  <c r="P58" i="11"/>
  <c r="O58" i="11"/>
  <c r="N58" i="11"/>
  <c r="L58" i="11"/>
  <c r="J58" i="11"/>
  <c r="I58" i="11"/>
  <c r="H58" i="11"/>
  <c r="F58" i="11"/>
  <c r="D58" i="11"/>
  <c r="C58" i="11"/>
  <c r="B58" i="11"/>
  <c r="X57" i="11"/>
  <c r="V57" i="11"/>
  <c r="U57" i="11"/>
  <c r="T57" i="11"/>
  <c r="R57" i="11"/>
  <c r="P57" i="11"/>
  <c r="O57" i="11"/>
  <c r="N57" i="11"/>
  <c r="L57" i="11"/>
  <c r="J57" i="11"/>
  <c r="I57" i="11"/>
  <c r="H57" i="11"/>
  <c r="F57" i="11"/>
  <c r="D57" i="11"/>
  <c r="C57" i="11"/>
  <c r="B57" i="11"/>
  <c r="X56" i="11"/>
  <c r="V56" i="11"/>
  <c r="U56" i="11"/>
  <c r="T56" i="11"/>
  <c r="R56" i="11"/>
  <c r="P56" i="11"/>
  <c r="O56" i="11"/>
  <c r="N56" i="11"/>
  <c r="L56" i="11"/>
  <c r="J56" i="11"/>
  <c r="I56" i="11"/>
  <c r="H56" i="11"/>
  <c r="F56" i="11"/>
  <c r="D56" i="11"/>
  <c r="C56" i="11"/>
  <c r="B56" i="11"/>
  <c r="X55" i="11"/>
  <c r="V55" i="11"/>
  <c r="U55" i="11"/>
  <c r="T55" i="11"/>
  <c r="R55" i="11"/>
  <c r="P55" i="11"/>
  <c r="O55" i="11"/>
  <c r="N55" i="11"/>
  <c r="L55" i="11"/>
  <c r="J55" i="11"/>
  <c r="I55" i="11"/>
  <c r="H55" i="11"/>
  <c r="F55" i="11"/>
  <c r="D55" i="11"/>
  <c r="C55" i="11"/>
  <c r="B55" i="11"/>
  <c r="X54" i="11"/>
  <c r="V54" i="11"/>
  <c r="U54" i="11"/>
  <c r="T54" i="11"/>
  <c r="R54" i="11"/>
  <c r="P54" i="11"/>
  <c r="O54" i="11"/>
  <c r="N54" i="11"/>
  <c r="L54" i="11"/>
  <c r="J54" i="11"/>
  <c r="I54" i="11"/>
  <c r="H54" i="11"/>
  <c r="F54" i="11"/>
  <c r="D54" i="11"/>
  <c r="C54" i="11"/>
  <c r="B54" i="11"/>
  <c r="X53" i="11"/>
  <c r="V53" i="11"/>
  <c r="U53" i="11"/>
  <c r="T53" i="11"/>
  <c r="R53" i="11"/>
  <c r="P53" i="11"/>
  <c r="O53" i="11"/>
  <c r="N53" i="11"/>
  <c r="L53" i="11"/>
  <c r="J53" i="11"/>
  <c r="I53" i="11"/>
  <c r="H53" i="11"/>
  <c r="F53" i="11"/>
  <c r="D53" i="11"/>
  <c r="C53" i="11"/>
  <c r="B53" i="11"/>
  <c r="X52" i="11"/>
  <c r="V52" i="11"/>
  <c r="U52" i="11"/>
  <c r="T52" i="11"/>
  <c r="R52" i="11"/>
  <c r="P52" i="11"/>
  <c r="O52" i="11"/>
  <c r="N52" i="11"/>
  <c r="L52" i="11"/>
  <c r="J52" i="11"/>
  <c r="I52" i="11"/>
  <c r="H52" i="11"/>
  <c r="F52" i="11"/>
  <c r="D52" i="11"/>
  <c r="C52" i="11"/>
  <c r="B52" i="11"/>
  <c r="X51" i="11"/>
  <c r="V51" i="11"/>
  <c r="U51" i="11"/>
  <c r="T51" i="11"/>
  <c r="R51" i="11"/>
  <c r="P51" i="11"/>
  <c r="O51" i="11"/>
  <c r="N51" i="11"/>
  <c r="L51" i="11"/>
  <c r="J51" i="11"/>
  <c r="I51" i="11"/>
  <c r="H51" i="11"/>
  <c r="F51" i="11"/>
  <c r="D51" i="11"/>
  <c r="C51" i="11"/>
  <c r="B51" i="11"/>
  <c r="X50" i="11"/>
  <c r="V50" i="11"/>
  <c r="U50" i="11"/>
  <c r="T50" i="11"/>
  <c r="R50" i="11"/>
  <c r="P50" i="11"/>
  <c r="O50" i="11"/>
  <c r="N50" i="11"/>
  <c r="L50" i="11"/>
  <c r="J50" i="11"/>
  <c r="I50" i="11"/>
  <c r="H50" i="11"/>
  <c r="F50" i="11"/>
  <c r="D50" i="11"/>
  <c r="C50" i="11"/>
  <c r="B50" i="11"/>
  <c r="X49" i="11"/>
  <c r="V49" i="11"/>
  <c r="U49" i="11"/>
  <c r="T49" i="11"/>
  <c r="R49" i="11"/>
  <c r="P49" i="11"/>
  <c r="O49" i="11"/>
  <c r="N49" i="11"/>
  <c r="L49" i="11"/>
  <c r="J49" i="11"/>
  <c r="I49" i="11"/>
  <c r="H49" i="11"/>
  <c r="F49" i="11"/>
  <c r="D49" i="11"/>
  <c r="C49" i="11"/>
  <c r="B49" i="11"/>
  <c r="X48" i="11"/>
  <c r="V48" i="11"/>
  <c r="U48" i="11"/>
  <c r="T48" i="11"/>
  <c r="R48" i="11"/>
  <c r="P48" i="11"/>
  <c r="O48" i="11"/>
  <c r="N48" i="11"/>
  <c r="L48" i="11"/>
  <c r="J48" i="11"/>
  <c r="I48" i="11"/>
  <c r="H48" i="11"/>
  <c r="F48" i="11"/>
  <c r="D48" i="11"/>
  <c r="C48" i="11"/>
  <c r="B48" i="11"/>
  <c r="X47" i="11"/>
  <c r="V47" i="11"/>
  <c r="U47" i="11"/>
  <c r="T47" i="11"/>
  <c r="R47" i="11"/>
  <c r="P47" i="11"/>
  <c r="O47" i="11"/>
  <c r="N47" i="11"/>
  <c r="L47" i="11"/>
  <c r="J47" i="11"/>
  <c r="I47" i="11"/>
  <c r="H47" i="11"/>
  <c r="F47" i="11"/>
  <c r="D47" i="11"/>
  <c r="C47" i="11"/>
  <c r="B47" i="11"/>
  <c r="X46" i="11"/>
  <c r="V46" i="11"/>
  <c r="U46" i="11"/>
  <c r="T46" i="11"/>
  <c r="R46" i="11"/>
  <c r="P46" i="11"/>
  <c r="O46" i="11"/>
  <c r="N46" i="11"/>
  <c r="L46" i="11"/>
  <c r="J46" i="11"/>
  <c r="I46" i="11"/>
  <c r="H46" i="11"/>
  <c r="F46" i="11"/>
  <c r="D46" i="11"/>
  <c r="C46" i="11"/>
  <c r="B46" i="11"/>
  <c r="X45" i="11"/>
  <c r="V45" i="11"/>
  <c r="U45" i="11"/>
  <c r="T45" i="11"/>
  <c r="R45" i="11"/>
  <c r="P45" i="11"/>
  <c r="O45" i="11"/>
  <c r="N45" i="11"/>
  <c r="L45" i="11"/>
  <c r="J45" i="11"/>
  <c r="I45" i="11"/>
  <c r="H45" i="11"/>
  <c r="F45" i="11"/>
  <c r="D45" i="11"/>
  <c r="C45" i="11"/>
  <c r="B45" i="11"/>
  <c r="X44" i="11"/>
  <c r="V44" i="11"/>
  <c r="U44" i="11"/>
  <c r="T44" i="11"/>
  <c r="R44" i="11"/>
  <c r="P44" i="11"/>
  <c r="O44" i="11"/>
  <c r="N44" i="11"/>
  <c r="L44" i="11"/>
  <c r="J44" i="11"/>
  <c r="I44" i="11"/>
  <c r="H44" i="11"/>
  <c r="F44" i="11"/>
  <c r="D44" i="11"/>
  <c r="C44" i="11"/>
  <c r="B44" i="11"/>
  <c r="X43" i="11"/>
  <c r="V43" i="11"/>
  <c r="U43" i="11"/>
  <c r="T43" i="11"/>
  <c r="R43" i="11"/>
  <c r="P43" i="11"/>
  <c r="O43" i="11"/>
  <c r="N43" i="11"/>
  <c r="L43" i="11"/>
  <c r="J43" i="11"/>
  <c r="I43" i="11"/>
  <c r="H43" i="11"/>
  <c r="F43" i="11"/>
  <c r="D43" i="11"/>
  <c r="C43" i="11"/>
  <c r="B43" i="11"/>
  <c r="X42" i="11"/>
  <c r="V42" i="11"/>
  <c r="U42" i="11"/>
  <c r="T42" i="11"/>
  <c r="R42" i="11"/>
  <c r="P42" i="11"/>
  <c r="O42" i="11"/>
  <c r="N42" i="11"/>
  <c r="L42" i="11"/>
  <c r="J42" i="11"/>
  <c r="I42" i="11"/>
  <c r="H42" i="11"/>
  <c r="F42" i="11"/>
  <c r="D42" i="11"/>
  <c r="C42" i="11"/>
  <c r="B42" i="11"/>
  <c r="X41" i="11"/>
  <c r="V41" i="11"/>
  <c r="U41" i="11"/>
  <c r="T41" i="11"/>
  <c r="R41" i="11"/>
  <c r="P41" i="11"/>
  <c r="O41" i="11"/>
  <c r="N41" i="11"/>
  <c r="L41" i="11"/>
  <c r="J41" i="11"/>
  <c r="I41" i="11"/>
  <c r="H41" i="11"/>
  <c r="F41" i="11"/>
  <c r="D41" i="11"/>
  <c r="C41" i="11"/>
  <c r="B41" i="11"/>
  <c r="X40" i="11"/>
  <c r="V40" i="11"/>
  <c r="U40" i="11"/>
  <c r="T40" i="11"/>
  <c r="R40" i="11"/>
  <c r="P40" i="11"/>
  <c r="O40" i="11"/>
  <c r="N40" i="11"/>
  <c r="L40" i="11"/>
  <c r="J40" i="11"/>
  <c r="I40" i="11"/>
  <c r="H40" i="11"/>
  <c r="F40" i="11"/>
  <c r="D40" i="11"/>
  <c r="C40" i="11"/>
  <c r="B40" i="11"/>
  <c r="X39" i="11"/>
  <c r="V39" i="11"/>
  <c r="U39" i="11"/>
  <c r="T39" i="11"/>
  <c r="R39" i="11"/>
  <c r="P39" i="11"/>
  <c r="O39" i="11"/>
  <c r="N39" i="11"/>
  <c r="L39" i="11"/>
  <c r="J39" i="11"/>
  <c r="I39" i="11"/>
  <c r="H39" i="11"/>
  <c r="F39" i="11"/>
  <c r="D39" i="11"/>
  <c r="C39" i="11"/>
  <c r="B39" i="11"/>
  <c r="X38" i="11"/>
  <c r="V38" i="11"/>
  <c r="U38" i="11"/>
  <c r="T38" i="11"/>
  <c r="R38" i="11"/>
  <c r="P38" i="11"/>
  <c r="O38" i="11"/>
  <c r="N38" i="11"/>
  <c r="L38" i="11"/>
  <c r="J38" i="11"/>
  <c r="I38" i="11"/>
  <c r="H38" i="11"/>
  <c r="F38" i="11"/>
  <c r="D38" i="11"/>
  <c r="C38" i="11"/>
  <c r="B38" i="11"/>
  <c r="X37" i="11"/>
  <c r="V37" i="11"/>
  <c r="U37" i="11"/>
  <c r="T37" i="11"/>
  <c r="R37" i="11"/>
  <c r="P37" i="11"/>
  <c r="O37" i="11"/>
  <c r="N37" i="11"/>
  <c r="L37" i="11"/>
  <c r="J37" i="11"/>
  <c r="I37" i="11"/>
  <c r="H37" i="11"/>
  <c r="F37" i="11"/>
  <c r="D37" i="11"/>
  <c r="C37" i="11"/>
  <c r="B37" i="11"/>
  <c r="X36" i="11"/>
  <c r="V36" i="11"/>
  <c r="U36" i="11"/>
  <c r="T36" i="11"/>
  <c r="R36" i="11"/>
  <c r="P36" i="11"/>
  <c r="O36" i="11"/>
  <c r="N36" i="11"/>
  <c r="L36" i="11"/>
  <c r="J36" i="11"/>
  <c r="I36" i="11"/>
  <c r="H36" i="11"/>
  <c r="F36" i="11"/>
  <c r="D36" i="11"/>
  <c r="C36" i="11"/>
  <c r="B36" i="11"/>
  <c r="X35" i="11"/>
  <c r="V35" i="11"/>
  <c r="U35" i="11"/>
  <c r="T35" i="11"/>
  <c r="R35" i="11"/>
  <c r="P35" i="11"/>
  <c r="O35" i="11"/>
  <c r="N35" i="11"/>
  <c r="L35" i="11"/>
  <c r="J35" i="11"/>
  <c r="I35" i="11"/>
  <c r="H35" i="11"/>
  <c r="F35" i="11"/>
  <c r="D35" i="11"/>
  <c r="C35" i="11"/>
  <c r="B35" i="11"/>
  <c r="X34" i="11"/>
  <c r="V34" i="11"/>
  <c r="U34" i="11"/>
  <c r="T34" i="11"/>
  <c r="R34" i="11"/>
  <c r="P34" i="11"/>
  <c r="O34" i="11"/>
  <c r="N34" i="11"/>
  <c r="L34" i="11"/>
  <c r="J34" i="11"/>
  <c r="I34" i="11"/>
  <c r="H34" i="11"/>
  <c r="F34" i="11"/>
  <c r="D34" i="11"/>
  <c r="C34" i="11"/>
  <c r="B34" i="11"/>
  <c r="X33" i="11"/>
  <c r="V33" i="11"/>
  <c r="U33" i="11"/>
  <c r="T33" i="11"/>
  <c r="R33" i="11"/>
  <c r="P33" i="11"/>
  <c r="O33" i="11"/>
  <c r="N33" i="11"/>
  <c r="L33" i="11"/>
  <c r="J33" i="11"/>
  <c r="I33" i="11"/>
  <c r="H33" i="11"/>
  <c r="F33" i="11"/>
  <c r="D33" i="11"/>
  <c r="C33" i="11"/>
  <c r="B33" i="11"/>
  <c r="X32" i="11"/>
  <c r="V32" i="11"/>
  <c r="U32" i="11"/>
  <c r="T32" i="11"/>
  <c r="R32" i="11"/>
  <c r="P32" i="11"/>
  <c r="O32" i="11"/>
  <c r="N32" i="11"/>
  <c r="L32" i="11"/>
  <c r="J32" i="11"/>
  <c r="I32" i="11"/>
  <c r="H32" i="11"/>
  <c r="F32" i="11"/>
  <c r="D32" i="11"/>
  <c r="C32" i="11"/>
  <c r="B32" i="11"/>
  <c r="X31" i="11"/>
  <c r="V31" i="11"/>
  <c r="U31" i="11"/>
  <c r="T31" i="11"/>
  <c r="R31" i="11"/>
  <c r="P31" i="11"/>
  <c r="O31" i="11"/>
  <c r="N31" i="11"/>
  <c r="L31" i="11"/>
  <c r="J31" i="11"/>
  <c r="I31" i="11"/>
  <c r="H31" i="11"/>
  <c r="F31" i="11"/>
  <c r="D31" i="11"/>
  <c r="C31" i="11"/>
  <c r="B31" i="11"/>
  <c r="X30" i="11"/>
  <c r="V30" i="11"/>
  <c r="U30" i="11"/>
  <c r="T30" i="11"/>
  <c r="R30" i="11"/>
  <c r="P30" i="11"/>
  <c r="O30" i="11"/>
  <c r="N30" i="11"/>
  <c r="L30" i="11"/>
  <c r="J30" i="11"/>
  <c r="I30" i="11"/>
  <c r="H30" i="11"/>
  <c r="F30" i="11"/>
  <c r="D30" i="11"/>
  <c r="C30" i="11"/>
  <c r="B30" i="11"/>
  <c r="X29" i="11"/>
  <c r="V29" i="11"/>
  <c r="U29" i="11"/>
  <c r="T29" i="11"/>
  <c r="R29" i="11"/>
  <c r="P29" i="11"/>
  <c r="O29" i="11"/>
  <c r="N29" i="11"/>
  <c r="L29" i="11"/>
  <c r="J29" i="11"/>
  <c r="I29" i="11"/>
  <c r="H29" i="11"/>
  <c r="F29" i="11"/>
  <c r="D29" i="11"/>
  <c r="C29" i="11"/>
  <c r="B29" i="11"/>
  <c r="X28" i="11"/>
  <c r="V28" i="11"/>
  <c r="U28" i="11"/>
  <c r="T28" i="11"/>
  <c r="R28" i="11"/>
  <c r="P28" i="11"/>
  <c r="O28" i="11"/>
  <c r="N28" i="11"/>
  <c r="L28" i="11"/>
  <c r="J28" i="11"/>
  <c r="I28" i="11"/>
  <c r="H28" i="11"/>
  <c r="F28" i="11"/>
  <c r="D28" i="11"/>
  <c r="C28" i="11"/>
  <c r="B28" i="11"/>
  <c r="X27" i="11"/>
  <c r="V27" i="11"/>
  <c r="U27" i="11"/>
  <c r="T27" i="11"/>
  <c r="R27" i="11"/>
  <c r="P27" i="11"/>
  <c r="O27" i="11"/>
  <c r="N27" i="11"/>
  <c r="L27" i="11"/>
  <c r="J27" i="11"/>
  <c r="I27" i="11"/>
  <c r="H27" i="11"/>
  <c r="F27" i="11"/>
  <c r="D27" i="11"/>
  <c r="C27" i="11"/>
  <c r="B27" i="11"/>
  <c r="X26" i="11"/>
  <c r="V26" i="11"/>
  <c r="U26" i="11"/>
  <c r="T26" i="11"/>
  <c r="R26" i="11"/>
  <c r="P26" i="11"/>
  <c r="O26" i="11"/>
  <c r="N26" i="11"/>
  <c r="L26" i="11"/>
  <c r="J26" i="11"/>
  <c r="I26" i="11"/>
  <c r="H26" i="11"/>
  <c r="F26" i="11"/>
  <c r="D26" i="11"/>
  <c r="C26" i="11"/>
  <c r="B26" i="11"/>
  <c r="X25" i="11"/>
  <c r="V25" i="11"/>
  <c r="U25" i="11"/>
  <c r="T25" i="11"/>
  <c r="R25" i="11"/>
  <c r="P25" i="11"/>
  <c r="O25" i="11"/>
  <c r="N25" i="11"/>
  <c r="L25" i="11"/>
  <c r="J25" i="11"/>
  <c r="I25" i="11"/>
  <c r="H25" i="11"/>
  <c r="F25" i="11"/>
  <c r="D25" i="11"/>
  <c r="C25" i="11"/>
  <c r="B25" i="11"/>
  <c r="X24" i="11"/>
  <c r="V24" i="11"/>
  <c r="U24" i="11"/>
  <c r="T24" i="11"/>
  <c r="R24" i="11"/>
  <c r="P24" i="11"/>
  <c r="O24" i="11"/>
  <c r="N24" i="11"/>
  <c r="L24" i="11"/>
  <c r="J24" i="11"/>
  <c r="I24" i="11"/>
  <c r="H24" i="11"/>
  <c r="F24" i="11"/>
  <c r="D24" i="11"/>
  <c r="C24" i="11"/>
  <c r="B24" i="11"/>
  <c r="X23" i="11"/>
  <c r="V23" i="11"/>
  <c r="U23" i="11"/>
  <c r="T23" i="11"/>
  <c r="R23" i="11"/>
  <c r="P23" i="11"/>
  <c r="O23" i="11"/>
  <c r="N23" i="11"/>
  <c r="L23" i="11"/>
  <c r="J23" i="11"/>
  <c r="I23" i="11"/>
  <c r="H23" i="11"/>
  <c r="F23" i="11"/>
  <c r="D23" i="11"/>
  <c r="C23" i="11"/>
  <c r="B23" i="11"/>
  <c r="X22" i="11"/>
  <c r="V22" i="11"/>
  <c r="U22" i="11"/>
  <c r="T22" i="11"/>
  <c r="R22" i="11"/>
  <c r="P22" i="11"/>
  <c r="O22" i="11"/>
  <c r="N22" i="11"/>
  <c r="L22" i="11"/>
  <c r="J22" i="11"/>
  <c r="I22" i="11"/>
  <c r="H22" i="11"/>
  <c r="F22" i="11"/>
  <c r="D22" i="11"/>
  <c r="C22" i="11"/>
  <c r="B22" i="11"/>
  <c r="X21" i="11"/>
  <c r="V21" i="11"/>
  <c r="U21" i="11"/>
  <c r="T21" i="11"/>
  <c r="R21" i="11"/>
  <c r="P21" i="11"/>
  <c r="O21" i="11"/>
  <c r="N21" i="11"/>
  <c r="L21" i="11"/>
  <c r="J21" i="11"/>
  <c r="I21" i="11"/>
  <c r="H21" i="11"/>
  <c r="F21" i="11"/>
  <c r="D21" i="11"/>
  <c r="C21" i="11"/>
  <c r="B21" i="11"/>
  <c r="X20" i="11"/>
  <c r="V20" i="11"/>
  <c r="U20" i="11"/>
  <c r="T20" i="11"/>
  <c r="R20" i="11"/>
  <c r="P20" i="11"/>
  <c r="O20" i="11"/>
  <c r="N20" i="11"/>
  <c r="L20" i="11"/>
  <c r="J20" i="11"/>
  <c r="I20" i="11"/>
  <c r="H20" i="11"/>
  <c r="F20" i="11"/>
  <c r="D20" i="11"/>
  <c r="C20" i="11"/>
  <c r="B20" i="11"/>
  <c r="X19" i="11"/>
  <c r="V19" i="11"/>
  <c r="U19" i="11"/>
  <c r="T19" i="11"/>
  <c r="R19" i="11"/>
  <c r="P19" i="11"/>
  <c r="O19" i="11"/>
  <c r="N19" i="11"/>
  <c r="L19" i="11"/>
  <c r="J19" i="11"/>
  <c r="I19" i="11"/>
  <c r="H19" i="11"/>
  <c r="F19" i="11"/>
  <c r="D19" i="11"/>
  <c r="C19" i="11"/>
  <c r="B19" i="11"/>
  <c r="X18" i="11"/>
  <c r="V18" i="11"/>
  <c r="U18" i="11"/>
  <c r="T18" i="11"/>
  <c r="R18" i="11"/>
  <c r="P18" i="11"/>
  <c r="O18" i="11"/>
  <c r="N18" i="11"/>
  <c r="L18" i="11"/>
  <c r="J18" i="11"/>
  <c r="I18" i="11"/>
  <c r="H18" i="11"/>
  <c r="F18" i="11"/>
  <c r="D18" i="11"/>
  <c r="C18" i="11"/>
  <c r="B18" i="11"/>
  <c r="X17" i="11"/>
  <c r="V17" i="11"/>
  <c r="U17" i="11"/>
  <c r="T17" i="11"/>
  <c r="R17" i="11"/>
  <c r="P17" i="11"/>
  <c r="O17" i="11"/>
  <c r="N17" i="11"/>
  <c r="L17" i="11"/>
  <c r="J17" i="11"/>
  <c r="I17" i="11"/>
  <c r="H17" i="11"/>
  <c r="F17" i="11"/>
  <c r="D17" i="11"/>
  <c r="C17" i="11"/>
  <c r="B17" i="11"/>
  <c r="X16" i="11"/>
  <c r="V16" i="11"/>
  <c r="U16" i="11"/>
  <c r="T16" i="11"/>
  <c r="R16" i="11"/>
  <c r="P16" i="11"/>
  <c r="O16" i="11"/>
  <c r="N16" i="11"/>
  <c r="L16" i="11"/>
  <c r="J16" i="11"/>
  <c r="I16" i="11"/>
  <c r="H16" i="11"/>
  <c r="F16" i="11"/>
  <c r="D16" i="11"/>
  <c r="C16" i="11"/>
  <c r="B16" i="11"/>
  <c r="X15" i="11"/>
  <c r="V15" i="11"/>
  <c r="U15" i="11"/>
  <c r="T15" i="11"/>
  <c r="R15" i="11"/>
  <c r="P15" i="11"/>
  <c r="O15" i="11"/>
  <c r="N15" i="11"/>
  <c r="L15" i="11"/>
  <c r="J15" i="11"/>
  <c r="I15" i="11"/>
  <c r="H15" i="11"/>
  <c r="F15" i="11"/>
  <c r="D15" i="11"/>
  <c r="C15" i="11"/>
  <c r="B15" i="11"/>
  <c r="X14" i="11"/>
  <c r="V14" i="11"/>
  <c r="U14" i="11"/>
  <c r="T14" i="11"/>
  <c r="R14" i="11"/>
  <c r="P14" i="11"/>
  <c r="O14" i="11"/>
  <c r="N14" i="11"/>
  <c r="L14" i="11"/>
  <c r="J14" i="11"/>
  <c r="I14" i="11"/>
  <c r="H14" i="11"/>
  <c r="F14" i="11"/>
  <c r="D14" i="11"/>
  <c r="C14" i="11"/>
  <c r="B14" i="11"/>
  <c r="X13" i="11"/>
  <c r="V13" i="11"/>
  <c r="U13" i="11"/>
  <c r="T13" i="11"/>
  <c r="R13" i="11"/>
  <c r="P13" i="11"/>
  <c r="O13" i="11"/>
  <c r="N13" i="11"/>
  <c r="L13" i="11"/>
  <c r="J13" i="11"/>
  <c r="I13" i="11"/>
  <c r="H13" i="11"/>
  <c r="F13" i="11"/>
  <c r="D13" i="11"/>
  <c r="C13" i="11"/>
  <c r="B13" i="11"/>
  <c r="X12" i="11"/>
  <c r="V12" i="11"/>
  <c r="U12" i="11"/>
  <c r="T12" i="11"/>
  <c r="R12" i="11"/>
  <c r="P12" i="11"/>
  <c r="O12" i="11"/>
  <c r="N12" i="11"/>
  <c r="L12" i="11"/>
  <c r="J12" i="11"/>
  <c r="I12" i="11"/>
  <c r="H12" i="11"/>
  <c r="F12" i="11"/>
  <c r="D12" i="11"/>
  <c r="C12" i="11"/>
  <c r="B12" i="11"/>
  <c r="X11" i="11"/>
  <c r="V11" i="11"/>
  <c r="U11" i="11"/>
  <c r="T11" i="11"/>
  <c r="R11" i="11"/>
  <c r="P11" i="11"/>
  <c r="O11" i="11"/>
  <c r="N11" i="11"/>
  <c r="L11" i="11"/>
  <c r="J11" i="11"/>
  <c r="I11" i="11"/>
  <c r="H11" i="11"/>
  <c r="F11" i="11"/>
  <c r="D11" i="11"/>
  <c r="C11" i="11"/>
  <c r="B11" i="11"/>
  <c r="X10" i="11"/>
  <c r="V10" i="11"/>
  <c r="U10" i="11"/>
  <c r="T10" i="11"/>
  <c r="R10" i="11"/>
  <c r="P10" i="11"/>
  <c r="O10" i="11"/>
  <c r="N10" i="11"/>
  <c r="L10" i="11"/>
  <c r="J10" i="11"/>
  <c r="I10" i="11"/>
  <c r="H10" i="11"/>
  <c r="F10" i="11"/>
  <c r="D10" i="11"/>
  <c r="C10" i="11"/>
  <c r="B10" i="11"/>
  <c r="X9" i="11"/>
  <c r="V9" i="11"/>
  <c r="U9" i="11"/>
  <c r="T9" i="11"/>
  <c r="R9" i="11"/>
  <c r="P9" i="11"/>
  <c r="O9" i="11"/>
  <c r="N9" i="11"/>
  <c r="L9" i="11"/>
  <c r="J9" i="11"/>
  <c r="I9" i="11"/>
  <c r="H9" i="11"/>
  <c r="F9" i="11"/>
  <c r="D9" i="11"/>
  <c r="C9" i="11"/>
  <c r="B9" i="11"/>
  <c r="X8" i="11"/>
  <c r="V8" i="11"/>
  <c r="U8" i="11"/>
  <c r="T8" i="11"/>
  <c r="R8" i="11"/>
  <c r="P8" i="11"/>
  <c r="O8" i="11"/>
  <c r="N8" i="11"/>
  <c r="L8" i="11"/>
  <c r="J8" i="11"/>
  <c r="I8" i="11"/>
  <c r="H8" i="11"/>
  <c r="F8" i="11"/>
  <c r="D8" i="11"/>
  <c r="C8" i="11"/>
  <c r="B8" i="11"/>
  <c r="X7" i="11"/>
  <c r="V7" i="11"/>
  <c r="U7" i="11"/>
  <c r="T7" i="11"/>
  <c r="R7" i="11"/>
  <c r="P7" i="11"/>
  <c r="O7" i="11"/>
  <c r="N7" i="11"/>
  <c r="L7" i="11"/>
  <c r="J7" i="11"/>
  <c r="I7" i="11"/>
  <c r="H7" i="11"/>
  <c r="F7" i="11"/>
  <c r="D7" i="11"/>
  <c r="C7" i="11"/>
  <c r="B7" i="11"/>
  <c r="X6" i="11"/>
  <c r="V6" i="11"/>
  <c r="U6" i="11"/>
  <c r="T6" i="11"/>
  <c r="R6" i="11"/>
  <c r="P6" i="11"/>
  <c r="O6" i="11"/>
  <c r="N6" i="11"/>
  <c r="L6" i="11"/>
  <c r="J6" i="11"/>
  <c r="I6" i="11"/>
  <c r="H6" i="11"/>
  <c r="F6" i="11"/>
  <c r="D6" i="11"/>
  <c r="C6" i="11"/>
  <c r="B6" i="11"/>
  <c r="X5" i="11"/>
  <c r="V5" i="11"/>
  <c r="U5" i="11"/>
  <c r="T5" i="11"/>
  <c r="R5" i="11"/>
  <c r="P5" i="11"/>
  <c r="O5" i="11"/>
  <c r="N5" i="11"/>
  <c r="L5" i="11"/>
  <c r="J5" i="11"/>
  <c r="I5" i="11"/>
  <c r="H5" i="11"/>
  <c r="F5" i="11"/>
  <c r="D5" i="11"/>
  <c r="C5" i="11"/>
  <c r="B5" i="11"/>
  <c r="X4" i="11"/>
  <c r="V4" i="11"/>
  <c r="U4" i="11"/>
  <c r="T4" i="11"/>
  <c r="R4" i="11"/>
  <c r="P4" i="11"/>
  <c r="O4" i="11"/>
  <c r="N4" i="11"/>
  <c r="L4" i="11"/>
  <c r="J4" i="11"/>
  <c r="I4" i="11"/>
  <c r="H4" i="11"/>
  <c r="F4" i="11"/>
  <c r="D4" i="11"/>
  <c r="C4" i="11"/>
  <c r="B4" i="11"/>
  <c r="X3" i="11"/>
  <c r="V3" i="11"/>
  <c r="U3" i="11"/>
  <c r="T3" i="11"/>
  <c r="R3" i="11"/>
  <c r="P3" i="11"/>
  <c r="O3" i="11"/>
  <c r="N3" i="11"/>
  <c r="L3" i="11"/>
  <c r="J3" i="11"/>
  <c r="I3" i="11"/>
  <c r="H3" i="11"/>
  <c r="F3" i="11"/>
  <c r="D3" i="11"/>
  <c r="C3" i="11"/>
  <c r="B3" i="11"/>
  <c r="H21" i="10"/>
  <c r="G21" i="10"/>
  <c r="F21" i="10"/>
  <c r="E21" i="10"/>
  <c r="D21" i="10"/>
  <c r="C21" i="10"/>
  <c r="H19" i="10"/>
  <c r="G19" i="10"/>
  <c r="F19" i="10"/>
  <c r="E19" i="10"/>
  <c r="D19" i="10"/>
  <c r="C19" i="10"/>
  <c r="H18" i="10"/>
  <c r="G18" i="10"/>
  <c r="F18" i="10"/>
  <c r="E18" i="10"/>
  <c r="K38" i="10" s="1"/>
  <c r="D18" i="10"/>
  <c r="C18" i="10"/>
  <c r="H17" i="10"/>
  <c r="G17" i="10"/>
  <c r="F17" i="10"/>
  <c r="E17" i="10"/>
  <c r="D17" i="10"/>
  <c r="C17" i="10"/>
  <c r="H16" i="10"/>
  <c r="G16" i="10"/>
  <c r="F16" i="10"/>
  <c r="E16" i="10"/>
  <c r="N37" i="10" s="1"/>
  <c r="D16" i="10"/>
  <c r="C16" i="10"/>
  <c r="H14" i="10"/>
  <c r="G14" i="10"/>
  <c r="F14" i="10"/>
  <c r="E14" i="10"/>
  <c r="L37" i="10" s="1"/>
  <c r="D14" i="10"/>
  <c r="C14" i="10"/>
  <c r="H13" i="10"/>
  <c r="G13" i="10"/>
  <c r="F13" i="10"/>
  <c r="E13" i="10"/>
  <c r="D13" i="10"/>
  <c r="C13" i="10"/>
  <c r="H12" i="10"/>
  <c r="G12" i="10"/>
  <c r="F12" i="10"/>
  <c r="E12" i="10"/>
  <c r="J37" i="10" s="1"/>
  <c r="D12" i="10"/>
  <c r="C12" i="10"/>
  <c r="H11" i="10"/>
  <c r="G11" i="10"/>
  <c r="F11" i="10"/>
  <c r="E11" i="10"/>
  <c r="D11" i="10"/>
  <c r="C11" i="10"/>
  <c r="H9" i="10"/>
  <c r="G9" i="10"/>
  <c r="F9" i="10"/>
  <c r="E9" i="10"/>
  <c r="D9" i="10"/>
  <c r="C9" i="10"/>
  <c r="H8" i="10"/>
  <c r="G8" i="10"/>
  <c r="F8" i="10"/>
  <c r="E8" i="10"/>
  <c r="D8" i="10"/>
  <c r="C8" i="10"/>
  <c r="H7" i="10"/>
  <c r="G7" i="10"/>
  <c r="F7" i="10"/>
  <c r="E7" i="10"/>
  <c r="D7" i="10"/>
  <c r="C7" i="10"/>
  <c r="H6" i="10"/>
  <c r="G6" i="10"/>
  <c r="F6" i="10"/>
  <c r="E6" i="10"/>
  <c r="D6" i="10"/>
  <c r="C6" i="10"/>
  <c r="C5" i="7"/>
  <c r="D5" i="7"/>
  <c r="E5" i="7"/>
  <c r="F5" i="7"/>
  <c r="G5" i="7"/>
  <c r="H5" i="7"/>
  <c r="C15" i="7"/>
  <c r="D15" i="7"/>
  <c r="E15" i="7"/>
  <c r="F15" i="7"/>
  <c r="G15" i="7"/>
  <c r="H15" i="7"/>
  <c r="C20" i="7"/>
  <c r="D20" i="7"/>
  <c r="E20" i="7"/>
  <c r="F20" i="7"/>
  <c r="G20" i="7"/>
  <c r="H20" i="7"/>
  <c r="C10" i="7"/>
  <c r="D10" i="7"/>
  <c r="E10" i="7"/>
  <c r="F10" i="7"/>
  <c r="G10" i="7"/>
  <c r="H10" i="7"/>
  <c r="H4" i="10"/>
  <c r="G4" i="10"/>
  <c r="F4" i="10"/>
  <c r="E4" i="10"/>
  <c r="L35" i="10" s="1"/>
  <c r="D4" i="10"/>
  <c r="C4" i="10"/>
  <c r="H3" i="10"/>
  <c r="G3" i="10"/>
  <c r="F3" i="10"/>
  <c r="E3" i="10"/>
  <c r="D3" i="10"/>
  <c r="C3" i="10"/>
  <c r="H2" i="10"/>
  <c r="G2" i="10"/>
  <c r="F2" i="10"/>
  <c r="E2" i="10"/>
  <c r="J35" i="10" s="1"/>
  <c r="D2" i="10"/>
  <c r="C2" i="10"/>
  <c r="N38" i="10"/>
  <c r="J38" i="10"/>
  <c r="N36" i="10"/>
  <c r="J36" i="10"/>
  <c r="L38" i="10"/>
  <c r="K37" i="10"/>
  <c r="L36" i="10"/>
  <c r="K36" i="10"/>
  <c r="N35" i="10"/>
  <c r="K35" i="10"/>
  <c r="R103" i="8"/>
  <c r="Q103" i="8"/>
  <c r="P103" i="8"/>
  <c r="O103" i="8"/>
  <c r="N103" i="8"/>
  <c r="F103" i="8"/>
  <c r="E103" i="8"/>
  <c r="D103" i="8"/>
  <c r="C103" i="8"/>
  <c r="B103" i="8"/>
  <c r="R102" i="8"/>
  <c r="Q102" i="8"/>
  <c r="P102" i="8"/>
  <c r="O102" i="8"/>
  <c r="N102" i="8"/>
  <c r="F102" i="8"/>
  <c r="E102" i="8"/>
  <c r="D102" i="8"/>
  <c r="C102" i="8"/>
  <c r="B102" i="8"/>
  <c r="R101" i="8"/>
  <c r="Q101" i="8"/>
  <c r="P101" i="8"/>
  <c r="O101" i="8"/>
  <c r="N101" i="8"/>
  <c r="F101" i="8"/>
  <c r="E101" i="8"/>
  <c r="D101" i="8"/>
  <c r="C101" i="8"/>
  <c r="B101" i="8"/>
  <c r="R100" i="8"/>
  <c r="Q100" i="8"/>
  <c r="P100" i="8"/>
  <c r="O100" i="8"/>
  <c r="N100" i="8"/>
  <c r="F100" i="8"/>
  <c r="E100" i="8"/>
  <c r="D100" i="8"/>
  <c r="C100" i="8"/>
  <c r="B100" i="8"/>
  <c r="R99" i="8"/>
  <c r="Q99" i="8"/>
  <c r="P99" i="8"/>
  <c r="O99" i="8"/>
  <c r="N99" i="8"/>
  <c r="F99" i="8"/>
  <c r="E99" i="8"/>
  <c r="D99" i="8"/>
  <c r="C99" i="8"/>
  <c r="B99" i="8"/>
  <c r="R98" i="8"/>
  <c r="Q98" i="8"/>
  <c r="P98" i="8"/>
  <c r="O98" i="8"/>
  <c r="N98" i="8"/>
  <c r="F98" i="8"/>
  <c r="E98" i="8"/>
  <c r="D98" i="8"/>
  <c r="C98" i="8"/>
  <c r="B98" i="8"/>
  <c r="R97" i="8"/>
  <c r="Q97" i="8"/>
  <c r="P97" i="8"/>
  <c r="O97" i="8"/>
  <c r="N97" i="8"/>
  <c r="F97" i="8"/>
  <c r="E97" i="8"/>
  <c r="D97" i="8"/>
  <c r="C97" i="8"/>
  <c r="B97" i="8"/>
  <c r="R96" i="8"/>
  <c r="Q96" i="8"/>
  <c r="P96" i="8"/>
  <c r="O96" i="8"/>
  <c r="N96" i="8"/>
  <c r="F96" i="8"/>
  <c r="E96" i="8"/>
  <c r="D96" i="8"/>
  <c r="C96" i="8"/>
  <c r="B96" i="8"/>
  <c r="R95" i="8"/>
  <c r="Q95" i="8"/>
  <c r="P95" i="8"/>
  <c r="O95" i="8"/>
  <c r="N95" i="8"/>
  <c r="F95" i="8"/>
  <c r="E95" i="8"/>
  <c r="D95" i="8"/>
  <c r="C95" i="8"/>
  <c r="B95" i="8"/>
  <c r="R94" i="8"/>
  <c r="Q94" i="8"/>
  <c r="P94" i="8"/>
  <c r="O94" i="8"/>
  <c r="N94" i="8"/>
  <c r="F94" i="8"/>
  <c r="E94" i="8"/>
  <c r="D94" i="8"/>
  <c r="C94" i="8"/>
  <c r="B94" i="8"/>
  <c r="R93" i="8"/>
  <c r="Q93" i="8"/>
  <c r="P93" i="8"/>
  <c r="O93" i="8"/>
  <c r="N93" i="8"/>
  <c r="F93" i="8"/>
  <c r="E93" i="8"/>
  <c r="D93" i="8"/>
  <c r="C93" i="8"/>
  <c r="B93" i="8"/>
  <c r="R92" i="8"/>
  <c r="Q92" i="8"/>
  <c r="P92" i="8"/>
  <c r="O92" i="8"/>
  <c r="N92" i="8"/>
  <c r="F92" i="8"/>
  <c r="E92" i="8"/>
  <c r="D92" i="8"/>
  <c r="C92" i="8"/>
  <c r="B92" i="8"/>
  <c r="R91" i="8"/>
  <c r="Q91" i="8"/>
  <c r="P91" i="8"/>
  <c r="O91" i="8"/>
  <c r="N91" i="8"/>
  <c r="F91" i="8"/>
  <c r="E91" i="8"/>
  <c r="D91" i="8"/>
  <c r="C91" i="8"/>
  <c r="B91" i="8"/>
  <c r="R90" i="8"/>
  <c r="Q90" i="8"/>
  <c r="P90" i="8"/>
  <c r="O90" i="8"/>
  <c r="N90" i="8"/>
  <c r="F90" i="8"/>
  <c r="E90" i="8"/>
  <c r="D90" i="8"/>
  <c r="C90" i="8"/>
  <c r="B90" i="8"/>
  <c r="R89" i="8"/>
  <c r="Q89" i="8"/>
  <c r="P89" i="8"/>
  <c r="O89" i="8"/>
  <c r="N89" i="8"/>
  <c r="F89" i="8"/>
  <c r="E89" i="8"/>
  <c r="D89" i="8"/>
  <c r="C89" i="8"/>
  <c r="B89" i="8"/>
  <c r="R88" i="8"/>
  <c r="Q88" i="8"/>
  <c r="P88" i="8"/>
  <c r="O88" i="8"/>
  <c r="N88" i="8"/>
  <c r="F88" i="8"/>
  <c r="E88" i="8"/>
  <c r="D88" i="8"/>
  <c r="C88" i="8"/>
  <c r="B88" i="8"/>
  <c r="R87" i="8"/>
  <c r="Q87" i="8"/>
  <c r="P87" i="8"/>
  <c r="O87" i="8"/>
  <c r="N87" i="8"/>
  <c r="F87" i="8"/>
  <c r="E87" i="8"/>
  <c r="D87" i="8"/>
  <c r="C87" i="8"/>
  <c r="B87" i="8"/>
  <c r="R86" i="8"/>
  <c r="Q86" i="8"/>
  <c r="P86" i="8"/>
  <c r="O86" i="8"/>
  <c r="N86" i="8"/>
  <c r="F86" i="8"/>
  <c r="E86" i="8"/>
  <c r="D86" i="8"/>
  <c r="C86" i="8"/>
  <c r="B86" i="8"/>
  <c r="R85" i="8"/>
  <c r="Q85" i="8"/>
  <c r="P85" i="8"/>
  <c r="O85" i="8"/>
  <c r="N85" i="8"/>
  <c r="F85" i="8"/>
  <c r="E85" i="8"/>
  <c r="D85" i="8"/>
  <c r="C85" i="8"/>
  <c r="B85" i="8"/>
  <c r="R84" i="8"/>
  <c r="Q84" i="8"/>
  <c r="P84" i="8"/>
  <c r="O84" i="8"/>
  <c r="N84" i="8"/>
  <c r="F84" i="8"/>
  <c r="E84" i="8"/>
  <c r="D84" i="8"/>
  <c r="C84" i="8"/>
  <c r="B84" i="8"/>
  <c r="R83" i="8"/>
  <c r="Q83" i="8"/>
  <c r="P83" i="8"/>
  <c r="O83" i="8"/>
  <c r="N83" i="8"/>
  <c r="F83" i="8"/>
  <c r="E83" i="8"/>
  <c r="D83" i="8"/>
  <c r="C83" i="8"/>
  <c r="B83" i="8"/>
  <c r="R82" i="8"/>
  <c r="Q82" i="8"/>
  <c r="P82" i="8"/>
  <c r="O82" i="8"/>
  <c r="N82" i="8"/>
  <c r="F82" i="8"/>
  <c r="E82" i="8"/>
  <c r="D82" i="8"/>
  <c r="C82" i="8"/>
  <c r="B82" i="8"/>
  <c r="R81" i="8"/>
  <c r="Q81" i="8"/>
  <c r="P81" i="8"/>
  <c r="O81" i="8"/>
  <c r="N81" i="8"/>
  <c r="F81" i="8"/>
  <c r="E81" i="8"/>
  <c r="D81" i="8"/>
  <c r="C81" i="8"/>
  <c r="B81" i="8"/>
  <c r="R80" i="8"/>
  <c r="Q80" i="8"/>
  <c r="P80" i="8"/>
  <c r="O80" i="8"/>
  <c r="N80" i="8"/>
  <c r="F80" i="8"/>
  <c r="E80" i="8"/>
  <c r="D80" i="8"/>
  <c r="C80" i="8"/>
  <c r="B80" i="8"/>
  <c r="R79" i="8"/>
  <c r="Q79" i="8"/>
  <c r="P79" i="8"/>
  <c r="O79" i="8"/>
  <c r="N79" i="8"/>
  <c r="F79" i="8"/>
  <c r="E79" i="8"/>
  <c r="D79" i="8"/>
  <c r="C79" i="8"/>
  <c r="B79" i="8"/>
  <c r="R78" i="8"/>
  <c r="Q78" i="8"/>
  <c r="P78" i="8"/>
  <c r="O78" i="8"/>
  <c r="N78" i="8"/>
  <c r="F78" i="8"/>
  <c r="E78" i="8"/>
  <c r="D78" i="8"/>
  <c r="C78" i="8"/>
  <c r="B78" i="8"/>
  <c r="R77" i="8"/>
  <c r="Q77" i="8"/>
  <c r="P77" i="8"/>
  <c r="O77" i="8"/>
  <c r="N77" i="8"/>
  <c r="F77" i="8"/>
  <c r="E77" i="8"/>
  <c r="D77" i="8"/>
  <c r="C77" i="8"/>
  <c r="B77" i="8"/>
  <c r="R76" i="8"/>
  <c r="Q76" i="8"/>
  <c r="P76" i="8"/>
  <c r="O76" i="8"/>
  <c r="N76" i="8"/>
  <c r="F76" i="8"/>
  <c r="E76" i="8"/>
  <c r="D76" i="8"/>
  <c r="C76" i="8"/>
  <c r="B76" i="8"/>
  <c r="R75" i="8"/>
  <c r="Q75" i="8"/>
  <c r="P75" i="8"/>
  <c r="O75" i="8"/>
  <c r="N75" i="8"/>
  <c r="F75" i="8"/>
  <c r="E75" i="8"/>
  <c r="D75" i="8"/>
  <c r="C75" i="8"/>
  <c r="B75" i="8"/>
  <c r="R74" i="8"/>
  <c r="Q74" i="8"/>
  <c r="P74" i="8"/>
  <c r="O74" i="8"/>
  <c r="N74" i="8"/>
  <c r="F74" i="8"/>
  <c r="E74" i="8"/>
  <c r="D74" i="8"/>
  <c r="C74" i="8"/>
  <c r="B74" i="8"/>
  <c r="R73" i="8"/>
  <c r="Q73" i="8"/>
  <c r="P73" i="8"/>
  <c r="O73" i="8"/>
  <c r="N73" i="8"/>
  <c r="F73" i="8"/>
  <c r="E73" i="8"/>
  <c r="D73" i="8"/>
  <c r="C73" i="8"/>
  <c r="B73" i="8"/>
  <c r="R72" i="8"/>
  <c r="Q72" i="8"/>
  <c r="P72" i="8"/>
  <c r="O72" i="8"/>
  <c r="N72" i="8"/>
  <c r="F72" i="8"/>
  <c r="E72" i="8"/>
  <c r="D72" i="8"/>
  <c r="C72" i="8"/>
  <c r="B72" i="8"/>
  <c r="R71" i="8"/>
  <c r="Q71" i="8"/>
  <c r="P71" i="8"/>
  <c r="O71" i="8"/>
  <c r="N71" i="8"/>
  <c r="F71" i="8"/>
  <c r="E71" i="8"/>
  <c r="D71" i="8"/>
  <c r="C71" i="8"/>
  <c r="B71" i="8"/>
  <c r="R70" i="8"/>
  <c r="Q70" i="8"/>
  <c r="P70" i="8"/>
  <c r="O70" i="8"/>
  <c r="N70" i="8"/>
  <c r="F70" i="8"/>
  <c r="E70" i="8"/>
  <c r="D70" i="8"/>
  <c r="C70" i="8"/>
  <c r="B70" i="8"/>
  <c r="R69" i="8"/>
  <c r="Q69" i="8"/>
  <c r="P69" i="8"/>
  <c r="O69" i="8"/>
  <c r="N69" i="8"/>
  <c r="F69" i="8"/>
  <c r="E69" i="8"/>
  <c r="D69" i="8"/>
  <c r="C69" i="8"/>
  <c r="B69" i="8"/>
  <c r="R68" i="8"/>
  <c r="Q68" i="8"/>
  <c r="P68" i="8"/>
  <c r="O68" i="8"/>
  <c r="N68" i="8"/>
  <c r="F68" i="8"/>
  <c r="E68" i="8"/>
  <c r="D68" i="8"/>
  <c r="C68" i="8"/>
  <c r="B68" i="8"/>
  <c r="R67" i="8"/>
  <c r="Q67" i="8"/>
  <c r="P67" i="8"/>
  <c r="O67" i="8"/>
  <c r="N67" i="8"/>
  <c r="F67" i="8"/>
  <c r="E67" i="8"/>
  <c r="D67" i="8"/>
  <c r="C67" i="8"/>
  <c r="B67" i="8"/>
  <c r="R66" i="8"/>
  <c r="Q66" i="8"/>
  <c r="P66" i="8"/>
  <c r="O66" i="8"/>
  <c r="N66" i="8"/>
  <c r="F66" i="8"/>
  <c r="E66" i="8"/>
  <c r="D66" i="8"/>
  <c r="C66" i="8"/>
  <c r="B66" i="8"/>
  <c r="R65" i="8"/>
  <c r="Q65" i="8"/>
  <c r="P65" i="8"/>
  <c r="O65" i="8"/>
  <c r="N65" i="8"/>
  <c r="F65" i="8"/>
  <c r="E65" i="8"/>
  <c r="D65" i="8"/>
  <c r="C65" i="8"/>
  <c r="B65" i="8"/>
  <c r="R64" i="8"/>
  <c r="Q64" i="8"/>
  <c r="P64" i="8"/>
  <c r="O64" i="8"/>
  <c r="N64" i="8"/>
  <c r="F64" i="8"/>
  <c r="E64" i="8"/>
  <c r="D64" i="8"/>
  <c r="C64" i="8"/>
  <c r="B64" i="8"/>
  <c r="X63" i="8"/>
  <c r="W63" i="8"/>
  <c r="V63" i="8"/>
  <c r="U63" i="8"/>
  <c r="T63" i="8"/>
  <c r="R63" i="8"/>
  <c r="Q63" i="8"/>
  <c r="P63" i="8"/>
  <c r="O63" i="8"/>
  <c r="N63" i="8"/>
  <c r="L63" i="8"/>
  <c r="K63" i="8"/>
  <c r="J63" i="8"/>
  <c r="I63" i="8"/>
  <c r="H63" i="8"/>
  <c r="F63" i="8"/>
  <c r="E63" i="8"/>
  <c r="D63" i="8"/>
  <c r="C63" i="8"/>
  <c r="B63" i="8"/>
  <c r="X62" i="8"/>
  <c r="W62" i="8"/>
  <c r="V62" i="8"/>
  <c r="U62" i="8"/>
  <c r="T62" i="8"/>
  <c r="R62" i="8"/>
  <c r="Q62" i="8"/>
  <c r="P62" i="8"/>
  <c r="O62" i="8"/>
  <c r="N62" i="8"/>
  <c r="L62" i="8"/>
  <c r="K62" i="8"/>
  <c r="J62" i="8"/>
  <c r="I62" i="8"/>
  <c r="H62" i="8"/>
  <c r="F62" i="8"/>
  <c r="E62" i="8"/>
  <c r="D62" i="8"/>
  <c r="C62" i="8"/>
  <c r="B62" i="8"/>
  <c r="X61" i="8"/>
  <c r="W61" i="8"/>
  <c r="V61" i="8"/>
  <c r="U61" i="8"/>
  <c r="T61" i="8"/>
  <c r="R61" i="8"/>
  <c r="Q61" i="8"/>
  <c r="P61" i="8"/>
  <c r="O61" i="8"/>
  <c r="N61" i="8"/>
  <c r="L61" i="8"/>
  <c r="K61" i="8"/>
  <c r="J61" i="8"/>
  <c r="I61" i="8"/>
  <c r="H61" i="8"/>
  <c r="F61" i="8"/>
  <c r="E61" i="8"/>
  <c r="D61" i="8"/>
  <c r="C61" i="8"/>
  <c r="B61" i="8"/>
  <c r="X60" i="8"/>
  <c r="W60" i="8"/>
  <c r="V60" i="8"/>
  <c r="U60" i="8"/>
  <c r="T60" i="8"/>
  <c r="R60" i="8"/>
  <c r="Q60" i="8"/>
  <c r="P60" i="8"/>
  <c r="O60" i="8"/>
  <c r="N60" i="8"/>
  <c r="L60" i="8"/>
  <c r="K60" i="8"/>
  <c r="J60" i="8"/>
  <c r="I60" i="8"/>
  <c r="H60" i="8"/>
  <c r="F60" i="8"/>
  <c r="E60" i="8"/>
  <c r="D60" i="8"/>
  <c r="C60" i="8"/>
  <c r="B60" i="8"/>
  <c r="X59" i="8"/>
  <c r="W59" i="8"/>
  <c r="V59" i="8"/>
  <c r="U59" i="8"/>
  <c r="T59" i="8"/>
  <c r="R59" i="8"/>
  <c r="Q59" i="8"/>
  <c r="P59" i="8"/>
  <c r="O59" i="8"/>
  <c r="N59" i="8"/>
  <c r="L59" i="8"/>
  <c r="K59" i="8"/>
  <c r="J59" i="8"/>
  <c r="I59" i="8"/>
  <c r="H59" i="8"/>
  <c r="F59" i="8"/>
  <c r="E59" i="8"/>
  <c r="D59" i="8"/>
  <c r="C59" i="8"/>
  <c r="B59" i="8"/>
  <c r="X58" i="8"/>
  <c r="W58" i="8"/>
  <c r="V58" i="8"/>
  <c r="U58" i="8"/>
  <c r="T58" i="8"/>
  <c r="R58" i="8"/>
  <c r="Q58" i="8"/>
  <c r="P58" i="8"/>
  <c r="O58" i="8"/>
  <c r="N58" i="8"/>
  <c r="L58" i="8"/>
  <c r="K58" i="8"/>
  <c r="J58" i="8"/>
  <c r="I58" i="8"/>
  <c r="H58" i="8"/>
  <c r="F58" i="8"/>
  <c r="E58" i="8"/>
  <c r="D58" i="8"/>
  <c r="C58" i="8"/>
  <c r="B58" i="8"/>
  <c r="X57" i="8"/>
  <c r="W57" i="8"/>
  <c r="V57" i="8"/>
  <c r="U57" i="8"/>
  <c r="T57" i="8"/>
  <c r="R57" i="8"/>
  <c r="Q57" i="8"/>
  <c r="P57" i="8"/>
  <c r="O57" i="8"/>
  <c r="N57" i="8"/>
  <c r="L57" i="8"/>
  <c r="K57" i="8"/>
  <c r="J57" i="8"/>
  <c r="I57" i="8"/>
  <c r="H57" i="8"/>
  <c r="F57" i="8"/>
  <c r="E57" i="8"/>
  <c r="D57" i="8"/>
  <c r="C57" i="8"/>
  <c r="B57" i="8"/>
  <c r="X56" i="8"/>
  <c r="W56" i="8"/>
  <c r="V56" i="8"/>
  <c r="U56" i="8"/>
  <c r="T56" i="8"/>
  <c r="R56" i="8"/>
  <c r="Q56" i="8"/>
  <c r="P56" i="8"/>
  <c r="O56" i="8"/>
  <c r="N56" i="8"/>
  <c r="L56" i="8"/>
  <c r="K56" i="8"/>
  <c r="J56" i="8"/>
  <c r="I56" i="8"/>
  <c r="H56" i="8"/>
  <c r="F56" i="8"/>
  <c r="E56" i="8"/>
  <c r="D56" i="8"/>
  <c r="C56" i="8"/>
  <c r="B56" i="8"/>
  <c r="X55" i="8"/>
  <c r="W55" i="8"/>
  <c r="V55" i="8"/>
  <c r="U55" i="8"/>
  <c r="T55" i="8"/>
  <c r="R55" i="8"/>
  <c r="Q55" i="8"/>
  <c r="P55" i="8"/>
  <c r="O55" i="8"/>
  <c r="N55" i="8"/>
  <c r="L55" i="8"/>
  <c r="K55" i="8"/>
  <c r="J55" i="8"/>
  <c r="I55" i="8"/>
  <c r="H55" i="8"/>
  <c r="F55" i="8"/>
  <c r="E55" i="8"/>
  <c r="D55" i="8"/>
  <c r="C55" i="8"/>
  <c r="B55" i="8"/>
  <c r="X54" i="8"/>
  <c r="W54" i="8"/>
  <c r="V54" i="8"/>
  <c r="U54" i="8"/>
  <c r="T54" i="8"/>
  <c r="R54" i="8"/>
  <c r="Q54" i="8"/>
  <c r="P54" i="8"/>
  <c r="O54" i="8"/>
  <c r="N54" i="8"/>
  <c r="L54" i="8"/>
  <c r="K54" i="8"/>
  <c r="J54" i="8"/>
  <c r="I54" i="8"/>
  <c r="H54" i="8"/>
  <c r="F54" i="8"/>
  <c r="E54" i="8"/>
  <c r="D54" i="8"/>
  <c r="C54" i="8"/>
  <c r="B54" i="8"/>
  <c r="X53" i="8"/>
  <c r="W53" i="8"/>
  <c r="V53" i="8"/>
  <c r="U53" i="8"/>
  <c r="T53" i="8"/>
  <c r="R53" i="8"/>
  <c r="Q53" i="8"/>
  <c r="P53" i="8"/>
  <c r="O53" i="8"/>
  <c r="N53" i="8"/>
  <c r="L53" i="8"/>
  <c r="K53" i="8"/>
  <c r="J53" i="8"/>
  <c r="I53" i="8"/>
  <c r="H53" i="8"/>
  <c r="F53" i="8"/>
  <c r="E53" i="8"/>
  <c r="D53" i="8"/>
  <c r="C53" i="8"/>
  <c r="B53" i="8"/>
  <c r="X52" i="8"/>
  <c r="W52" i="8"/>
  <c r="V52" i="8"/>
  <c r="U52" i="8"/>
  <c r="T52" i="8"/>
  <c r="R52" i="8"/>
  <c r="Q52" i="8"/>
  <c r="P52" i="8"/>
  <c r="O52" i="8"/>
  <c r="N52" i="8"/>
  <c r="L52" i="8"/>
  <c r="K52" i="8"/>
  <c r="J52" i="8"/>
  <c r="I52" i="8"/>
  <c r="H52" i="8"/>
  <c r="F52" i="8"/>
  <c r="E52" i="8"/>
  <c r="D52" i="8"/>
  <c r="C52" i="8"/>
  <c r="B52" i="8"/>
  <c r="X51" i="8"/>
  <c r="W51" i="8"/>
  <c r="V51" i="8"/>
  <c r="U51" i="8"/>
  <c r="T51" i="8"/>
  <c r="R51" i="8"/>
  <c r="Q51" i="8"/>
  <c r="P51" i="8"/>
  <c r="O51" i="8"/>
  <c r="N51" i="8"/>
  <c r="L51" i="8"/>
  <c r="K51" i="8"/>
  <c r="J51" i="8"/>
  <c r="I51" i="8"/>
  <c r="H51" i="8"/>
  <c r="F51" i="8"/>
  <c r="E51" i="8"/>
  <c r="D51" i="8"/>
  <c r="C51" i="8"/>
  <c r="B51" i="8"/>
  <c r="X50" i="8"/>
  <c r="W50" i="8"/>
  <c r="V50" i="8"/>
  <c r="U50" i="8"/>
  <c r="T50" i="8"/>
  <c r="R50" i="8"/>
  <c r="Q50" i="8"/>
  <c r="P50" i="8"/>
  <c r="O50" i="8"/>
  <c r="N50" i="8"/>
  <c r="L50" i="8"/>
  <c r="K50" i="8"/>
  <c r="J50" i="8"/>
  <c r="I50" i="8"/>
  <c r="H50" i="8"/>
  <c r="F50" i="8"/>
  <c r="E50" i="8"/>
  <c r="D50" i="8"/>
  <c r="C50" i="8"/>
  <c r="B50" i="8"/>
  <c r="X49" i="8"/>
  <c r="W49" i="8"/>
  <c r="V49" i="8"/>
  <c r="U49" i="8"/>
  <c r="T49" i="8"/>
  <c r="R49" i="8"/>
  <c r="Q49" i="8"/>
  <c r="P49" i="8"/>
  <c r="O49" i="8"/>
  <c r="N49" i="8"/>
  <c r="L49" i="8"/>
  <c r="K49" i="8"/>
  <c r="J49" i="8"/>
  <c r="I49" i="8"/>
  <c r="H49" i="8"/>
  <c r="F49" i="8"/>
  <c r="E49" i="8"/>
  <c r="D49" i="8"/>
  <c r="C49" i="8"/>
  <c r="B49" i="8"/>
  <c r="X48" i="8"/>
  <c r="W48" i="8"/>
  <c r="V48" i="8"/>
  <c r="U48" i="8"/>
  <c r="T48" i="8"/>
  <c r="R48" i="8"/>
  <c r="Q48" i="8"/>
  <c r="P48" i="8"/>
  <c r="O48" i="8"/>
  <c r="N48" i="8"/>
  <c r="L48" i="8"/>
  <c r="K48" i="8"/>
  <c r="J48" i="8"/>
  <c r="I48" i="8"/>
  <c r="H48" i="8"/>
  <c r="F48" i="8"/>
  <c r="E48" i="8"/>
  <c r="D48" i="8"/>
  <c r="C48" i="8"/>
  <c r="B48" i="8"/>
  <c r="X47" i="8"/>
  <c r="W47" i="8"/>
  <c r="V47" i="8"/>
  <c r="U47" i="8"/>
  <c r="T47" i="8"/>
  <c r="R47" i="8"/>
  <c r="Q47" i="8"/>
  <c r="P47" i="8"/>
  <c r="O47" i="8"/>
  <c r="N47" i="8"/>
  <c r="L47" i="8"/>
  <c r="K47" i="8"/>
  <c r="J47" i="8"/>
  <c r="I47" i="8"/>
  <c r="H47" i="8"/>
  <c r="F47" i="8"/>
  <c r="E47" i="8"/>
  <c r="D47" i="8"/>
  <c r="C47" i="8"/>
  <c r="B47" i="8"/>
  <c r="X46" i="8"/>
  <c r="W46" i="8"/>
  <c r="V46" i="8"/>
  <c r="U46" i="8"/>
  <c r="T46" i="8"/>
  <c r="R46" i="8"/>
  <c r="Q46" i="8"/>
  <c r="P46" i="8"/>
  <c r="O46" i="8"/>
  <c r="N46" i="8"/>
  <c r="L46" i="8"/>
  <c r="K46" i="8"/>
  <c r="J46" i="8"/>
  <c r="I46" i="8"/>
  <c r="H46" i="8"/>
  <c r="F46" i="8"/>
  <c r="E46" i="8"/>
  <c r="D46" i="8"/>
  <c r="C46" i="8"/>
  <c r="B46" i="8"/>
  <c r="X45" i="8"/>
  <c r="W45" i="8"/>
  <c r="V45" i="8"/>
  <c r="U45" i="8"/>
  <c r="T45" i="8"/>
  <c r="R45" i="8"/>
  <c r="Q45" i="8"/>
  <c r="P45" i="8"/>
  <c r="O45" i="8"/>
  <c r="N45" i="8"/>
  <c r="L45" i="8"/>
  <c r="K45" i="8"/>
  <c r="J45" i="8"/>
  <c r="I45" i="8"/>
  <c r="H45" i="8"/>
  <c r="F45" i="8"/>
  <c r="E45" i="8"/>
  <c r="D45" i="8"/>
  <c r="C45" i="8"/>
  <c r="B45" i="8"/>
  <c r="X44" i="8"/>
  <c r="W44" i="8"/>
  <c r="V44" i="8"/>
  <c r="U44" i="8"/>
  <c r="T44" i="8"/>
  <c r="R44" i="8"/>
  <c r="Q44" i="8"/>
  <c r="P44" i="8"/>
  <c r="O44" i="8"/>
  <c r="N44" i="8"/>
  <c r="L44" i="8"/>
  <c r="K44" i="8"/>
  <c r="J44" i="8"/>
  <c r="I44" i="8"/>
  <c r="H44" i="8"/>
  <c r="F44" i="8"/>
  <c r="E44" i="8"/>
  <c r="D44" i="8"/>
  <c r="C44" i="8"/>
  <c r="B44" i="8"/>
  <c r="X43" i="8"/>
  <c r="W43" i="8"/>
  <c r="V43" i="8"/>
  <c r="U43" i="8"/>
  <c r="T43" i="8"/>
  <c r="R43" i="8"/>
  <c r="Q43" i="8"/>
  <c r="P43" i="8"/>
  <c r="O43" i="8"/>
  <c r="N43" i="8"/>
  <c r="L43" i="8"/>
  <c r="K43" i="8"/>
  <c r="J43" i="8"/>
  <c r="I43" i="8"/>
  <c r="H43" i="8"/>
  <c r="F43" i="8"/>
  <c r="E43" i="8"/>
  <c r="D43" i="8"/>
  <c r="C43" i="8"/>
  <c r="B43" i="8"/>
  <c r="X42" i="8"/>
  <c r="W42" i="8"/>
  <c r="V42" i="8"/>
  <c r="U42" i="8"/>
  <c r="T42" i="8"/>
  <c r="R42" i="8"/>
  <c r="Q42" i="8"/>
  <c r="P42" i="8"/>
  <c r="O42" i="8"/>
  <c r="N42" i="8"/>
  <c r="L42" i="8"/>
  <c r="K42" i="8"/>
  <c r="J42" i="8"/>
  <c r="I42" i="8"/>
  <c r="H42" i="8"/>
  <c r="F42" i="8"/>
  <c r="E42" i="8"/>
  <c r="D42" i="8"/>
  <c r="C42" i="8"/>
  <c r="B42" i="8"/>
  <c r="X41" i="8"/>
  <c r="W41" i="8"/>
  <c r="V41" i="8"/>
  <c r="U41" i="8"/>
  <c r="T41" i="8"/>
  <c r="R41" i="8"/>
  <c r="Q41" i="8"/>
  <c r="P41" i="8"/>
  <c r="O41" i="8"/>
  <c r="N41" i="8"/>
  <c r="L41" i="8"/>
  <c r="K41" i="8"/>
  <c r="J41" i="8"/>
  <c r="I41" i="8"/>
  <c r="H41" i="8"/>
  <c r="F41" i="8"/>
  <c r="E41" i="8"/>
  <c r="D41" i="8"/>
  <c r="C41" i="8"/>
  <c r="B41" i="8"/>
  <c r="X40" i="8"/>
  <c r="W40" i="8"/>
  <c r="V40" i="8"/>
  <c r="U40" i="8"/>
  <c r="T40" i="8"/>
  <c r="R40" i="8"/>
  <c r="Q40" i="8"/>
  <c r="P40" i="8"/>
  <c r="O40" i="8"/>
  <c r="N40" i="8"/>
  <c r="L40" i="8"/>
  <c r="K40" i="8"/>
  <c r="J40" i="8"/>
  <c r="I40" i="8"/>
  <c r="H40" i="8"/>
  <c r="F40" i="8"/>
  <c r="E40" i="8"/>
  <c r="D40" i="8"/>
  <c r="C40" i="8"/>
  <c r="B40" i="8"/>
  <c r="X39" i="8"/>
  <c r="W39" i="8"/>
  <c r="V39" i="8"/>
  <c r="U39" i="8"/>
  <c r="T39" i="8"/>
  <c r="R39" i="8"/>
  <c r="Q39" i="8"/>
  <c r="P39" i="8"/>
  <c r="O39" i="8"/>
  <c r="N39" i="8"/>
  <c r="L39" i="8"/>
  <c r="K39" i="8"/>
  <c r="J39" i="8"/>
  <c r="I39" i="8"/>
  <c r="H39" i="8"/>
  <c r="F39" i="8"/>
  <c r="E39" i="8"/>
  <c r="D39" i="8"/>
  <c r="C39" i="8"/>
  <c r="B39" i="8"/>
  <c r="X38" i="8"/>
  <c r="W38" i="8"/>
  <c r="V38" i="8"/>
  <c r="U38" i="8"/>
  <c r="T38" i="8"/>
  <c r="R38" i="8"/>
  <c r="Q38" i="8"/>
  <c r="P38" i="8"/>
  <c r="O38" i="8"/>
  <c r="N38" i="8"/>
  <c r="L38" i="8"/>
  <c r="K38" i="8"/>
  <c r="J38" i="8"/>
  <c r="I38" i="8"/>
  <c r="H38" i="8"/>
  <c r="F38" i="8"/>
  <c r="E38" i="8"/>
  <c r="D38" i="8"/>
  <c r="C38" i="8"/>
  <c r="B38" i="8"/>
  <c r="X37" i="8"/>
  <c r="W37" i="8"/>
  <c r="V37" i="8"/>
  <c r="U37" i="8"/>
  <c r="T37" i="8"/>
  <c r="R37" i="8"/>
  <c r="Q37" i="8"/>
  <c r="P37" i="8"/>
  <c r="O37" i="8"/>
  <c r="N37" i="8"/>
  <c r="L37" i="8"/>
  <c r="K37" i="8"/>
  <c r="J37" i="8"/>
  <c r="I37" i="8"/>
  <c r="H37" i="8"/>
  <c r="F37" i="8"/>
  <c r="E37" i="8"/>
  <c r="D37" i="8"/>
  <c r="C37" i="8"/>
  <c r="B37" i="8"/>
  <c r="X36" i="8"/>
  <c r="W36" i="8"/>
  <c r="V36" i="8"/>
  <c r="U36" i="8"/>
  <c r="T36" i="8"/>
  <c r="R36" i="8"/>
  <c r="Q36" i="8"/>
  <c r="P36" i="8"/>
  <c r="O36" i="8"/>
  <c r="N36" i="8"/>
  <c r="L36" i="8"/>
  <c r="K36" i="8"/>
  <c r="J36" i="8"/>
  <c r="I36" i="8"/>
  <c r="H36" i="8"/>
  <c r="F36" i="8"/>
  <c r="E36" i="8"/>
  <c r="D36" i="8"/>
  <c r="C36" i="8"/>
  <c r="B36" i="8"/>
  <c r="X35" i="8"/>
  <c r="W35" i="8"/>
  <c r="V35" i="8"/>
  <c r="U35" i="8"/>
  <c r="T35" i="8"/>
  <c r="R35" i="8"/>
  <c r="Q35" i="8"/>
  <c r="P35" i="8"/>
  <c r="O35" i="8"/>
  <c r="N35" i="8"/>
  <c r="L35" i="8"/>
  <c r="K35" i="8"/>
  <c r="J35" i="8"/>
  <c r="I35" i="8"/>
  <c r="H35" i="8"/>
  <c r="F35" i="8"/>
  <c r="E35" i="8"/>
  <c r="D35" i="8"/>
  <c r="C35" i="8"/>
  <c r="B35" i="8"/>
  <c r="X34" i="8"/>
  <c r="W34" i="8"/>
  <c r="V34" i="8"/>
  <c r="U34" i="8"/>
  <c r="T34" i="8"/>
  <c r="R34" i="8"/>
  <c r="Q34" i="8"/>
  <c r="P34" i="8"/>
  <c r="O34" i="8"/>
  <c r="N34" i="8"/>
  <c r="L34" i="8"/>
  <c r="K34" i="8"/>
  <c r="J34" i="8"/>
  <c r="I34" i="8"/>
  <c r="H34" i="8"/>
  <c r="F34" i="8"/>
  <c r="E34" i="8"/>
  <c r="D34" i="8"/>
  <c r="C34" i="8"/>
  <c r="B34" i="8"/>
  <c r="X33" i="8"/>
  <c r="W33" i="8"/>
  <c r="V33" i="8"/>
  <c r="U33" i="8"/>
  <c r="T33" i="8"/>
  <c r="R33" i="8"/>
  <c r="Q33" i="8"/>
  <c r="P33" i="8"/>
  <c r="O33" i="8"/>
  <c r="N33" i="8"/>
  <c r="L33" i="8"/>
  <c r="K33" i="8"/>
  <c r="J33" i="8"/>
  <c r="I33" i="8"/>
  <c r="H33" i="8"/>
  <c r="F33" i="8"/>
  <c r="E33" i="8"/>
  <c r="D33" i="8"/>
  <c r="C33" i="8"/>
  <c r="B33" i="8"/>
  <c r="X32" i="8"/>
  <c r="W32" i="8"/>
  <c r="V32" i="8"/>
  <c r="U32" i="8"/>
  <c r="T32" i="8"/>
  <c r="R32" i="8"/>
  <c r="Q32" i="8"/>
  <c r="P32" i="8"/>
  <c r="O32" i="8"/>
  <c r="N32" i="8"/>
  <c r="L32" i="8"/>
  <c r="K32" i="8"/>
  <c r="J32" i="8"/>
  <c r="I32" i="8"/>
  <c r="H32" i="8"/>
  <c r="F32" i="8"/>
  <c r="E32" i="8"/>
  <c r="D32" i="8"/>
  <c r="C32" i="8"/>
  <c r="B32" i="8"/>
  <c r="X31" i="8"/>
  <c r="W31" i="8"/>
  <c r="V31" i="8"/>
  <c r="U31" i="8"/>
  <c r="T31" i="8"/>
  <c r="R31" i="8"/>
  <c r="Q31" i="8"/>
  <c r="P31" i="8"/>
  <c r="O31" i="8"/>
  <c r="N31" i="8"/>
  <c r="L31" i="8"/>
  <c r="K31" i="8"/>
  <c r="J31" i="8"/>
  <c r="I31" i="8"/>
  <c r="H31" i="8"/>
  <c r="F31" i="8"/>
  <c r="E31" i="8"/>
  <c r="D31" i="8"/>
  <c r="C31" i="8"/>
  <c r="B31" i="8"/>
  <c r="X30" i="8"/>
  <c r="W30" i="8"/>
  <c r="V30" i="8"/>
  <c r="U30" i="8"/>
  <c r="T30" i="8"/>
  <c r="R30" i="8"/>
  <c r="Q30" i="8"/>
  <c r="P30" i="8"/>
  <c r="O30" i="8"/>
  <c r="N30" i="8"/>
  <c r="L30" i="8"/>
  <c r="K30" i="8"/>
  <c r="J30" i="8"/>
  <c r="I30" i="8"/>
  <c r="H30" i="8"/>
  <c r="F30" i="8"/>
  <c r="E30" i="8"/>
  <c r="D30" i="8"/>
  <c r="C30" i="8"/>
  <c r="B30" i="8"/>
  <c r="X29" i="8"/>
  <c r="W29" i="8"/>
  <c r="V29" i="8"/>
  <c r="U29" i="8"/>
  <c r="T29" i="8"/>
  <c r="R29" i="8"/>
  <c r="Q29" i="8"/>
  <c r="P29" i="8"/>
  <c r="O29" i="8"/>
  <c r="N29" i="8"/>
  <c r="L29" i="8"/>
  <c r="K29" i="8"/>
  <c r="J29" i="8"/>
  <c r="I29" i="8"/>
  <c r="H29" i="8"/>
  <c r="F29" i="8"/>
  <c r="E29" i="8"/>
  <c r="D29" i="8"/>
  <c r="C29" i="8"/>
  <c r="B29" i="8"/>
  <c r="X28" i="8"/>
  <c r="W28" i="8"/>
  <c r="V28" i="8"/>
  <c r="U28" i="8"/>
  <c r="T28" i="8"/>
  <c r="R28" i="8"/>
  <c r="Q28" i="8"/>
  <c r="P28" i="8"/>
  <c r="O28" i="8"/>
  <c r="N28" i="8"/>
  <c r="L28" i="8"/>
  <c r="K28" i="8"/>
  <c r="J28" i="8"/>
  <c r="I28" i="8"/>
  <c r="H28" i="8"/>
  <c r="F28" i="8"/>
  <c r="E28" i="8"/>
  <c r="D28" i="8"/>
  <c r="C28" i="8"/>
  <c r="B28" i="8"/>
  <c r="X27" i="8"/>
  <c r="W27" i="8"/>
  <c r="V27" i="8"/>
  <c r="U27" i="8"/>
  <c r="T27" i="8"/>
  <c r="R27" i="8"/>
  <c r="Q27" i="8"/>
  <c r="P27" i="8"/>
  <c r="O27" i="8"/>
  <c r="N27" i="8"/>
  <c r="L27" i="8"/>
  <c r="K27" i="8"/>
  <c r="J27" i="8"/>
  <c r="I27" i="8"/>
  <c r="H27" i="8"/>
  <c r="F27" i="8"/>
  <c r="E27" i="8"/>
  <c r="D27" i="8"/>
  <c r="C27" i="8"/>
  <c r="B27" i="8"/>
  <c r="X26" i="8"/>
  <c r="W26" i="8"/>
  <c r="V26" i="8"/>
  <c r="U26" i="8"/>
  <c r="T26" i="8"/>
  <c r="R26" i="8"/>
  <c r="Q26" i="8"/>
  <c r="P26" i="8"/>
  <c r="O26" i="8"/>
  <c r="N26" i="8"/>
  <c r="L26" i="8"/>
  <c r="K26" i="8"/>
  <c r="J26" i="8"/>
  <c r="I26" i="8"/>
  <c r="H26" i="8"/>
  <c r="F26" i="8"/>
  <c r="E26" i="8"/>
  <c r="D26" i="8"/>
  <c r="C26" i="8"/>
  <c r="B26" i="8"/>
  <c r="X25" i="8"/>
  <c r="W25" i="8"/>
  <c r="V25" i="8"/>
  <c r="U25" i="8"/>
  <c r="T25" i="8"/>
  <c r="R25" i="8"/>
  <c r="Q25" i="8"/>
  <c r="P25" i="8"/>
  <c r="O25" i="8"/>
  <c r="N25" i="8"/>
  <c r="L25" i="8"/>
  <c r="K25" i="8"/>
  <c r="J25" i="8"/>
  <c r="I25" i="8"/>
  <c r="H25" i="8"/>
  <c r="F25" i="8"/>
  <c r="E25" i="8"/>
  <c r="D25" i="8"/>
  <c r="C25" i="8"/>
  <c r="B25" i="8"/>
  <c r="X24" i="8"/>
  <c r="W24" i="8"/>
  <c r="V24" i="8"/>
  <c r="U24" i="8"/>
  <c r="T24" i="8"/>
  <c r="R24" i="8"/>
  <c r="Q24" i="8"/>
  <c r="P24" i="8"/>
  <c r="O24" i="8"/>
  <c r="N24" i="8"/>
  <c r="L24" i="8"/>
  <c r="K24" i="8"/>
  <c r="J24" i="8"/>
  <c r="I24" i="8"/>
  <c r="H24" i="8"/>
  <c r="F24" i="8"/>
  <c r="E24" i="8"/>
  <c r="D24" i="8"/>
  <c r="C24" i="8"/>
  <c r="B24" i="8"/>
  <c r="X23" i="8"/>
  <c r="W23" i="8"/>
  <c r="V23" i="8"/>
  <c r="U23" i="8"/>
  <c r="T23" i="8"/>
  <c r="R23" i="8"/>
  <c r="Q23" i="8"/>
  <c r="P23" i="8"/>
  <c r="O23" i="8"/>
  <c r="N23" i="8"/>
  <c r="L23" i="8"/>
  <c r="K23" i="8"/>
  <c r="J23" i="8"/>
  <c r="I23" i="8"/>
  <c r="H23" i="8"/>
  <c r="F23" i="8"/>
  <c r="E23" i="8"/>
  <c r="D23" i="8"/>
  <c r="C23" i="8"/>
  <c r="B23" i="8"/>
  <c r="X22" i="8"/>
  <c r="W22" i="8"/>
  <c r="V22" i="8"/>
  <c r="U22" i="8"/>
  <c r="T22" i="8"/>
  <c r="R22" i="8"/>
  <c r="Q22" i="8"/>
  <c r="P22" i="8"/>
  <c r="O22" i="8"/>
  <c r="N22" i="8"/>
  <c r="L22" i="8"/>
  <c r="K22" i="8"/>
  <c r="J22" i="8"/>
  <c r="I22" i="8"/>
  <c r="H22" i="8"/>
  <c r="F22" i="8"/>
  <c r="E22" i="8"/>
  <c r="D22" i="8"/>
  <c r="C22" i="8"/>
  <c r="B22" i="8"/>
  <c r="X21" i="8"/>
  <c r="W21" i="8"/>
  <c r="V21" i="8"/>
  <c r="U21" i="8"/>
  <c r="T21" i="8"/>
  <c r="R21" i="8"/>
  <c r="Q21" i="8"/>
  <c r="P21" i="8"/>
  <c r="O21" i="8"/>
  <c r="N21" i="8"/>
  <c r="L21" i="8"/>
  <c r="K21" i="8"/>
  <c r="J21" i="8"/>
  <c r="I21" i="8"/>
  <c r="H21" i="8"/>
  <c r="F21" i="8"/>
  <c r="E21" i="8"/>
  <c r="D21" i="8"/>
  <c r="C21" i="8"/>
  <c r="B21" i="8"/>
  <c r="X20" i="8"/>
  <c r="W20" i="8"/>
  <c r="V20" i="8"/>
  <c r="U20" i="8"/>
  <c r="T20" i="8"/>
  <c r="R20" i="8"/>
  <c r="Q20" i="8"/>
  <c r="P20" i="8"/>
  <c r="O20" i="8"/>
  <c r="N20" i="8"/>
  <c r="L20" i="8"/>
  <c r="K20" i="8"/>
  <c r="J20" i="8"/>
  <c r="I20" i="8"/>
  <c r="H20" i="8"/>
  <c r="F20" i="8"/>
  <c r="E20" i="8"/>
  <c r="D20" i="8"/>
  <c r="C20" i="8"/>
  <c r="B20" i="8"/>
  <c r="X19" i="8"/>
  <c r="W19" i="8"/>
  <c r="V19" i="8"/>
  <c r="U19" i="8"/>
  <c r="T19" i="8"/>
  <c r="R19" i="8"/>
  <c r="Q19" i="8"/>
  <c r="P19" i="8"/>
  <c r="O19" i="8"/>
  <c r="N19" i="8"/>
  <c r="L19" i="8"/>
  <c r="K19" i="8"/>
  <c r="J19" i="8"/>
  <c r="I19" i="8"/>
  <c r="H19" i="8"/>
  <c r="F19" i="8"/>
  <c r="E19" i="8"/>
  <c r="D19" i="8"/>
  <c r="C19" i="8"/>
  <c r="B19" i="8"/>
  <c r="X18" i="8"/>
  <c r="W18" i="8"/>
  <c r="V18" i="8"/>
  <c r="U18" i="8"/>
  <c r="T18" i="8"/>
  <c r="R18" i="8"/>
  <c r="Q18" i="8"/>
  <c r="P18" i="8"/>
  <c r="O18" i="8"/>
  <c r="N18" i="8"/>
  <c r="L18" i="8"/>
  <c r="K18" i="8"/>
  <c r="J18" i="8"/>
  <c r="I18" i="8"/>
  <c r="H18" i="8"/>
  <c r="F18" i="8"/>
  <c r="E18" i="8"/>
  <c r="D18" i="8"/>
  <c r="C18" i="8"/>
  <c r="B18" i="8"/>
  <c r="X17" i="8"/>
  <c r="W17" i="8"/>
  <c r="V17" i="8"/>
  <c r="U17" i="8"/>
  <c r="T17" i="8"/>
  <c r="R17" i="8"/>
  <c r="Q17" i="8"/>
  <c r="P17" i="8"/>
  <c r="O17" i="8"/>
  <c r="N17" i="8"/>
  <c r="L17" i="8"/>
  <c r="K17" i="8"/>
  <c r="J17" i="8"/>
  <c r="I17" i="8"/>
  <c r="H17" i="8"/>
  <c r="F17" i="8"/>
  <c r="E17" i="8"/>
  <c r="D17" i="8"/>
  <c r="C17" i="8"/>
  <c r="B17" i="8"/>
  <c r="X16" i="8"/>
  <c r="W16" i="8"/>
  <c r="V16" i="8"/>
  <c r="U16" i="8"/>
  <c r="T16" i="8"/>
  <c r="R16" i="8"/>
  <c r="Q16" i="8"/>
  <c r="P16" i="8"/>
  <c r="O16" i="8"/>
  <c r="N16" i="8"/>
  <c r="L16" i="8"/>
  <c r="K16" i="8"/>
  <c r="J16" i="8"/>
  <c r="I16" i="8"/>
  <c r="H16" i="8"/>
  <c r="F16" i="8"/>
  <c r="E16" i="8"/>
  <c r="D16" i="8"/>
  <c r="C16" i="8"/>
  <c r="B16" i="8"/>
  <c r="X15" i="8"/>
  <c r="W15" i="8"/>
  <c r="V15" i="8"/>
  <c r="U15" i="8"/>
  <c r="T15" i="8"/>
  <c r="R15" i="8"/>
  <c r="Q15" i="8"/>
  <c r="P15" i="8"/>
  <c r="O15" i="8"/>
  <c r="N15" i="8"/>
  <c r="L15" i="8"/>
  <c r="K15" i="8"/>
  <c r="J15" i="8"/>
  <c r="I15" i="8"/>
  <c r="H15" i="8"/>
  <c r="F15" i="8"/>
  <c r="E15" i="8"/>
  <c r="D15" i="8"/>
  <c r="C15" i="8"/>
  <c r="B15" i="8"/>
  <c r="X14" i="8"/>
  <c r="W14" i="8"/>
  <c r="V14" i="8"/>
  <c r="U14" i="8"/>
  <c r="T14" i="8"/>
  <c r="R14" i="8"/>
  <c r="Q14" i="8"/>
  <c r="P14" i="8"/>
  <c r="O14" i="8"/>
  <c r="N14" i="8"/>
  <c r="L14" i="8"/>
  <c r="K14" i="8"/>
  <c r="J14" i="8"/>
  <c r="I14" i="8"/>
  <c r="H14" i="8"/>
  <c r="F14" i="8"/>
  <c r="E14" i="8"/>
  <c r="D14" i="8"/>
  <c r="C14" i="8"/>
  <c r="B14" i="8"/>
  <c r="X13" i="8"/>
  <c r="W13" i="8"/>
  <c r="V13" i="8"/>
  <c r="U13" i="8"/>
  <c r="T13" i="8"/>
  <c r="R13" i="8"/>
  <c r="Q13" i="8"/>
  <c r="P13" i="8"/>
  <c r="O13" i="8"/>
  <c r="N13" i="8"/>
  <c r="L13" i="8"/>
  <c r="K13" i="8"/>
  <c r="J13" i="8"/>
  <c r="I13" i="8"/>
  <c r="H13" i="8"/>
  <c r="F13" i="8"/>
  <c r="E13" i="8"/>
  <c r="D13" i="8"/>
  <c r="C13" i="8"/>
  <c r="B13" i="8"/>
  <c r="X12" i="8"/>
  <c r="W12" i="8"/>
  <c r="V12" i="8"/>
  <c r="U12" i="8"/>
  <c r="T12" i="8"/>
  <c r="R12" i="8"/>
  <c r="Q12" i="8"/>
  <c r="P12" i="8"/>
  <c r="O12" i="8"/>
  <c r="N12" i="8"/>
  <c r="L12" i="8"/>
  <c r="K12" i="8"/>
  <c r="J12" i="8"/>
  <c r="I12" i="8"/>
  <c r="H12" i="8"/>
  <c r="F12" i="8"/>
  <c r="E12" i="8"/>
  <c r="D12" i="8"/>
  <c r="C12" i="8"/>
  <c r="B12" i="8"/>
  <c r="X11" i="8"/>
  <c r="W11" i="8"/>
  <c r="V11" i="8"/>
  <c r="U11" i="8"/>
  <c r="T11" i="8"/>
  <c r="R11" i="8"/>
  <c r="Q11" i="8"/>
  <c r="P11" i="8"/>
  <c r="O11" i="8"/>
  <c r="N11" i="8"/>
  <c r="L11" i="8"/>
  <c r="K11" i="8"/>
  <c r="J11" i="8"/>
  <c r="I11" i="8"/>
  <c r="H11" i="8"/>
  <c r="F11" i="8"/>
  <c r="E11" i="8"/>
  <c r="D11" i="8"/>
  <c r="C11" i="8"/>
  <c r="B11" i="8"/>
  <c r="X10" i="8"/>
  <c r="W10" i="8"/>
  <c r="V10" i="8"/>
  <c r="U10" i="8"/>
  <c r="T10" i="8"/>
  <c r="R10" i="8"/>
  <c r="Q10" i="8"/>
  <c r="P10" i="8"/>
  <c r="O10" i="8"/>
  <c r="N10" i="8"/>
  <c r="L10" i="8"/>
  <c r="K10" i="8"/>
  <c r="J10" i="8"/>
  <c r="I10" i="8"/>
  <c r="H10" i="8"/>
  <c r="F10" i="8"/>
  <c r="E10" i="8"/>
  <c r="D10" i="8"/>
  <c r="C10" i="8"/>
  <c r="B10" i="8"/>
  <c r="X9" i="8"/>
  <c r="W9" i="8"/>
  <c r="V9" i="8"/>
  <c r="U9" i="8"/>
  <c r="T9" i="8"/>
  <c r="R9" i="8"/>
  <c r="Q9" i="8"/>
  <c r="P9" i="8"/>
  <c r="O9" i="8"/>
  <c r="N9" i="8"/>
  <c r="L9" i="8"/>
  <c r="K9" i="8"/>
  <c r="J9" i="8"/>
  <c r="I9" i="8"/>
  <c r="H9" i="8"/>
  <c r="F9" i="8"/>
  <c r="E9" i="8"/>
  <c r="D9" i="8"/>
  <c r="C9" i="8"/>
  <c r="B9" i="8"/>
  <c r="X8" i="8"/>
  <c r="W8" i="8"/>
  <c r="V8" i="8"/>
  <c r="U8" i="8"/>
  <c r="T8" i="8"/>
  <c r="R8" i="8"/>
  <c r="Q8" i="8"/>
  <c r="P8" i="8"/>
  <c r="O8" i="8"/>
  <c r="N8" i="8"/>
  <c r="L8" i="8"/>
  <c r="K8" i="8"/>
  <c r="J8" i="8"/>
  <c r="I8" i="8"/>
  <c r="H8" i="8"/>
  <c r="F8" i="8"/>
  <c r="E8" i="8"/>
  <c r="D8" i="8"/>
  <c r="C8" i="8"/>
  <c r="B8" i="8"/>
  <c r="X7" i="8"/>
  <c r="W7" i="8"/>
  <c r="V7" i="8"/>
  <c r="U7" i="8"/>
  <c r="T7" i="8"/>
  <c r="R7" i="8"/>
  <c r="Q7" i="8"/>
  <c r="P7" i="8"/>
  <c r="O7" i="8"/>
  <c r="N7" i="8"/>
  <c r="L7" i="8"/>
  <c r="K7" i="8"/>
  <c r="J7" i="8"/>
  <c r="I7" i="8"/>
  <c r="H7" i="8"/>
  <c r="F7" i="8"/>
  <c r="E7" i="8"/>
  <c r="D7" i="8"/>
  <c r="C7" i="8"/>
  <c r="B7" i="8"/>
  <c r="X6" i="8"/>
  <c r="W6" i="8"/>
  <c r="V6" i="8"/>
  <c r="U6" i="8"/>
  <c r="T6" i="8"/>
  <c r="R6" i="8"/>
  <c r="Q6" i="8"/>
  <c r="P6" i="8"/>
  <c r="O6" i="8"/>
  <c r="N6" i="8"/>
  <c r="L6" i="8"/>
  <c r="K6" i="8"/>
  <c r="J6" i="8"/>
  <c r="I6" i="8"/>
  <c r="H6" i="8"/>
  <c r="F6" i="8"/>
  <c r="E6" i="8"/>
  <c r="D6" i="8"/>
  <c r="C6" i="8"/>
  <c r="B6" i="8"/>
  <c r="X5" i="8"/>
  <c r="W5" i="8"/>
  <c r="V5" i="8"/>
  <c r="U5" i="8"/>
  <c r="T5" i="8"/>
  <c r="R5" i="8"/>
  <c r="Q5" i="8"/>
  <c r="P5" i="8"/>
  <c r="O5" i="8"/>
  <c r="N5" i="8"/>
  <c r="L5" i="8"/>
  <c r="K5" i="8"/>
  <c r="J5" i="8"/>
  <c r="I5" i="8"/>
  <c r="H5" i="8"/>
  <c r="F5" i="8"/>
  <c r="E5" i="8"/>
  <c r="D5" i="8"/>
  <c r="C5" i="8"/>
  <c r="B5" i="8"/>
  <c r="X4" i="8"/>
  <c r="W4" i="8"/>
  <c r="V4" i="8"/>
  <c r="U4" i="8"/>
  <c r="T4" i="8"/>
  <c r="R4" i="8"/>
  <c r="Q4" i="8"/>
  <c r="P4" i="8"/>
  <c r="O4" i="8"/>
  <c r="N4" i="8"/>
  <c r="L4" i="8"/>
  <c r="K4" i="8"/>
  <c r="J4" i="8"/>
  <c r="I4" i="8"/>
  <c r="H4" i="8"/>
  <c r="F4" i="8"/>
  <c r="E4" i="8"/>
  <c r="D4" i="8"/>
  <c r="C4" i="8"/>
  <c r="B4" i="8"/>
  <c r="X3" i="8"/>
  <c r="W3" i="8"/>
  <c r="V3" i="8"/>
  <c r="U3" i="8"/>
  <c r="T3" i="8"/>
  <c r="R3" i="8"/>
  <c r="Q3" i="8"/>
  <c r="P3" i="8"/>
  <c r="O3" i="8"/>
  <c r="N3" i="8"/>
  <c r="L3" i="8"/>
  <c r="K3" i="8"/>
  <c r="J3" i="8"/>
  <c r="I3" i="8"/>
  <c r="H3" i="8"/>
  <c r="F3" i="8"/>
  <c r="E3" i="8"/>
  <c r="D3" i="8"/>
  <c r="C3" i="8"/>
  <c r="B3" i="8"/>
  <c r="H21" i="7"/>
  <c r="G21" i="7"/>
  <c r="F21" i="7"/>
  <c r="E21" i="7"/>
  <c r="D21" i="7"/>
  <c r="C21" i="7"/>
  <c r="H19" i="7"/>
  <c r="G19" i="7"/>
  <c r="F19" i="7"/>
  <c r="E19" i="7"/>
  <c r="L38" i="7" s="1"/>
  <c r="D19" i="7"/>
  <c r="C19" i="7"/>
  <c r="H18" i="7"/>
  <c r="G18" i="7"/>
  <c r="F18" i="7"/>
  <c r="E18" i="7"/>
  <c r="D18" i="7"/>
  <c r="C18" i="7"/>
  <c r="H17" i="7"/>
  <c r="G17" i="7"/>
  <c r="F17" i="7"/>
  <c r="E17" i="7"/>
  <c r="J38" i="7" s="1"/>
  <c r="D17" i="7"/>
  <c r="C17" i="7"/>
  <c r="H16" i="7"/>
  <c r="G16" i="7"/>
  <c r="F16" i="7"/>
  <c r="E16" i="7"/>
  <c r="D16" i="7"/>
  <c r="C16" i="7"/>
  <c r="H14" i="7"/>
  <c r="G14" i="7"/>
  <c r="F14" i="7"/>
  <c r="E14" i="7"/>
  <c r="L37" i="7" s="1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9" i="7"/>
  <c r="G9" i="7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J36" i="7" s="1"/>
  <c r="D7" i="7"/>
  <c r="C7" i="7"/>
  <c r="H6" i="7"/>
  <c r="G6" i="7"/>
  <c r="F6" i="7"/>
  <c r="E6" i="7"/>
  <c r="N35" i="7" s="1"/>
  <c r="D6" i="7"/>
  <c r="C6" i="7"/>
  <c r="H4" i="7"/>
  <c r="G4" i="7"/>
  <c r="F4" i="7"/>
  <c r="E4" i="7"/>
  <c r="D4" i="7"/>
  <c r="C4" i="7"/>
  <c r="H3" i="7"/>
  <c r="G3" i="7"/>
  <c r="F3" i="7"/>
  <c r="E3" i="7"/>
  <c r="D3" i="7"/>
  <c r="C3" i="7"/>
  <c r="H2" i="7"/>
  <c r="G2" i="7"/>
  <c r="F2" i="7"/>
  <c r="E2" i="7"/>
  <c r="J35" i="7" s="1"/>
  <c r="D2" i="7"/>
  <c r="C2" i="7"/>
  <c r="K38" i="7"/>
  <c r="M37" i="7"/>
  <c r="K37" i="7"/>
  <c r="K36" i="7"/>
  <c r="M35" i="7"/>
  <c r="L35" i="7"/>
  <c r="K35" i="7"/>
  <c r="N38" i="7"/>
  <c r="M38" i="7"/>
  <c r="N37" i="7"/>
  <c r="J37" i="7"/>
  <c r="N36" i="7"/>
  <c r="M36" i="7"/>
  <c r="L36" i="7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K38" i="1"/>
  <c r="K37" i="1"/>
  <c r="K36" i="1"/>
  <c r="H18" i="1"/>
  <c r="G18" i="1"/>
  <c r="F18" i="1"/>
  <c r="E18" i="1"/>
  <c r="D18" i="1"/>
  <c r="C18" i="1"/>
  <c r="C21" i="1"/>
  <c r="H13" i="1"/>
  <c r="G13" i="1"/>
  <c r="F13" i="1"/>
  <c r="E13" i="1"/>
  <c r="D13" i="1"/>
  <c r="C13" i="1"/>
  <c r="H16" i="1"/>
  <c r="G16" i="1"/>
  <c r="F16" i="1"/>
  <c r="E16" i="1"/>
  <c r="H8" i="1"/>
  <c r="G8" i="1"/>
  <c r="F8" i="1"/>
  <c r="E8" i="1"/>
  <c r="D8" i="1"/>
  <c r="C8" i="1"/>
  <c r="C7" i="1"/>
  <c r="H21" i="1"/>
  <c r="G21" i="1"/>
  <c r="F21" i="1"/>
  <c r="E21" i="1"/>
  <c r="D21" i="1"/>
  <c r="D16" i="1"/>
  <c r="C16" i="1"/>
  <c r="H11" i="1"/>
  <c r="G11" i="1"/>
  <c r="F11" i="1"/>
  <c r="E11" i="1"/>
  <c r="D11" i="1"/>
  <c r="C11" i="1"/>
  <c r="H6" i="1"/>
  <c r="G6" i="1"/>
  <c r="F6" i="1"/>
  <c r="E6" i="1"/>
  <c r="D6" i="1"/>
  <c r="C6" i="1"/>
  <c r="H3" i="1"/>
  <c r="G3" i="1"/>
  <c r="F3" i="1"/>
  <c r="E3" i="1"/>
  <c r="K35" i="1" s="1"/>
  <c r="D3" i="1"/>
  <c r="C3" i="1"/>
  <c r="G7" i="1"/>
  <c r="H41" i="2"/>
  <c r="R103" i="2" l="1"/>
  <c r="Q103" i="2"/>
  <c r="P103" i="2"/>
  <c r="N103" i="2"/>
  <c r="F103" i="2"/>
  <c r="E103" i="2"/>
  <c r="D103" i="2"/>
  <c r="B103" i="2"/>
  <c r="R102" i="2"/>
  <c r="Q102" i="2"/>
  <c r="P102" i="2"/>
  <c r="N102" i="2"/>
  <c r="F102" i="2"/>
  <c r="E102" i="2"/>
  <c r="D102" i="2"/>
  <c r="B102" i="2"/>
  <c r="R101" i="2"/>
  <c r="Q101" i="2"/>
  <c r="P101" i="2"/>
  <c r="N101" i="2"/>
  <c r="F101" i="2"/>
  <c r="E101" i="2"/>
  <c r="D101" i="2"/>
  <c r="B101" i="2"/>
  <c r="R100" i="2"/>
  <c r="Q100" i="2"/>
  <c r="P100" i="2"/>
  <c r="N100" i="2"/>
  <c r="F100" i="2"/>
  <c r="E100" i="2"/>
  <c r="D100" i="2"/>
  <c r="B100" i="2"/>
  <c r="R99" i="2"/>
  <c r="Q99" i="2"/>
  <c r="P99" i="2"/>
  <c r="N99" i="2"/>
  <c r="F99" i="2"/>
  <c r="E99" i="2"/>
  <c r="D99" i="2"/>
  <c r="B99" i="2"/>
  <c r="R98" i="2"/>
  <c r="Q98" i="2"/>
  <c r="P98" i="2"/>
  <c r="N98" i="2"/>
  <c r="F98" i="2"/>
  <c r="E98" i="2"/>
  <c r="D98" i="2"/>
  <c r="B98" i="2"/>
  <c r="R97" i="2"/>
  <c r="Q97" i="2"/>
  <c r="P97" i="2"/>
  <c r="N97" i="2"/>
  <c r="F97" i="2"/>
  <c r="E97" i="2"/>
  <c r="D97" i="2"/>
  <c r="B97" i="2"/>
  <c r="R96" i="2"/>
  <c r="Q96" i="2"/>
  <c r="P96" i="2"/>
  <c r="N96" i="2"/>
  <c r="F96" i="2"/>
  <c r="E96" i="2"/>
  <c r="D96" i="2"/>
  <c r="B96" i="2"/>
  <c r="R95" i="2"/>
  <c r="Q95" i="2"/>
  <c r="P95" i="2"/>
  <c r="N95" i="2"/>
  <c r="F95" i="2"/>
  <c r="E95" i="2"/>
  <c r="D95" i="2"/>
  <c r="B95" i="2"/>
  <c r="R94" i="2"/>
  <c r="Q94" i="2"/>
  <c r="P94" i="2"/>
  <c r="N94" i="2"/>
  <c r="F94" i="2"/>
  <c r="E94" i="2"/>
  <c r="D94" i="2"/>
  <c r="B94" i="2"/>
  <c r="R93" i="2"/>
  <c r="Q93" i="2"/>
  <c r="P93" i="2"/>
  <c r="N93" i="2"/>
  <c r="F93" i="2"/>
  <c r="E93" i="2"/>
  <c r="D93" i="2"/>
  <c r="B93" i="2"/>
  <c r="R92" i="2"/>
  <c r="Q92" i="2"/>
  <c r="P92" i="2"/>
  <c r="N92" i="2"/>
  <c r="F92" i="2"/>
  <c r="E92" i="2"/>
  <c r="D92" i="2"/>
  <c r="B92" i="2"/>
  <c r="R91" i="2"/>
  <c r="Q91" i="2"/>
  <c r="P91" i="2"/>
  <c r="N91" i="2"/>
  <c r="F91" i="2"/>
  <c r="E91" i="2"/>
  <c r="D91" i="2"/>
  <c r="B91" i="2"/>
  <c r="R90" i="2"/>
  <c r="Q90" i="2"/>
  <c r="P90" i="2"/>
  <c r="N90" i="2"/>
  <c r="F90" i="2"/>
  <c r="E90" i="2"/>
  <c r="D90" i="2"/>
  <c r="B90" i="2"/>
  <c r="R89" i="2"/>
  <c r="Q89" i="2"/>
  <c r="P89" i="2"/>
  <c r="N89" i="2"/>
  <c r="F89" i="2"/>
  <c r="E89" i="2"/>
  <c r="D89" i="2"/>
  <c r="B89" i="2"/>
  <c r="R88" i="2"/>
  <c r="Q88" i="2"/>
  <c r="P88" i="2"/>
  <c r="N88" i="2"/>
  <c r="F88" i="2"/>
  <c r="E88" i="2"/>
  <c r="D88" i="2"/>
  <c r="B88" i="2"/>
  <c r="R87" i="2"/>
  <c r="Q87" i="2"/>
  <c r="P87" i="2"/>
  <c r="N87" i="2"/>
  <c r="F87" i="2"/>
  <c r="E87" i="2"/>
  <c r="D87" i="2"/>
  <c r="B87" i="2"/>
  <c r="R86" i="2"/>
  <c r="Q86" i="2"/>
  <c r="P86" i="2"/>
  <c r="N86" i="2"/>
  <c r="F86" i="2"/>
  <c r="E86" i="2"/>
  <c r="D86" i="2"/>
  <c r="B86" i="2"/>
  <c r="R85" i="2"/>
  <c r="Q85" i="2"/>
  <c r="P85" i="2"/>
  <c r="N85" i="2"/>
  <c r="F85" i="2"/>
  <c r="E85" i="2"/>
  <c r="D85" i="2"/>
  <c r="B85" i="2"/>
  <c r="R84" i="2"/>
  <c r="Q84" i="2"/>
  <c r="P84" i="2"/>
  <c r="N84" i="2"/>
  <c r="F84" i="2"/>
  <c r="E84" i="2"/>
  <c r="D84" i="2"/>
  <c r="B84" i="2"/>
  <c r="R83" i="2"/>
  <c r="Q83" i="2"/>
  <c r="P83" i="2"/>
  <c r="N83" i="2"/>
  <c r="F83" i="2"/>
  <c r="E83" i="2"/>
  <c r="D83" i="2"/>
  <c r="B83" i="2"/>
  <c r="R82" i="2"/>
  <c r="Q82" i="2"/>
  <c r="P82" i="2"/>
  <c r="N82" i="2"/>
  <c r="F82" i="2"/>
  <c r="E82" i="2"/>
  <c r="D82" i="2"/>
  <c r="B82" i="2"/>
  <c r="R81" i="2"/>
  <c r="Q81" i="2"/>
  <c r="P81" i="2"/>
  <c r="N81" i="2"/>
  <c r="F81" i="2"/>
  <c r="E81" i="2"/>
  <c r="D81" i="2"/>
  <c r="B81" i="2"/>
  <c r="R80" i="2"/>
  <c r="Q80" i="2"/>
  <c r="P80" i="2"/>
  <c r="N80" i="2"/>
  <c r="F80" i="2"/>
  <c r="E80" i="2"/>
  <c r="D80" i="2"/>
  <c r="B80" i="2"/>
  <c r="R79" i="2"/>
  <c r="Q79" i="2"/>
  <c r="P79" i="2"/>
  <c r="N79" i="2"/>
  <c r="F79" i="2"/>
  <c r="E79" i="2"/>
  <c r="D79" i="2"/>
  <c r="B79" i="2"/>
  <c r="R78" i="2"/>
  <c r="Q78" i="2"/>
  <c r="P78" i="2"/>
  <c r="N78" i="2"/>
  <c r="F78" i="2"/>
  <c r="E78" i="2"/>
  <c r="D78" i="2"/>
  <c r="B78" i="2"/>
  <c r="R77" i="2"/>
  <c r="Q77" i="2"/>
  <c r="P77" i="2"/>
  <c r="N77" i="2"/>
  <c r="F77" i="2"/>
  <c r="E77" i="2"/>
  <c r="D77" i="2"/>
  <c r="B77" i="2"/>
  <c r="R76" i="2"/>
  <c r="Q76" i="2"/>
  <c r="P76" i="2"/>
  <c r="N76" i="2"/>
  <c r="F76" i="2"/>
  <c r="E76" i="2"/>
  <c r="D76" i="2"/>
  <c r="B76" i="2"/>
  <c r="R75" i="2"/>
  <c r="Q75" i="2"/>
  <c r="P75" i="2"/>
  <c r="N75" i="2"/>
  <c r="F75" i="2"/>
  <c r="E75" i="2"/>
  <c r="D75" i="2"/>
  <c r="B75" i="2"/>
  <c r="R74" i="2"/>
  <c r="Q74" i="2"/>
  <c r="P74" i="2"/>
  <c r="N74" i="2"/>
  <c r="F74" i="2"/>
  <c r="E74" i="2"/>
  <c r="D74" i="2"/>
  <c r="B74" i="2"/>
  <c r="R73" i="2"/>
  <c r="Q73" i="2"/>
  <c r="P73" i="2"/>
  <c r="N73" i="2"/>
  <c r="F73" i="2"/>
  <c r="E73" i="2"/>
  <c r="D73" i="2"/>
  <c r="B73" i="2"/>
  <c r="R72" i="2"/>
  <c r="Q72" i="2"/>
  <c r="P72" i="2"/>
  <c r="N72" i="2"/>
  <c r="F72" i="2"/>
  <c r="E72" i="2"/>
  <c r="D72" i="2"/>
  <c r="B72" i="2"/>
  <c r="R71" i="2"/>
  <c r="Q71" i="2"/>
  <c r="P71" i="2"/>
  <c r="N71" i="2"/>
  <c r="F71" i="2"/>
  <c r="E71" i="2"/>
  <c r="D71" i="2"/>
  <c r="B71" i="2"/>
  <c r="R70" i="2"/>
  <c r="Q70" i="2"/>
  <c r="P70" i="2"/>
  <c r="N70" i="2"/>
  <c r="F70" i="2"/>
  <c r="E70" i="2"/>
  <c r="D70" i="2"/>
  <c r="B70" i="2"/>
  <c r="R69" i="2"/>
  <c r="Q69" i="2"/>
  <c r="P69" i="2"/>
  <c r="N69" i="2"/>
  <c r="F69" i="2"/>
  <c r="E69" i="2"/>
  <c r="D69" i="2"/>
  <c r="B69" i="2"/>
  <c r="R68" i="2"/>
  <c r="Q68" i="2"/>
  <c r="P68" i="2"/>
  <c r="N68" i="2"/>
  <c r="F68" i="2"/>
  <c r="E68" i="2"/>
  <c r="D68" i="2"/>
  <c r="B68" i="2"/>
  <c r="R67" i="2"/>
  <c r="Q67" i="2"/>
  <c r="P67" i="2"/>
  <c r="N67" i="2"/>
  <c r="F67" i="2"/>
  <c r="E67" i="2"/>
  <c r="D67" i="2"/>
  <c r="B67" i="2"/>
  <c r="R66" i="2"/>
  <c r="Q66" i="2"/>
  <c r="P66" i="2"/>
  <c r="N66" i="2"/>
  <c r="F66" i="2"/>
  <c r="E66" i="2"/>
  <c r="D66" i="2"/>
  <c r="B66" i="2"/>
  <c r="R65" i="2"/>
  <c r="Q65" i="2"/>
  <c r="P65" i="2"/>
  <c r="N65" i="2"/>
  <c r="F65" i="2"/>
  <c r="E65" i="2"/>
  <c r="D65" i="2"/>
  <c r="B65" i="2"/>
  <c r="R64" i="2"/>
  <c r="Q64" i="2"/>
  <c r="P64" i="2"/>
  <c r="N64" i="2"/>
  <c r="F64" i="2"/>
  <c r="E64" i="2"/>
  <c r="D64" i="2"/>
  <c r="B64" i="2"/>
  <c r="X63" i="2"/>
  <c r="W63" i="2"/>
  <c r="V63" i="2"/>
  <c r="T63" i="2"/>
  <c r="R63" i="2"/>
  <c r="Q63" i="2"/>
  <c r="P63" i="2"/>
  <c r="N63" i="2"/>
  <c r="L63" i="2"/>
  <c r="K63" i="2"/>
  <c r="J63" i="2"/>
  <c r="H63" i="2"/>
  <c r="F63" i="2"/>
  <c r="E63" i="2"/>
  <c r="D63" i="2"/>
  <c r="B63" i="2"/>
  <c r="X62" i="2"/>
  <c r="W62" i="2"/>
  <c r="V62" i="2"/>
  <c r="T62" i="2"/>
  <c r="R62" i="2"/>
  <c r="Q62" i="2"/>
  <c r="P62" i="2"/>
  <c r="N62" i="2"/>
  <c r="L62" i="2"/>
  <c r="K62" i="2"/>
  <c r="J62" i="2"/>
  <c r="H62" i="2"/>
  <c r="F62" i="2"/>
  <c r="E62" i="2"/>
  <c r="D62" i="2"/>
  <c r="B62" i="2"/>
  <c r="X61" i="2"/>
  <c r="W61" i="2"/>
  <c r="V61" i="2"/>
  <c r="T61" i="2"/>
  <c r="R61" i="2"/>
  <c r="Q61" i="2"/>
  <c r="P61" i="2"/>
  <c r="N61" i="2"/>
  <c r="L61" i="2"/>
  <c r="K61" i="2"/>
  <c r="J61" i="2"/>
  <c r="H61" i="2"/>
  <c r="F61" i="2"/>
  <c r="E61" i="2"/>
  <c r="D61" i="2"/>
  <c r="B61" i="2"/>
  <c r="X60" i="2"/>
  <c r="W60" i="2"/>
  <c r="V60" i="2"/>
  <c r="T60" i="2"/>
  <c r="R60" i="2"/>
  <c r="Q60" i="2"/>
  <c r="P60" i="2"/>
  <c r="N60" i="2"/>
  <c r="L60" i="2"/>
  <c r="K60" i="2"/>
  <c r="J60" i="2"/>
  <c r="H60" i="2"/>
  <c r="F60" i="2"/>
  <c r="E60" i="2"/>
  <c r="D60" i="2"/>
  <c r="B60" i="2"/>
  <c r="X59" i="2"/>
  <c r="W59" i="2"/>
  <c r="V59" i="2"/>
  <c r="T59" i="2"/>
  <c r="R59" i="2"/>
  <c r="Q59" i="2"/>
  <c r="P59" i="2"/>
  <c r="N59" i="2"/>
  <c r="L59" i="2"/>
  <c r="K59" i="2"/>
  <c r="J59" i="2"/>
  <c r="H59" i="2"/>
  <c r="F59" i="2"/>
  <c r="E59" i="2"/>
  <c r="D59" i="2"/>
  <c r="B59" i="2"/>
  <c r="X58" i="2"/>
  <c r="W58" i="2"/>
  <c r="V58" i="2"/>
  <c r="T58" i="2"/>
  <c r="R58" i="2"/>
  <c r="Q58" i="2"/>
  <c r="P58" i="2"/>
  <c r="N58" i="2"/>
  <c r="L58" i="2"/>
  <c r="K58" i="2"/>
  <c r="J58" i="2"/>
  <c r="H58" i="2"/>
  <c r="F58" i="2"/>
  <c r="E58" i="2"/>
  <c r="D58" i="2"/>
  <c r="B58" i="2"/>
  <c r="X57" i="2"/>
  <c r="W57" i="2"/>
  <c r="V57" i="2"/>
  <c r="T57" i="2"/>
  <c r="R57" i="2"/>
  <c r="Q57" i="2"/>
  <c r="P57" i="2"/>
  <c r="N57" i="2"/>
  <c r="L57" i="2"/>
  <c r="K57" i="2"/>
  <c r="J57" i="2"/>
  <c r="H57" i="2"/>
  <c r="F57" i="2"/>
  <c r="E57" i="2"/>
  <c r="D57" i="2"/>
  <c r="B57" i="2"/>
  <c r="X56" i="2"/>
  <c r="W56" i="2"/>
  <c r="V56" i="2"/>
  <c r="T56" i="2"/>
  <c r="R56" i="2"/>
  <c r="Q56" i="2"/>
  <c r="P56" i="2"/>
  <c r="N56" i="2"/>
  <c r="L56" i="2"/>
  <c r="K56" i="2"/>
  <c r="J56" i="2"/>
  <c r="H56" i="2"/>
  <c r="F56" i="2"/>
  <c r="E56" i="2"/>
  <c r="D56" i="2"/>
  <c r="B56" i="2"/>
  <c r="X55" i="2"/>
  <c r="W55" i="2"/>
  <c r="V55" i="2"/>
  <c r="T55" i="2"/>
  <c r="R55" i="2"/>
  <c r="Q55" i="2"/>
  <c r="P55" i="2"/>
  <c r="N55" i="2"/>
  <c r="L55" i="2"/>
  <c r="K55" i="2"/>
  <c r="J55" i="2"/>
  <c r="H55" i="2"/>
  <c r="F55" i="2"/>
  <c r="E55" i="2"/>
  <c r="D55" i="2"/>
  <c r="B55" i="2"/>
  <c r="X54" i="2"/>
  <c r="W54" i="2"/>
  <c r="V54" i="2"/>
  <c r="T54" i="2"/>
  <c r="R54" i="2"/>
  <c r="Q54" i="2"/>
  <c r="P54" i="2"/>
  <c r="N54" i="2"/>
  <c r="L54" i="2"/>
  <c r="K54" i="2"/>
  <c r="J54" i="2"/>
  <c r="H54" i="2"/>
  <c r="F54" i="2"/>
  <c r="E54" i="2"/>
  <c r="D54" i="2"/>
  <c r="B54" i="2"/>
  <c r="X53" i="2"/>
  <c r="W53" i="2"/>
  <c r="V53" i="2"/>
  <c r="T53" i="2"/>
  <c r="R53" i="2"/>
  <c r="Q53" i="2"/>
  <c r="P53" i="2"/>
  <c r="N53" i="2"/>
  <c r="L53" i="2"/>
  <c r="K53" i="2"/>
  <c r="J53" i="2"/>
  <c r="H53" i="2"/>
  <c r="F53" i="2"/>
  <c r="E53" i="2"/>
  <c r="D53" i="2"/>
  <c r="B53" i="2"/>
  <c r="X52" i="2"/>
  <c r="W52" i="2"/>
  <c r="V52" i="2"/>
  <c r="T52" i="2"/>
  <c r="R52" i="2"/>
  <c r="Q52" i="2"/>
  <c r="P52" i="2"/>
  <c r="N52" i="2"/>
  <c r="L52" i="2"/>
  <c r="K52" i="2"/>
  <c r="J52" i="2"/>
  <c r="H52" i="2"/>
  <c r="F52" i="2"/>
  <c r="E52" i="2"/>
  <c r="D52" i="2"/>
  <c r="B52" i="2"/>
  <c r="X51" i="2"/>
  <c r="W51" i="2"/>
  <c r="V51" i="2"/>
  <c r="T51" i="2"/>
  <c r="R51" i="2"/>
  <c r="Q51" i="2"/>
  <c r="P51" i="2"/>
  <c r="N51" i="2"/>
  <c r="L51" i="2"/>
  <c r="K51" i="2"/>
  <c r="J51" i="2"/>
  <c r="H51" i="2"/>
  <c r="F51" i="2"/>
  <c r="E51" i="2"/>
  <c r="D51" i="2"/>
  <c r="B51" i="2"/>
  <c r="X50" i="2"/>
  <c r="W50" i="2"/>
  <c r="V50" i="2"/>
  <c r="T50" i="2"/>
  <c r="R50" i="2"/>
  <c r="Q50" i="2"/>
  <c r="P50" i="2"/>
  <c r="N50" i="2"/>
  <c r="L50" i="2"/>
  <c r="K50" i="2"/>
  <c r="J50" i="2"/>
  <c r="H50" i="2"/>
  <c r="F50" i="2"/>
  <c r="E50" i="2"/>
  <c r="D50" i="2"/>
  <c r="B50" i="2"/>
  <c r="X49" i="2"/>
  <c r="W49" i="2"/>
  <c r="V49" i="2"/>
  <c r="T49" i="2"/>
  <c r="R49" i="2"/>
  <c r="Q49" i="2"/>
  <c r="P49" i="2"/>
  <c r="N49" i="2"/>
  <c r="L49" i="2"/>
  <c r="K49" i="2"/>
  <c r="J49" i="2"/>
  <c r="H49" i="2"/>
  <c r="F49" i="2"/>
  <c r="E49" i="2"/>
  <c r="D49" i="2"/>
  <c r="B49" i="2"/>
  <c r="X48" i="2"/>
  <c r="W48" i="2"/>
  <c r="V48" i="2"/>
  <c r="T48" i="2"/>
  <c r="R48" i="2"/>
  <c r="Q48" i="2"/>
  <c r="P48" i="2"/>
  <c r="N48" i="2"/>
  <c r="L48" i="2"/>
  <c r="K48" i="2"/>
  <c r="J48" i="2"/>
  <c r="H48" i="2"/>
  <c r="F48" i="2"/>
  <c r="E48" i="2"/>
  <c r="D48" i="2"/>
  <c r="B48" i="2"/>
  <c r="X47" i="2"/>
  <c r="W47" i="2"/>
  <c r="V47" i="2"/>
  <c r="T47" i="2"/>
  <c r="R47" i="2"/>
  <c r="Q47" i="2"/>
  <c r="P47" i="2"/>
  <c r="N47" i="2"/>
  <c r="L47" i="2"/>
  <c r="K47" i="2"/>
  <c r="J47" i="2"/>
  <c r="H47" i="2"/>
  <c r="F47" i="2"/>
  <c r="E47" i="2"/>
  <c r="D47" i="2"/>
  <c r="B47" i="2"/>
  <c r="X46" i="2"/>
  <c r="W46" i="2"/>
  <c r="V46" i="2"/>
  <c r="T46" i="2"/>
  <c r="R46" i="2"/>
  <c r="Q46" i="2"/>
  <c r="P46" i="2"/>
  <c r="N46" i="2"/>
  <c r="L46" i="2"/>
  <c r="K46" i="2"/>
  <c r="J46" i="2"/>
  <c r="H46" i="2"/>
  <c r="F46" i="2"/>
  <c r="E46" i="2"/>
  <c r="D46" i="2"/>
  <c r="B46" i="2"/>
  <c r="X45" i="2"/>
  <c r="W45" i="2"/>
  <c r="V45" i="2"/>
  <c r="T45" i="2"/>
  <c r="R45" i="2"/>
  <c r="Q45" i="2"/>
  <c r="P45" i="2"/>
  <c r="N45" i="2"/>
  <c r="L45" i="2"/>
  <c r="K45" i="2"/>
  <c r="J45" i="2"/>
  <c r="H45" i="2"/>
  <c r="F45" i="2"/>
  <c r="E45" i="2"/>
  <c r="D45" i="2"/>
  <c r="B45" i="2"/>
  <c r="X44" i="2"/>
  <c r="W44" i="2"/>
  <c r="V44" i="2"/>
  <c r="T44" i="2"/>
  <c r="R44" i="2"/>
  <c r="Q44" i="2"/>
  <c r="P44" i="2"/>
  <c r="N44" i="2"/>
  <c r="L44" i="2"/>
  <c r="K44" i="2"/>
  <c r="J44" i="2"/>
  <c r="H44" i="2"/>
  <c r="F44" i="2"/>
  <c r="E44" i="2"/>
  <c r="D44" i="2"/>
  <c r="B44" i="2"/>
  <c r="X43" i="2"/>
  <c r="W43" i="2"/>
  <c r="V43" i="2"/>
  <c r="T43" i="2"/>
  <c r="R43" i="2"/>
  <c r="Q43" i="2"/>
  <c r="P43" i="2"/>
  <c r="N43" i="2"/>
  <c r="L43" i="2"/>
  <c r="K43" i="2"/>
  <c r="J43" i="2"/>
  <c r="H43" i="2"/>
  <c r="F43" i="2"/>
  <c r="E43" i="2"/>
  <c r="D43" i="2"/>
  <c r="B43" i="2"/>
  <c r="X42" i="2"/>
  <c r="W42" i="2"/>
  <c r="V42" i="2"/>
  <c r="T42" i="2"/>
  <c r="R42" i="2"/>
  <c r="Q42" i="2"/>
  <c r="P42" i="2"/>
  <c r="N42" i="2"/>
  <c r="L42" i="2"/>
  <c r="K42" i="2"/>
  <c r="J42" i="2"/>
  <c r="H42" i="2"/>
  <c r="F42" i="2"/>
  <c r="E42" i="2"/>
  <c r="D42" i="2"/>
  <c r="B42" i="2"/>
  <c r="X41" i="2"/>
  <c r="W41" i="2"/>
  <c r="V41" i="2"/>
  <c r="T41" i="2"/>
  <c r="R41" i="2"/>
  <c r="Q41" i="2"/>
  <c r="P41" i="2"/>
  <c r="N41" i="2"/>
  <c r="L41" i="2"/>
  <c r="K41" i="2"/>
  <c r="J41" i="2"/>
  <c r="F41" i="2"/>
  <c r="E41" i="2"/>
  <c r="D41" i="2"/>
  <c r="B41" i="2"/>
  <c r="X40" i="2"/>
  <c r="W40" i="2"/>
  <c r="V40" i="2"/>
  <c r="T40" i="2"/>
  <c r="R40" i="2"/>
  <c r="Q40" i="2"/>
  <c r="P40" i="2"/>
  <c r="N40" i="2"/>
  <c r="L40" i="2"/>
  <c r="K40" i="2"/>
  <c r="J40" i="2"/>
  <c r="H40" i="2"/>
  <c r="F40" i="2"/>
  <c r="E40" i="2"/>
  <c r="D40" i="2"/>
  <c r="B40" i="2"/>
  <c r="X39" i="2"/>
  <c r="W39" i="2"/>
  <c r="V39" i="2"/>
  <c r="T39" i="2"/>
  <c r="R39" i="2"/>
  <c r="Q39" i="2"/>
  <c r="P39" i="2"/>
  <c r="N39" i="2"/>
  <c r="L39" i="2"/>
  <c r="K39" i="2"/>
  <c r="J39" i="2"/>
  <c r="H39" i="2"/>
  <c r="F39" i="2"/>
  <c r="E39" i="2"/>
  <c r="D39" i="2"/>
  <c r="B39" i="2"/>
  <c r="X38" i="2"/>
  <c r="W38" i="2"/>
  <c r="V38" i="2"/>
  <c r="T38" i="2"/>
  <c r="R38" i="2"/>
  <c r="Q38" i="2"/>
  <c r="P38" i="2"/>
  <c r="N38" i="2"/>
  <c r="L38" i="2"/>
  <c r="K38" i="2"/>
  <c r="J38" i="2"/>
  <c r="H38" i="2"/>
  <c r="F38" i="2"/>
  <c r="E38" i="2"/>
  <c r="D38" i="2"/>
  <c r="B38" i="2"/>
  <c r="X37" i="2"/>
  <c r="W37" i="2"/>
  <c r="V37" i="2"/>
  <c r="T37" i="2"/>
  <c r="R37" i="2"/>
  <c r="Q37" i="2"/>
  <c r="P37" i="2"/>
  <c r="N37" i="2"/>
  <c r="L37" i="2"/>
  <c r="K37" i="2"/>
  <c r="J37" i="2"/>
  <c r="H37" i="2"/>
  <c r="F37" i="2"/>
  <c r="E37" i="2"/>
  <c r="D37" i="2"/>
  <c r="B37" i="2"/>
  <c r="X36" i="2"/>
  <c r="W36" i="2"/>
  <c r="V36" i="2"/>
  <c r="T36" i="2"/>
  <c r="R36" i="2"/>
  <c r="Q36" i="2"/>
  <c r="P36" i="2"/>
  <c r="N36" i="2"/>
  <c r="L36" i="2"/>
  <c r="K36" i="2"/>
  <c r="J36" i="2"/>
  <c r="H36" i="2"/>
  <c r="F36" i="2"/>
  <c r="E36" i="2"/>
  <c r="D36" i="2"/>
  <c r="B36" i="2"/>
  <c r="X35" i="2"/>
  <c r="W35" i="2"/>
  <c r="V35" i="2"/>
  <c r="T35" i="2"/>
  <c r="R35" i="2"/>
  <c r="Q35" i="2"/>
  <c r="P35" i="2"/>
  <c r="N35" i="2"/>
  <c r="L35" i="2"/>
  <c r="K35" i="2"/>
  <c r="J35" i="2"/>
  <c r="H35" i="2"/>
  <c r="F35" i="2"/>
  <c r="E35" i="2"/>
  <c r="D35" i="2"/>
  <c r="B35" i="2"/>
  <c r="X34" i="2"/>
  <c r="W34" i="2"/>
  <c r="V34" i="2"/>
  <c r="T34" i="2"/>
  <c r="R34" i="2"/>
  <c r="Q34" i="2"/>
  <c r="P34" i="2"/>
  <c r="N34" i="2"/>
  <c r="L34" i="2"/>
  <c r="K34" i="2"/>
  <c r="J34" i="2"/>
  <c r="H34" i="2"/>
  <c r="F34" i="2"/>
  <c r="E34" i="2"/>
  <c r="D34" i="2"/>
  <c r="B34" i="2"/>
  <c r="X33" i="2"/>
  <c r="W33" i="2"/>
  <c r="V33" i="2"/>
  <c r="T33" i="2"/>
  <c r="R33" i="2"/>
  <c r="Q33" i="2"/>
  <c r="P33" i="2"/>
  <c r="N33" i="2"/>
  <c r="L33" i="2"/>
  <c r="K33" i="2"/>
  <c r="J33" i="2"/>
  <c r="H33" i="2"/>
  <c r="F33" i="2"/>
  <c r="E33" i="2"/>
  <c r="D33" i="2"/>
  <c r="B33" i="2"/>
  <c r="X32" i="2"/>
  <c r="W32" i="2"/>
  <c r="V32" i="2"/>
  <c r="T32" i="2"/>
  <c r="R32" i="2"/>
  <c r="Q32" i="2"/>
  <c r="P32" i="2"/>
  <c r="N32" i="2"/>
  <c r="L32" i="2"/>
  <c r="K32" i="2"/>
  <c r="J32" i="2"/>
  <c r="H32" i="2"/>
  <c r="F32" i="2"/>
  <c r="E32" i="2"/>
  <c r="D32" i="2"/>
  <c r="B32" i="2"/>
  <c r="X31" i="2"/>
  <c r="W31" i="2"/>
  <c r="V31" i="2"/>
  <c r="T31" i="2"/>
  <c r="R31" i="2"/>
  <c r="Q31" i="2"/>
  <c r="P31" i="2"/>
  <c r="N31" i="2"/>
  <c r="L31" i="2"/>
  <c r="K31" i="2"/>
  <c r="J31" i="2"/>
  <c r="H31" i="2"/>
  <c r="F31" i="2"/>
  <c r="E31" i="2"/>
  <c r="D31" i="2"/>
  <c r="B31" i="2"/>
  <c r="X30" i="2"/>
  <c r="W30" i="2"/>
  <c r="V30" i="2"/>
  <c r="T30" i="2"/>
  <c r="R30" i="2"/>
  <c r="Q30" i="2"/>
  <c r="P30" i="2"/>
  <c r="N30" i="2"/>
  <c r="L30" i="2"/>
  <c r="K30" i="2"/>
  <c r="J30" i="2"/>
  <c r="H30" i="2"/>
  <c r="F30" i="2"/>
  <c r="E30" i="2"/>
  <c r="D30" i="2"/>
  <c r="B30" i="2"/>
  <c r="X29" i="2"/>
  <c r="W29" i="2"/>
  <c r="V29" i="2"/>
  <c r="T29" i="2"/>
  <c r="R29" i="2"/>
  <c r="Q29" i="2"/>
  <c r="P29" i="2"/>
  <c r="N29" i="2"/>
  <c r="L29" i="2"/>
  <c r="K29" i="2"/>
  <c r="J29" i="2"/>
  <c r="H29" i="2"/>
  <c r="F29" i="2"/>
  <c r="E29" i="2"/>
  <c r="D29" i="2"/>
  <c r="B29" i="2"/>
  <c r="X28" i="2"/>
  <c r="W28" i="2"/>
  <c r="V28" i="2"/>
  <c r="T28" i="2"/>
  <c r="R28" i="2"/>
  <c r="Q28" i="2"/>
  <c r="P28" i="2"/>
  <c r="N28" i="2"/>
  <c r="L28" i="2"/>
  <c r="K28" i="2"/>
  <c r="J28" i="2"/>
  <c r="H28" i="2"/>
  <c r="F28" i="2"/>
  <c r="E28" i="2"/>
  <c r="D28" i="2"/>
  <c r="B28" i="2"/>
  <c r="X27" i="2"/>
  <c r="W27" i="2"/>
  <c r="V27" i="2"/>
  <c r="T27" i="2"/>
  <c r="R27" i="2"/>
  <c r="Q27" i="2"/>
  <c r="P27" i="2"/>
  <c r="N27" i="2"/>
  <c r="L27" i="2"/>
  <c r="K27" i="2"/>
  <c r="J27" i="2"/>
  <c r="H27" i="2"/>
  <c r="F27" i="2"/>
  <c r="E27" i="2"/>
  <c r="D27" i="2"/>
  <c r="B27" i="2"/>
  <c r="X26" i="2"/>
  <c r="W26" i="2"/>
  <c r="V26" i="2"/>
  <c r="T26" i="2"/>
  <c r="R26" i="2"/>
  <c r="Q26" i="2"/>
  <c r="P26" i="2"/>
  <c r="N26" i="2"/>
  <c r="L26" i="2"/>
  <c r="K26" i="2"/>
  <c r="J26" i="2"/>
  <c r="H26" i="2"/>
  <c r="F26" i="2"/>
  <c r="E26" i="2"/>
  <c r="D26" i="2"/>
  <c r="B26" i="2"/>
  <c r="X25" i="2"/>
  <c r="W25" i="2"/>
  <c r="V25" i="2"/>
  <c r="T25" i="2"/>
  <c r="R25" i="2"/>
  <c r="Q25" i="2"/>
  <c r="P25" i="2"/>
  <c r="N25" i="2"/>
  <c r="L25" i="2"/>
  <c r="K25" i="2"/>
  <c r="J25" i="2"/>
  <c r="H25" i="2"/>
  <c r="F25" i="2"/>
  <c r="E25" i="2"/>
  <c r="D25" i="2"/>
  <c r="B25" i="2"/>
  <c r="X24" i="2"/>
  <c r="W24" i="2"/>
  <c r="V24" i="2"/>
  <c r="T24" i="2"/>
  <c r="R24" i="2"/>
  <c r="Q24" i="2"/>
  <c r="P24" i="2"/>
  <c r="N24" i="2"/>
  <c r="L24" i="2"/>
  <c r="K24" i="2"/>
  <c r="J24" i="2"/>
  <c r="H24" i="2"/>
  <c r="F24" i="2"/>
  <c r="E24" i="2"/>
  <c r="D24" i="2"/>
  <c r="B24" i="2"/>
  <c r="X23" i="2"/>
  <c r="W23" i="2"/>
  <c r="V23" i="2"/>
  <c r="T23" i="2"/>
  <c r="R23" i="2"/>
  <c r="Q23" i="2"/>
  <c r="P23" i="2"/>
  <c r="N23" i="2"/>
  <c r="L23" i="2"/>
  <c r="K23" i="2"/>
  <c r="J23" i="2"/>
  <c r="H23" i="2"/>
  <c r="F23" i="2"/>
  <c r="E23" i="2"/>
  <c r="D23" i="2"/>
  <c r="B23" i="2"/>
  <c r="X22" i="2"/>
  <c r="W22" i="2"/>
  <c r="V22" i="2"/>
  <c r="T22" i="2"/>
  <c r="R22" i="2"/>
  <c r="Q22" i="2"/>
  <c r="P22" i="2"/>
  <c r="N22" i="2"/>
  <c r="L22" i="2"/>
  <c r="K22" i="2"/>
  <c r="J22" i="2"/>
  <c r="H22" i="2"/>
  <c r="F22" i="2"/>
  <c r="E22" i="2"/>
  <c r="D22" i="2"/>
  <c r="B22" i="2"/>
  <c r="X21" i="2"/>
  <c r="W21" i="2"/>
  <c r="V21" i="2"/>
  <c r="T21" i="2"/>
  <c r="R21" i="2"/>
  <c r="Q21" i="2"/>
  <c r="P21" i="2"/>
  <c r="N21" i="2"/>
  <c r="L21" i="2"/>
  <c r="K21" i="2"/>
  <c r="J21" i="2"/>
  <c r="H21" i="2"/>
  <c r="F21" i="2"/>
  <c r="E21" i="2"/>
  <c r="D21" i="2"/>
  <c r="B21" i="2"/>
  <c r="X20" i="2"/>
  <c r="W20" i="2"/>
  <c r="V20" i="2"/>
  <c r="T20" i="2"/>
  <c r="R20" i="2"/>
  <c r="Q20" i="2"/>
  <c r="P20" i="2"/>
  <c r="N20" i="2"/>
  <c r="L20" i="2"/>
  <c r="K20" i="2"/>
  <c r="J20" i="2"/>
  <c r="H20" i="2"/>
  <c r="F20" i="2"/>
  <c r="E20" i="2"/>
  <c r="D20" i="2"/>
  <c r="B20" i="2"/>
  <c r="X19" i="2"/>
  <c r="W19" i="2"/>
  <c r="V19" i="2"/>
  <c r="T19" i="2"/>
  <c r="R19" i="2"/>
  <c r="Q19" i="2"/>
  <c r="P19" i="2"/>
  <c r="N19" i="2"/>
  <c r="L19" i="2"/>
  <c r="K19" i="2"/>
  <c r="J19" i="2"/>
  <c r="H19" i="2"/>
  <c r="F19" i="2"/>
  <c r="E19" i="2"/>
  <c r="D19" i="2"/>
  <c r="B19" i="2"/>
  <c r="X18" i="2"/>
  <c r="W18" i="2"/>
  <c r="V18" i="2"/>
  <c r="T18" i="2"/>
  <c r="R18" i="2"/>
  <c r="Q18" i="2"/>
  <c r="P18" i="2"/>
  <c r="N18" i="2"/>
  <c r="L18" i="2"/>
  <c r="K18" i="2"/>
  <c r="J18" i="2"/>
  <c r="H18" i="2"/>
  <c r="F18" i="2"/>
  <c r="E18" i="2"/>
  <c r="D18" i="2"/>
  <c r="B18" i="2"/>
  <c r="X17" i="2"/>
  <c r="W17" i="2"/>
  <c r="V17" i="2"/>
  <c r="T17" i="2"/>
  <c r="R17" i="2"/>
  <c r="Q17" i="2"/>
  <c r="P17" i="2"/>
  <c r="N17" i="2"/>
  <c r="L17" i="2"/>
  <c r="K17" i="2"/>
  <c r="J17" i="2"/>
  <c r="H17" i="2"/>
  <c r="F17" i="2"/>
  <c r="E17" i="2"/>
  <c r="D17" i="2"/>
  <c r="B17" i="2"/>
  <c r="X16" i="2"/>
  <c r="W16" i="2"/>
  <c r="V16" i="2"/>
  <c r="T16" i="2"/>
  <c r="R16" i="2"/>
  <c r="Q16" i="2"/>
  <c r="P16" i="2"/>
  <c r="N16" i="2"/>
  <c r="L16" i="2"/>
  <c r="K16" i="2"/>
  <c r="J16" i="2"/>
  <c r="H16" i="2"/>
  <c r="F16" i="2"/>
  <c r="E16" i="2"/>
  <c r="D16" i="2"/>
  <c r="B16" i="2"/>
  <c r="X15" i="2"/>
  <c r="W15" i="2"/>
  <c r="V15" i="2"/>
  <c r="T15" i="2"/>
  <c r="R15" i="2"/>
  <c r="Q15" i="2"/>
  <c r="P15" i="2"/>
  <c r="N15" i="2"/>
  <c r="L15" i="2"/>
  <c r="K15" i="2"/>
  <c r="J15" i="2"/>
  <c r="H15" i="2"/>
  <c r="F15" i="2"/>
  <c r="E15" i="2"/>
  <c r="D15" i="2"/>
  <c r="B15" i="2"/>
  <c r="X14" i="2"/>
  <c r="W14" i="2"/>
  <c r="V14" i="2"/>
  <c r="T14" i="2"/>
  <c r="R14" i="2"/>
  <c r="Q14" i="2"/>
  <c r="P14" i="2"/>
  <c r="N14" i="2"/>
  <c r="L14" i="2"/>
  <c r="K14" i="2"/>
  <c r="J14" i="2"/>
  <c r="H14" i="2"/>
  <c r="F14" i="2"/>
  <c r="E14" i="2"/>
  <c r="D14" i="2"/>
  <c r="B14" i="2"/>
  <c r="X13" i="2"/>
  <c r="W13" i="2"/>
  <c r="V13" i="2"/>
  <c r="T13" i="2"/>
  <c r="R13" i="2"/>
  <c r="Q13" i="2"/>
  <c r="P13" i="2"/>
  <c r="N13" i="2"/>
  <c r="L13" i="2"/>
  <c r="K13" i="2"/>
  <c r="J13" i="2"/>
  <c r="H13" i="2"/>
  <c r="F13" i="2"/>
  <c r="E13" i="2"/>
  <c r="D13" i="2"/>
  <c r="B13" i="2"/>
  <c r="X12" i="2"/>
  <c r="W12" i="2"/>
  <c r="V12" i="2"/>
  <c r="T12" i="2"/>
  <c r="R12" i="2"/>
  <c r="Q12" i="2"/>
  <c r="P12" i="2"/>
  <c r="N12" i="2"/>
  <c r="L12" i="2"/>
  <c r="K12" i="2"/>
  <c r="J12" i="2"/>
  <c r="H12" i="2"/>
  <c r="F12" i="2"/>
  <c r="E12" i="2"/>
  <c r="D12" i="2"/>
  <c r="B12" i="2"/>
  <c r="X11" i="2"/>
  <c r="W11" i="2"/>
  <c r="V11" i="2"/>
  <c r="T11" i="2"/>
  <c r="R11" i="2"/>
  <c r="Q11" i="2"/>
  <c r="P11" i="2"/>
  <c r="N11" i="2"/>
  <c r="L11" i="2"/>
  <c r="K11" i="2"/>
  <c r="J11" i="2"/>
  <c r="H11" i="2"/>
  <c r="F11" i="2"/>
  <c r="E11" i="2"/>
  <c r="D11" i="2"/>
  <c r="B11" i="2"/>
  <c r="X10" i="2"/>
  <c r="W10" i="2"/>
  <c r="V10" i="2"/>
  <c r="T10" i="2"/>
  <c r="R10" i="2"/>
  <c r="Q10" i="2"/>
  <c r="P10" i="2"/>
  <c r="N10" i="2"/>
  <c r="L10" i="2"/>
  <c r="K10" i="2"/>
  <c r="J10" i="2"/>
  <c r="H10" i="2"/>
  <c r="F10" i="2"/>
  <c r="E10" i="2"/>
  <c r="D10" i="2"/>
  <c r="B10" i="2"/>
  <c r="X9" i="2"/>
  <c r="W9" i="2"/>
  <c r="V9" i="2"/>
  <c r="T9" i="2"/>
  <c r="R9" i="2"/>
  <c r="Q9" i="2"/>
  <c r="P9" i="2"/>
  <c r="N9" i="2"/>
  <c r="L9" i="2"/>
  <c r="K9" i="2"/>
  <c r="J9" i="2"/>
  <c r="H9" i="2"/>
  <c r="F9" i="2"/>
  <c r="E9" i="2"/>
  <c r="D9" i="2"/>
  <c r="B9" i="2"/>
  <c r="X8" i="2"/>
  <c r="W8" i="2"/>
  <c r="V8" i="2"/>
  <c r="T8" i="2"/>
  <c r="R8" i="2"/>
  <c r="Q8" i="2"/>
  <c r="P8" i="2"/>
  <c r="N8" i="2"/>
  <c r="L8" i="2"/>
  <c r="K8" i="2"/>
  <c r="J8" i="2"/>
  <c r="H8" i="2"/>
  <c r="F8" i="2"/>
  <c r="E8" i="2"/>
  <c r="D8" i="2"/>
  <c r="B8" i="2"/>
  <c r="X7" i="2"/>
  <c r="W7" i="2"/>
  <c r="V7" i="2"/>
  <c r="T7" i="2"/>
  <c r="R7" i="2"/>
  <c r="Q7" i="2"/>
  <c r="P7" i="2"/>
  <c r="N7" i="2"/>
  <c r="L7" i="2"/>
  <c r="K7" i="2"/>
  <c r="J7" i="2"/>
  <c r="H7" i="2"/>
  <c r="F7" i="2"/>
  <c r="E7" i="2"/>
  <c r="D7" i="2"/>
  <c r="B7" i="2"/>
  <c r="X6" i="2"/>
  <c r="W6" i="2"/>
  <c r="V6" i="2"/>
  <c r="T6" i="2"/>
  <c r="R6" i="2"/>
  <c r="Q6" i="2"/>
  <c r="P6" i="2"/>
  <c r="N6" i="2"/>
  <c r="L6" i="2"/>
  <c r="K6" i="2"/>
  <c r="J6" i="2"/>
  <c r="H6" i="2"/>
  <c r="F6" i="2"/>
  <c r="E6" i="2"/>
  <c r="D6" i="2"/>
  <c r="B6" i="2"/>
  <c r="X5" i="2"/>
  <c r="W5" i="2"/>
  <c r="V5" i="2"/>
  <c r="T5" i="2"/>
  <c r="R5" i="2"/>
  <c r="Q5" i="2"/>
  <c r="P5" i="2"/>
  <c r="N5" i="2"/>
  <c r="L5" i="2"/>
  <c r="K5" i="2"/>
  <c r="J5" i="2"/>
  <c r="H5" i="2"/>
  <c r="F5" i="2"/>
  <c r="E5" i="2"/>
  <c r="D5" i="2"/>
  <c r="B5" i="2"/>
  <c r="X4" i="2"/>
  <c r="W4" i="2"/>
  <c r="V4" i="2"/>
  <c r="T4" i="2"/>
  <c r="R4" i="2"/>
  <c r="Q4" i="2"/>
  <c r="P4" i="2"/>
  <c r="N4" i="2"/>
  <c r="L4" i="2"/>
  <c r="K4" i="2"/>
  <c r="J4" i="2"/>
  <c r="H4" i="2"/>
  <c r="F4" i="2"/>
  <c r="E4" i="2"/>
  <c r="D4" i="2"/>
  <c r="B4" i="2"/>
  <c r="X3" i="2"/>
  <c r="W3" i="2"/>
  <c r="V3" i="2"/>
  <c r="T3" i="2"/>
  <c r="R3" i="2"/>
  <c r="Q3" i="2"/>
  <c r="P3" i="2"/>
  <c r="N3" i="2"/>
  <c r="L3" i="2"/>
  <c r="K3" i="2"/>
  <c r="J3" i="2"/>
  <c r="H3" i="2"/>
  <c r="F3" i="2"/>
  <c r="E3" i="2"/>
  <c r="D3" i="2"/>
  <c r="B3" i="2"/>
  <c r="N38" i="1"/>
  <c r="H20" i="1"/>
  <c r="G20" i="1"/>
  <c r="F20" i="1"/>
  <c r="E20" i="1"/>
  <c r="M38" i="1" s="1"/>
  <c r="D20" i="1"/>
  <c r="C20" i="1"/>
  <c r="H19" i="1"/>
  <c r="G19" i="1"/>
  <c r="F19" i="1"/>
  <c r="E19" i="1"/>
  <c r="L38" i="1" s="1"/>
  <c r="D19" i="1"/>
  <c r="C19" i="1"/>
  <c r="H17" i="1"/>
  <c r="G17" i="1"/>
  <c r="F17" i="1"/>
  <c r="E17" i="1"/>
  <c r="J38" i="1" s="1"/>
  <c r="D17" i="1"/>
  <c r="C17" i="1"/>
  <c r="N37" i="1"/>
  <c r="H15" i="1"/>
  <c r="G15" i="1"/>
  <c r="F15" i="1"/>
  <c r="E15" i="1"/>
  <c r="M37" i="1" s="1"/>
  <c r="D15" i="1"/>
  <c r="C15" i="1"/>
  <c r="H14" i="1"/>
  <c r="G14" i="1"/>
  <c r="F14" i="1"/>
  <c r="E14" i="1"/>
  <c r="L37" i="1" s="1"/>
  <c r="D14" i="1"/>
  <c r="C14" i="1"/>
  <c r="H12" i="1"/>
  <c r="G12" i="1"/>
  <c r="F12" i="1"/>
  <c r="E12" i="1"/>
  <c r="D12" i="1"/>
  <c r="C12" i="1"/>
  <c r="N36" i="1"/>
  <c r="H10" i="1"/>
  <c r="G10" i="1"/>
  <c r="F10" i="1"/>
  <c r="E10" i="1"/>
  <c r="M36" i="1" s="1"/>
  <c r="D10" i="1"/>
  <c r="C10" i="1"/>
  <c r="H9" i="1"/>
  <c r="G9" i="1"/>
  <c r="F9" i="1"/>
  <c r="E9" i="1"/>
  <c r="L36" i="1" s="1"/>
  <c r="D9" i="1"/>
  <c r="C9" i="1"/>
  <c r="H7" i="1"/>
  <c r="F7" i="1"/>
  <c r="E7" i="1"/>
  <c r="J36" i="1" s="1"/>
  <c r="D7" i="1"/>
  <c r="N35" i="1"/>
  <c r="J37" i="1"/>
  <c r="H5" i="1"/>
  <c r="G5" i="1"/>
  <c r="F5" i="1"/>
  <c r="E5" i="1"/>
  <c r="M35" i="1" s="1"/>
  <c r="D5" i="1"/>
  <c r="C5" i="1"/>
  <c r="H4" i="1"/>
  <c r="G4" i="1"/>
  <c r="F4" i="1"/>
  <c r="E4" i="1"/>
  <c r="L35" i="1" s="1"/>
  <c r="D4" i="1"/>
  <c r="C4" i="1"/>
  <c r="H2" i="1"/>
  <c r="G2" i="1"/>
  <c r="F2" i="1"/>
  <c r="E2" i="1"/>
  <c r="J35" i="1" s="1"/>
  <c r="D2" i="1"/>
  <c r="C2" i="1"/>
</calcChain>
</file>

<file path=xl/sharedStrings.xml><?xml version="1.0" encoding="utf-8"?>
<sst xmlns="http://schemas.openxmlformats.org/spreadsheetml/2006/main" count="280" uniqueCount="27">
  <si>
    <t>Temp 0</t>
  </si>
  <si>
    <t>Temp 1</t>
  </si>
  <si>
    <t>Temp 1.5</t>
  </si>
  <si>
    <t>Seed 4321</t>
  </si>
  <si>
    <t>60/40 · MIX · 100 nodes</t>
  </si>
  <si>
    <t>60/40 MIX 100 nodes</t>
  </si>
  <si>
    <t>60/40 PRO 60 nodes</t>
  </si>
  <si>
    <t>70/30 MIX 100 nodes</t>
  </si>
  <si>
    <t>70/30 PRO 60 nodes</t>
  </si>
  <si>
    <t>60/40 · PRO · 60 nodes</t>
  </si>
  <si>
    <t>70/30 · MIX · 100 nodes</t>
  </si>
  <si>
    <t>70/30 · PRO · 60 nodes</t>
  </si>
  <si>
    <t>Round</t>
  </si>
  <si>
    <t>final deltas</t>
  </si>
  <si>
    <t>Temp 0.5</t>
  </si>
  <si>
    <t xml:space="preserve"> Temp 0.5</t>
  </si>
  <si>
    <t xml:space="preserve">CHATGPT 4o-mini </t>
  </si>
  <si>
    <t>Gemini 2.5-flash-lite (imitating 1.5-flash)</t>
  </si>
  <si>
    <t>[Single] Final Delta</t>
  </si>
  <si>
    <t>[Single] System Accuracy</t>
  </si>
  <si>
    <t>[Shuffle] #Dominated</t>
  </si>
  <si>
    <t>[Shuffle] AVG Sys. Acc.</t>
  </si>
  <si>
    <t>[Shuffle] MAX Sys. Acc.</t>
  </si>
  <si>
    <t>[Shuffle] MIN Sys. Acc.</t>
  </si>
  <si>
    <t>Configuration</t>
  </si>
  <si>
    <t>DeepSeek Chat</t>
  </si>
  <si>
    <t>DeepSeek Reasoner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</si>
</sst>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9"/>
      <name val="Calibri"/>
      <family val="2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0" fillId="0" borderId="5" xfId="0" applyBorder="1"/>
    <xf numFmtId="0" fontId="0" fillId="0" borderId="7" xfId="0" applyBorder="1"/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5" fontId="5" fillId="5" borderId="0" xfId="0" applyNumberFormat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0" fontId="0" fillId="5" borderId="0" xfId="0" applyFill="1"/>
    <xf numFmtId="166" fontId="0" fillId="5" borderId="0" xfId="0" applyNumberFormat="1" applyFill="1"/>
    <xf numFmtId="0" fontId="1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gpt_metrics!$J$34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gpt_metrics!$J$35:$J$38</c:f>
              <c:numCache>
                <c:formatCode>0.0000</c:formatCode>
                <c:ptCount val="4"/>
                <c:pt idx="0">
                  <c:v>-0.63621700000000003</c:v>
                </c:pt>
                <c:pt idx="1">
                  <c:v>-0.12123299999999999</c:v>
                </c:pt>
                <c:pt idx="2">
                  <c:v>-1.1682490000000001</c:v>
                </c:pt>
                <c:pt idx="3">
                  <c:v>-0.40472200000000003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B-454D-8CAB-16F8C21F7E17}"/>
            </c:ext>
          </c:extLst>
        </c:ser>
        <c:ser>
          <c:idx val="4"/>
          <c:order val="1"/>
          <c:tx>
            <c:strRef>
              <c:f>gpt_metrics!$K$34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gpt_metrics!$K$35:$K$38</c:f>
              <c:numCache>
                <c:formatCode>0.0000</c:formatCode>
                <c:ptCount val="4"/>
                <c:pt idx="0">
                  <c:v>-6.9587999999999997E-2</c:v>
                </c:pt>
                <c:pt idx="1">
                  <c:v>8.4541000000000005E-2</c:v>
                </c:pt>
                <c:pt idx="2">
                  <c:v>-1.10232</c:v>
                </c:pt>
                <c:pt idx="3">
                  <c:v>-0.33034000000000002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B-454D-8CAB-16F8C21F7E17}"/>
            </c:ext>
          </c:extLst>
        </c:ser>
        <c:ser>
          <c:idx val="1"/>
          <c:order val="2"/>
          <c:tx>
            <c:strRef>
              <c:f>gpt_metrics!$L$34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gpt_metrics!$L$35:$L$38</c:f>
              <c:numCache>
                <c:formatCode>0.0000</c:formatCode>
                <c:ptCount val="4"/>
                <c:pt idx="0">
                  <c:v>0.21617</c:v>
                </c:pt>
                <c:pt idx="1">
                  <c:v>0.216919</c:v>
                </c:pt>
                <c:pt idx="2">
                  <c:v>-0.82979400000000003</c:v>
                </c:pt>
                <c:pt idx="3">
                  <c:v>-0.162244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B-454D-8CAB-16F8C21F7E17}"/>
            </c:ext>
          </c:extLst>
        </c:ser>
        <c:ser>
          <c:idx val="2"/>
          <c:order val="3"/>
          <c:tx>
            <c:strRef>
              <c:f>gpt_metrics!$M$34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8B-454D-8CAB-16F8C21F7E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gpt_metrics!$M$35:$M$38</c:f>
              <c:numCache>
                <c:formatCode>0.0000</c:formatCode>
                <c:ptCount val="4"/>
                <c:pt idx="0">
                  <c:v>0.64480199999999999</c:v>
                </c:pt>
                <c:pt idx="1">
                  <c:v>1.2256020000000001</c:v>
                </c:pt>
                <c:pt idx="2">
                  <c:v>-0.80690899999999999</c:v>
                </c:pt>
                <c:pt idx="3">
                  <c:v>0.218504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B-454D-8CAB-16F8C21F7E17}"/>
            </c:ext>
          </c:extLst>
        </c:ser>
        <c:ser>
          <c:idx val="3"/>
          <c:order val="4"/>
          <c:tx>
            <c:strRef>
              <c:f>gpt_metrics!$N$34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gpt_metrics!$N$35:$N$38</c:f>
              <c:numCache>
                <c:formatCode>0.0000</c:formatCode>
                <c:ptCount val="4"/>
                <c:pt idx="0">
                  <c:v>-0.65888199999999997</c:v>
                </c:pt>
                <c:pt idx="1">
                  <c:v>-8.7847999999999996E-2</c:v>
                </c:pt>
                <c:pt idx="2">
                  <c:v>-1.104663</c:v>
                </c:pt>
                <c:pt idx="3">
                  <c:v>-0.39962799999999998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B-454D-8CAB-16F8C21F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gemini_metrics!$J$34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gemini_metrics!$J$35:$J$38</c:f>
              <c:numCache>
                <c:formatCode>0.0000</c:formatCode>
                <c:ptCount val="4"/>
                <c:pt idx="0">
                  <c:v>-0.66263499999999997</c:v>
                </c:pt>
                <c:pt idx="1">
                  <c:v>-0.27674799999999999</c:v>
                </c:pt>
                <c:pt idx="2">
                  <c:v>-0.96533599999999997</c:v>
                </c:pt>
                <c:pt idx="3">
                  <c:v>-0.48918099999999998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104D-BBF5-4FAF5BC1DC18}"/>
            </c:ext>
          </c:extLst>
        </c:ser>
        <c:ser>
          <c:idx val="4"/>
          <c:order val="1"/>
          <c:tx>
            <c:strRef>
              <c:f>gemini_metrics!$K$34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gemini_metrics!$K$35:$K$38</c:f>
              <c:numCache>
                <c:formatCode>0.0000</c:formatCode>
                <c:ptCount val="4"/>
                <c:pt idx="0">
                  <c:v>0.144481</c:v>
                </c:pt>
                <c:pt idx="1">
                  <c:v>0.13669000000000001</c:v>
                </c:pt>
                <c:pt idx="2">
                  <c:v>-0.85173100000000002</c:v>
                </c:pt>
                <c:pt idx="3">
                  <c:v>-0.25151000000000001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1-104D-BBF5-4FAF5BC1DC18}"/>
            </c:ext>
          </c:extLst>
        </c:ser>
        <c:ser>
          <c:idx val="1"/>
          <c:order val="2"/>
          <c:tx>
            <c:strRef>
              <c:f>gemini_metrics!$L$34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gemini_metrics!$L$35:$L$38</c:f>
              <c:numCache>
                <c:formatCode>0.0000</c:formatCode>
                <c:ptCount val="4"/>
                <c:pt idx="0">
                  <c:v>0.376863</c:v>
                </c:pt>
                <c:pt idx="1">
                  <c:v>0.208563</c:v>
                </c:pt>
                <c:pt idx="2">
                  <c:v>-0.68309600000000004</c:v>
                </c:pt>
                <c:pt idx="3">
                  <c:v>-7.3568999999999996E-2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1-104D-BBF5-4FAF5BC1DC18}"/>
            </c:ext>
          </c:extLst>
        </c:ser>
        <c:ser>
          <c:idx val="2"/>
          <c:order val="3"/>
          <c:tx>
            <c:strRef>
              <c:f>gemini_metrics!$M$34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1-104D-BBF5-4FAF5BC1DC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gemini_metrics!$M$35:$M$38</c:f>
              <c:numCache>
                <c:formatCode>0.0000</c:formatCode>
                <c:ptCount val="4"/>
                <c:pt idx="0">
                  <c:v>0.34220800000000001</c:v>
                </c:pt>
                <c:pt idx="1">
                  <c:v>0.168457</c:v>
                </c:pt>
                <c:pt idx="2">
                  <c:v>-0.54631700000000005</c:v>
                </c:pt>
                <c:pt idx="3">
                  <c:v>-0.14432600000000001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1-104D-BBF5-4FAF5BC1DC18}"/>
            </c:ext>
          </c:extLst>
        </c:ser>
        <c:ser>
          <c:idx val="3"/>
          <c:order val="4"/>
          <c:tx>
            <c:strRef>
              <c:f>gemini_metrics!$N$34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gemini_metrics!$N$35:$N$38</c:f>
              <c:numCache>
                <c:formatCode>0.0000</c:formatCode>
                <c:ptCount val="4"/>
                <c:pt idx="0">
                  <c:v>-0.64491200000000004</c:v>
                </c:pt>
                <c:pt idx="1">
                  <c:v>-0.25800200000000001</c:v>
                </c:pt>
                <c:pt idx="2">
                  <c:v>-0.91516299999999995</c:v>
                </c:pt>
                <c:pt idx="3">
                  <c:v>-0.41546899999999998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11-104D-BBF5-4FAF5BC1D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-7.0520000000000001E-3</c:v>
                </c:pt>
                <c:pt idx="2">
                  <c:v>-1.2291E-2</c:v>
                </c:pt>
                <c:pt idx="3">
                  <c:v>-2.2422999999999998E-2</c:v>
                </c:pt>
                <c:pt idx="4">
                  <c:v>-3.1123000000000001E-2</c:v>
                </c:pt>
                <c:pt idx="5">
                  <c:v>-3.6815000000000001E-2</c:v>
                </c:pt>
                <c:pt idx="6">
                  <c:v>-4.7058999999999997E-2</c:v>
                </c:pt>
                <c:pt idx="7">
                  <c:v>-4.7681000000000001E-2</c:v>
                </c:pt>
                <c:pt idx="8">
                  <c:v>-2.9097999999999999E-2</c:v>
                </c:pt>
                <c:pt idx="9">
                  <c:v>-3.4410000000000003E-2</c:v>
                </c:pt>
                <c:pt idx="10">
                  <c:v>-7.6438999999999993E-2</c:v>
                </c:pt>
                <c:pt idx="11">
                  <c:v>-9.1869999999999993E-2</c:v>
                </c:pt>
                <c:pt idx="12">
                  <c:v>-8.8586999999999999E-2</c:v>
                </c:pt>
                <c:pt idx="13">
                  <c:v>-9.2279E-2</c:v>
                </c:pt>
                <c:pt idx="14">
                  <c:v>-9.8380999999999996E-2</c:v>
                </c:pt>
                <c:pt idx="15">
                  <c:v>-0.10999100000000001</c:v>
                </c:pt>
                <c:pt idx="16">
                  <c:v>-0.12612499999999999</c:v>
                </c:pt>
                <c:pt idx="17">
                  <c:v>-0.13206899999999999</c:v>
                </c:pt>
                <c:pt idx="18">
                  <c:v>-0.142203</c:v>
                </c:pt>
                <c:pt idx="19">
                  <c:v>-0.150198</c:v>
                </c:pt>
                <c:pt idx="20">
                  <c:v>-0.16265499999999999</c:v>
                </c:pt>
                <c:pt idx="21">
                  <c:v>-0.16550100000000001</c:v>
                </c:pt>
                <c:pt idx="22">
                  <c:v>-0.16795399999999999</c:v>
                </c:pt>
                <c:pt idx="23">
                  <c:v>-0.16903899999999999</c:v>
                </c:pt>
                <c:pt idx="24">
                  <c:v>-0.17469299999999999</c:v>
                </c:pt>
                <c:pt idx="25">
                  <c:v>-0.18169199999999999</c:v>
                </c:pt>
                <c:pt idx="26">
                  <c:v>-0.18351400000000001</c:v>
                </c:pt>
                <c:pt idx="27">
                  <c:v>-0.18842900000000001</c:v>
                </c:pt>
                <c:pt idx="28">
                  <c:v>-0.19315199999999999</c:v>
                </c:pt>
                <c:pt idx="29">
                  <c:v>-0.19778399999999999</c:v>
                </c:pt>
                <c:pt idx="30">
                  <c:v>-0.20032</c:v>
                </c:pt>
                <c:pt idx="31">
                  <c:v>-0.207589</c:v>
                </c:pt>
                <c:pt idx="32">
                  <c:v>-0.22323799999999999</c:v>
                </c:pt>
                <c:pt idx="33">
                  <c:v>-0.23053799999999999</c:v>
                </c:pt>
                <c:pt idx="34">
                  <c:v>-0.23095399999999999</c:v>
                </c:pt>
                <c:pt idx="35">
                  <c:v>-0.23224400000000001</c:v>
                </c:pt>
                <c:pt idx="36">
                  <c:v>-0.23829</c:v>
                </c:pt>
                <c:pt idx="37">
                  <c:v>-0.24157899999999999</c:v>
                </c:pt>
                <c:pt idx="38">
                  <c:v>-0.244339</c:v>
                </c:pt>
                <c:pt idx="39">
                  <c:v>-0.25019599999999997</c:v>
                </c:pt>
                <c:pt idx="40">
                  <c:v>-0.26334200000000002</c:v>
                </c:pt>
                <c:pt idx="41">
                  <c:v>-0.273283</c:v>
                </c:pt>
                <c:pt idx="42">
                  <c:v>-0.27764899999999998</c:v>
                </c:pt>
                <c:pt idx="43">
                  <c:v>-0.28048200000000001</c:v>
                </c:pt>
                <c:pt idx="44">
                  <c:v>-0.28049299999999999</c:v>
                </c:pt>
                <c:pt idx="45">
                  <c:v>-0.28450300000000001</c:v>
                </c:pt>
                <c:pt idx="46">
                  <c:v>-0.28868300000000002</c:v>
                </c:pt>
                <c:pt idx="47">
                  <c:v>-0.29620999999999997</c:v>
                </c:pt>
                <c:pt idx="48">
                  <c:v>-0.30202200000000001</c:v>
                </c:pt>
                <c:pt idx="49">
                  <c:v>-0.307029</c:v>
                </c:pt>
                <c:pt idx="50">
                  <c:v>-0.31669999999999998</c:v>
                </c:pt>
                <c:pt idx="51">
                  <c:v>-0.31929600000000002</c:v>
                </c:pt>
                <c:pt idx="52">
                  <c:v>-0.32494699999999999</c:v>
                </c:pt>
                <c:pt idx="53">
                  <c:v>-0.33687400000000001</c:v>
                </c:pt>
                <c:pt idx="54">
                  <c:v>-0.34012500000000001</c:v>
                </c:pt>
                <c:pt idx="55">
                  <c:v>-0.34717900000000002</c:v>
                </c:pt>
                <c:pt idx="56">
                  <c:v>-0.35692400000000002</c:v>
                </c:pt>
                <c:pt idx="57">
                  <c:v>-0.39018700000000001</c:v>
                </c:pt>
                <c:pt idx="58">
                  <c:v>-0.40405000000000002</c:v>
                </c:pt>
                <c:pt idx="59">
                  <c:v>-0.409134</c:v>
                </c:pt>
                <c:pt idx="60">
                  <c:v>-0.428149</c:v>
                </c:pt>
                <c:pt idx="61">
                  <c:v>-0.44175399999999998</c:v>
                </c:pt>
                <c:pt idx="62">
                  <c:v>-0.43745299999999998</c:v>
                </c:pt>
                <c:pt idx="63">
                  <c:v>-0.45815</c:v>
                </c:pt>
                <c:pt idx="64">
                  <c:v>-0.46174599999999999</c:v>
                </c:pt>
                <c:pt idx="65">
                  <c:v>-0.473246</c:v>
                </c:pt>
                <c:pt idx="66">
                  <c:v>-0.47869899999999999</c:v>
                </c:pt>
                <c:pt idx="67">
                  <c:v>-0.48391600000000001</c:v>
                </c:pt>
                <c:pt idx="68">
                  <c:v>-0.48582700000000001</c:v>
                </c:pt>
                <c:pt idx="69">
                  <c:v>-0.48110799999999998</c:v>
                </c:pt>
                <c:pt idx="70">
                  <c:v>-0.49836900000000001</c:v>
                </c:pt>
                <c:pt idx="71">
                  <c:v>-0.5111</c:v>
                </c:pt>
                <c:pt idx="72">
                  <c:v>-0.516934</c:v>
                </c:pt>
                <c:pt idx="73">
                  <c:v>-0.52703800000000001</c:v>
                </c:pt>
                <c:pt idx="74">
                  <c:v>-0.51617999999999997</c:v>
                </c:pt>
                <c:pt idx="75">
                  <c:v>-0.56554599999999999</c:v>
                </c:pt>
                <c:pt idx="76">
                  <c:v>-0.579515</c:v>
                </c:pt>
                <c:pt idx="77">
                  <c:v>-0.579453</c:v>
                </c:pt>
                <c:pt idx="78">
                  <c:v>-0.56903899999999996</c:v>
                </c:pt>
                <c:pt idx="79">
                  <c:v>-0.528366</c:v>
                </c:pt>
                <c:pt idx="80">
                  <c:v>-0.55744899999999997</c:v>
                </c:pt>
                <c:pt idx="81">
                  <c:v>-0.53135600000000005</c:v>
                </c:pt>
                <c:pt idx="82">
                  <c:v>-0.55629200000000001</c:v>
                </c:pt>
                <c:pt idx="83">
                  <c:v>-0.53253499999999998</c:v>
                </c:pt>
                <c:pt idx="84">
                  <c:v>-0.55162699999999998</c:v>
                </c:pt>
                <c:pt idx="85">
                  <c:v>-0.54917700000000003</c:v>
                </c:pt>
                <c:pt idx="86">
                  <c:v>-0.576963</c:v>
                </c:pt>
                <c:pt idx="87">
                  <c:v>-0.58078700000000005</c:v>
                </c:pt>
                <c:pt idx="88">
                  <c:v>-0.59518300000000002</c:v>
                </c:pt>
                <c:pt idx="89">
                  <c:v>-0.57799599999999995</c:v>
                </c:pt>
                <c:pt idx="90">
                  <c:v>-0.57972699999999999</c:v>
                </c:pt>
                <c:pt idx="91">
                  <c:v>-0.60439900000000002</c:v>
                </c:pt>
                <c:pt idx="92">
                  <c:v>-0.60814299999999999</c:v>
                </c:pt>
                <c:pt idx="93">
                  <c:v>-0.61302999999999996</c:v>
                </c:pt>
                <c:pt idx="94">
                  <c:v>-0.61558999999999997</c:v>
                </c:pt>
                <c:pt idx="95">
                  <c:v>-0.624054</c:v>
                </c:pt>
                <c:pt idx="96">
                  <c:v>-0.62823899999999999</c:v>
                </c:pt>
                <c:pt idx="97">
                  <c:v>-0.63127</c:v>
                </c:pt>
                <c:pt idx="98">
                  <c:v>-0.63309499999999996</c:v>
                </c:pt>
                <c:pt idx="99">
                  <c:v>-0.63656599999999997</c:v>
                </c:pt>
                <c:pt idx="100">
                  <c:v>-0.63621700000000003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08-0140-94BD-A580433FFFE5}"/>
            </c:ext>
          </c:extLst>
        </c:ser>
        <c:ser>
          <c:idx val="4"/>
          <c:order val="1"/>
          <c:tx>
            <c:strRef>
              <c:f>'gpt_delta-trend'!$C$2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-1.24E-3</c:v>
                </c:pt>
                <c:pt idx="2">
                  <c:v>9.4289999999999999E-3</c:v>
                </c:pt>
                <c:pt idx="3">
                  <c:v>-4.1780000000000003E-3</c:v>
                </c:pt>
                <c:pt idx="4">
                  <c:v>-2.63E-4</c:v>
                </c:pt>
                <c:pt idx="5">
                  <c:v>1.0652999999999999E-2</c:v>
                </c:pt>
                <c:pt idx="6">
                  <c:v>2.2572999999999999E-2</c:v>
                </c:pt>
                <c:pt idx="7">
                  <c:v>4.6851999999999998E-2</c:v>
                </c:pt>
                <c:pt idx="8">
                  <c:v>6.2899999999999998E-2</c:v>
                </c:pt>
                <c:pt idx="9">
                  <c:v>7.5422000000000003E-2</c:v>
                </c:pt>
                <c:pt idx="10">
                  <c:v>4.9259999999999998E-2</c:v>
                </c:pt>
                <c:pt idx="11">
                  <c:v>5.0130000000000001E-2</c:v>
                </c:pt>
                <c:pt idx="12">
                  <c:v>5.2822000000000001E-2</c:v>
                </c:pt>
                <c:pt idx="13">
                  <c:v>5.5319E-2</c:v>
                </c:pt>
                <c:pt idx="14">
                  <c:v>5.3724000000000001E-2</c:v>
                </c:pt>
                <c:pt idx="15">
                  <c:v>4.9458000000000002E-2</c:v>
                </c:pt>
                <c:pt idx="16">
                  <c:v>2.9665E-2</c:v>
                </c:pt>
                <c:pt idx="17">
                  <c:v>3.3072999999999998E-2</c:v>
                </c:pt>
                <c:pt idx="18">
                  <c:v>4.7358999999999998E-2</c:v>
                </c:pt>
                <c:pt idx="19">
                  <c:v>4.6422999999999999E-2</c:v>
                </c:pt>
                <c:pt idx="20">
                  <c:v>3.2426000000000003E-2</c:v>
                </c:pt>
                <c:pt idx="21">
                  <c:v>3.4605999999999998E-2</c:v>
                </c:pt>
                <c:pt idx="22">
                  <c:v>3.6671000000000002E-2</c:v>
                </c:pt>
                <c:pt idx="23">
                  <c:v>3.1123000000000001E-2</c:v>
                </c:pt>
                <c:pt idx="24">
                  <c:v>2.3855999999999999E-2</c:v>
                </c:pt>
                <c:pt idx="25">
                  <c:v>2.1940000000000001E-2</c:v>
                </c:pt>
                <c:pt idx="26">
                  <c:v>2.2766000000000002E-2</c:v>
                </c:pt>
                <c:pt idx="27">
                  <c:v>2.0341000000000001E-2</c:v>
                </c:pt>
                <c:pt idx="28">
                  <c:v>2.0351999999999999E-2</c:v>
                </c:pt>
                <c:pt idx="29">
                  <c:v>2.1987E-2</c:v>
                </c:pt>
                <c:pt idx="30">
                  <c:v>2.7689999999999999E-2</c:v>
                </c:pt>
                <c:pt idx="31">
                  <c:v>2.0271999999999998E-2</c:v>
                </c:pt>
                <c:pt idx="32">
                  <c:v>1.5945999999999998E-2</c:v>
                </c:pt>
                <c:pt idx="33">
                  <c:v>4.7730000000000003E-3</c:v>
                </c:pt>
                <c:pt idx="34">
                  <c:v>1.9840000000000001E-3</c:v>
                </c:pt>
                <c:pt idx="35">
                  <c:v>-1.5334E-2</c:v>
                </c:pt>
                <c:pt idx="36">
                  <c:v>-1.0130999999999999E-2</c:v>
                </c:pt>
                <c:pt idx="37">
                  <c:v>-1.8440999999999999E-2</c:v>
                </c:pt>
                <c:pt idx="38">
                  <c:v>-2.2005E-2</c:v>
                </c:pt>
                <c:pt idx="39">
                  <c:v>-2.5253000000000001E-2</c:v>
                </c:pt>
                <c:pt idx="40">
                  <c:v>-2.8268000000000001E-2</c:v>
                </c:pt>
                <c:pt idx="41">
                  <c:v>-3.3568000000000001E-2</c:v>
                </c:pt>
                <c:pt idx="42">
                  <c:v>-3.3924999999999997E-2</c:v>
                </c:pt>
                <c:pt idx="43">
                  <c:v>-3.2298E-2</c:v>
                </c:pt>
                <c:pt idx="44">
                  <c:v>-3.4278000000000003E-2</c:v>
                </c:pt>
                <c:pt idx="45">
                  <c:v>-3.8177999999999997E-2</c:v>
                </c:pt>
                <c:pt idx="46">
                  <c:v>-4.2592999999999999E-2</c:v>
                </c:pt>
                <c:pt idx="47">
                  <c:v>-4.9798000000000002E-2</c:v>
                </c:pt>
                <c:pt idx="48">
                  <c:v>-4.7536000000000002E-2</c:v>
                </c:pt>
                <c:pt idx="49">
                  <c:v>-6.4014000000000001E-2</c:v>
                </c:pt>
                <c:pt idx="50">
                  <c:v>-7.3248999999999995E-2</c:v>
                </c:pt>
                <c:pt idx="51">
                  <c:v>-5.0776000000000002E-2</c:v>
                </c:pt>
                <c:pt idx="52">
                  <c:v>-3.1932000000000002E-2</c:v>
                </c:pt>
                <c:pt idx="53">
                  <c:v>-3.5943000000000003E-2</c:v>
                </c:pt>
                <c:pt idx="54">
                  <c:v>-3.4993000000000003E-2</c:v>
                </c:pt>
                <c:pt idx="55">
                  <c:v>-4.9715000000000002E-2</c:v>
                </c:pt>
                <c:pt idx="56">
                  <c:v>-4.3893000000000001E-2</c:v>
                </c:pt>
                <c:pt idx="57">
                  <c:v>-3.9562E-2</c:v>
                </c:pt>
                <c:pt idx="58">
                  <c:v>-1.7876E-2</c:v>
                </c:pt>
                <c:pt idx="59">
                  <c:v>-2.1676999999999998E-2</c:v>
                </c:pt>
                <c:pt idx="60">
                  <c:v>-2.5366E-2</c:v>
                </c:pt>
                <c:pt idx="61">
                  <c:v>-2.9083999999999999E-2</c:v>
                </c:pt>
                <c:pt idx="62">
                  <c:v>-2.4955999999999999E-2</c:v>
                </c:pt>
                <c:pt idx="63">
                  <c:v>-2.5340000000000001E-2</c:v>
                </c:pt>
                <c:pt idx="64">
                  <c:v>-2.9149999999999999E-2</c:v>
                </c:pt>
                <c:pt idx="65">
                  <c:v>-3.3975999999999999E-2</c:v>
                </c:pt>
                <c:pt idx="66">
                  <c:v>-3.3661000000000003E-2</c:v>
                </c:pt>
                <c:pt idx="67">
                  <c:v>-3.7985999999999999E-2</c:v>
                </c:pt>
                <c:pt idx="68">
                  <c:v>-3.7893999999999997E-2</c:v>
                </c:pt>
                <c:pt idx="69">
                  <c:v>-4.3997000000000001E-2</c:v>
                </c:pt>
                <c:pt idx="70">
                  <c:v>-5.1857E-2</c:v>
                </c:pt>
                <c:pt idx="71">
                  <c:v>-4.3201999999999997E-2</c:v>
                </c:pt>
                <c:pt idx="72">
                  <c:v>-4.8425999999999997E-2</c:v>
                </c:pt>
                <c:pt idx="73">
                  <c:v>-4.6047999999999999E-2</c:v>
                </c:pt>
                <c:pt idx="74">
                  <c:v>-3.9551000000000003E-2</c:v>
                </c:pt>
                <c:pt idx="75">
                  <c:v>-4.6469000000000003E-2</c:v>
                </c:pt>
                <c:pt idx="76">
                  <c:v>-4.3707999999999997E-2</c:v>
                </c:pt>
                <c:pt idx="77">
                  <c:v>-3.8220999999999998E-2</c:v>
                </c:pt>
                <c:pt idx="78">
                  <c:v>-4.1660000000000003E-2</c:v>
                </c:pt>
                <c:pt idx="79">
                  <c:v>-1.3675E-2</c:v>
                </c:pt>
                <c:pt idx="80">
                  <c:v>-8.541E-3</c:v>
                </c:pt>
                <c:pt idx="81">
                  <c:v>8.7930000000000005E-3</c:v>
                </c:pt>
                <c:pt idx="82">
                  <c:v>8.2999999999999998E-5</c:v>
                </c:pt>
                <c:pt idx="83">
                  <c:v>-7.43E-3</c:v>
                </c:pt>
                <c:pt idx="84">
                  <c:v>-9.6919999999999992E-3</c:v>
                </c:pt>
                <c:pt idx="85">
                  <c:v>-2.2603000000000002E-2</c:v>
                </c:pt>
                <c:pt idx="86">
                  <c:v>-2.4555E-2</c:v>
                </c:pt>
                <c:pt idx="87">
                  <c:v>-2.3845999999999999E-2</c:v>
                </c:pt>
                <c:pt idx="88">
                  <c:v>-1.2684000000000001E-2</c:v>
                </c:pt>
                <c:pt idx="89">
                  <c:v>-8.8170000000000002E-3</c:v>
                </c:pt>
                <c:pt idx="90">
                  <c:v>-2.6339000000000001E-2</c:v>
                </c:pt>
                <c:pt idx="91">
                  <c:v>-3.0064E-2</c:v>
                </c:pt>
                <c:pt idx="92">
                  <c:v>-3.3260999999999999E-2</c:v>
                </c:pt>
                <c:pt idx="93">
                  <c:v>-2.5793E-2</c:v>
                </c:pt>
                <c:pt idx="94">
                  <c:v>-3.1919000000000003E-2</c:v>
                </c:pt>
                <c:pt idx="95">
                  <c:v>-5.2558000000000001E-2</c:v>
                </c:pt>
                <c:pt idx="96">
                  <c:v>-5.6292000000000002E-2</c:v>
                </c:pt>
                <c:pt idx="97">
                  <c:v>-5.4543000000000001E-2</c:v>
                </c:pt>
                <c:pt idx="98">
                  <c:v>-6.2447000000000003E-2</c:v>
                </c:pt>
                <c:pt idx="99">
                  <c:v>-6.5541000000000002E-2</c:v>
                </c:pt>
                <c:pt idx="100">
                  <c:v>-6.9587999999999997E-2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8-0140-94BD-A580433FFFE5}"/>
            </c:ext>
          </c:extLst>
        </c:ser>
        <c:ser>
          <c:idx val="1"/>
          <c:order val="2"/>
          <c:tx>
            <c:strRef>
              <c:f>'gpt_delta-trend'!$D$2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-1.1637E-2</c:v>
                </c:pt>
                <c:pt idx="2">
                  <c:v>1.2215E-2</c:v>
                </c:pt>
                <c:pt idx="3">
                  <c:v>1.7527999999999998E-2</c:v>
                </c:pt>
                <c:pt idx="4">
                  <c:v>1.2034E-2</c:v>
                </c:pt>
                <c:pt idx="5">
                  <c:v>3.1413999999999997E-2</c:v>
                </c:pt>
                <c:pt idx="6">
                  <c:v>4.6698999999999997E-2</c:v>
                </c:pt>
                <c:pt idx="7">
                  <c:v>6.6404000000000005E-2</c:v>
                </c:pt>
                <c:pt idx="8">
                  <c:v>7.0305999999999993E-2</c:v>
                </c:pt>
                <c:pt idx="9">
                  <c:v>8.0559000000000006E-2</c:v>
                </c:pt>
                <c:pt idx="10">
                  <c:v>6.5502000000000005E-2</c:v>
                </c:pt>
                <c:pt idx="11">
                  <c:v>6.9342000000000001E-2</c:v>
                </c:pt>
                <c:pt idx="12">
                  <c:v>7.4526999999999996E-2</c:v>
                </c:pt>
                <c:pt idx="13">
                  <c:v>0.109627</c:v>
                </c:pt>
                <c:pt idx="14">
                  <c:v>0.119599</c:v>
                </c:pt>
                <c:pt idx="15">
                  <c:v>0.14033000000000001</c:v>
                </c:pt>
                <c:pt idx="16">
                  <c:v>0.122976</c:v>
                </c:pt>
                <c:pt idx="17">
                  <c:v>0.13050600000000001</c:v>
                </c:pt>
                <c:pt idx="18">
                  <c:v>0.12903800000000001</c:v>
                </c:pt>
                <c:pt idx="19">
                  <c:v>0.16117999999999999</c:v>
                </c:pt>
                <c:pt idx="20">
                  <c:v>0.15046300000000001</c:v>
                </c:pt>
                <c:pt idx="21">
                  <c:v>0.158974</c:v>
                </c:pt>
                <c:pt idx="22">
                  <c:v>0.15257100000000001</c:v>
                </c:pt>
                <c:pt idx="23">
                  <c:v>0.152557</c:v>
                </c:pt>
                <c:pt idx="24">
                  <c:v>0.139292</c:v>
                </c:pt>
                <c:pt idx="25">
                  <c:v>0.14255799999999999</c:v>
                </c:pt>
                <c:pt idx="26">
                  <c:v>0.15001500000000001</c:v>
                </c:pt>
                <c:pt idx="27">
                  <c:v>0.149285</c:v>
                </c:pt>
                <c:pt idx="28">
                  <c:v>0.14699999999999999</c:v>
                </c:pt>
                <c:pt idx="29">
                  <c:v>0.14574500000000001</c:v>
                </c:pt>
                <c:pt idx="30">
                  <c:v>0.14624599999999999</c:v>
                </c:pt>
                <c:pt idx="31">
                  <c:v>0.123025</c:v>
                </c:pt>
                <c:pt idx="32">
                  <c:v>0.12990399999999999</c:v>
                </c:pt>
                <c:pt idx="33">
                  <c:v>0.100248</c:v>
                </c:pt>
                <c:pt idx="34">
                  <c:v>0.10652399999999999</c:v>
                </c:pt>
                <c:pt idx="35">
                  <c:v>9.4353999999999993E-2</c:v>
                </c:pt>
                <c:pt idx="36">
                  <c:v>0.102483</c:v>
                </c:pt>
                <c:pt idx="37">
                  <c:v>9.4463000000000005E-2</c:v>
                </c:pt>
                <c:pt idx="38">
                  <c:v>9.4092999999999996E-2</c:v>
                </c:pt>
                <c:pt idx="39">
                  <c:v>9.6724000000000004E-2</c:v>
                </c:pt>
                <c:pt idx="40">
                  <c:v>0.106617</c:v>
                </c:pt>
                <c:pt idx="41">
                  <c:v>0.103898</c:v>
                </c:pt>
                <c:pt idx="42">
                  <c:v>0.109226</c:v>
                </c:pt>
                <c:pt idx="43">
                  <c:v>0.127611</c:v>
                </c:pt>
                <c:pt idx="44">
                  <c:v>0.12969900000000001</c:v>
                </c:pt>
                <c:pt idx="45">
                  <c:v>0.12731100000000001</c:v>
                </c:pt>
                <c:pt idx="46">
                  <c:v>0.12171899999999999</c:v>
                </c:pt>
                <c:pt idx="47">
                  <c:v>0.115286</c:v>
                </c:pt>
                <c:pt idx="48">
                  <c:v>0.117897</c:v>
                </c:pt>
                <c:pt idx="49">
                  <c:v>0.119709</c:v>
                </c:pt>
                <c:pt idx="50">
                  <c:v>0.119183</c:v>
                </c:pt>
                <c:pt idx="51">
                  <c:v>0.117185</c:v>
                </c:pt>
                <c:pt idx="52">
                  <c:v>0.108472</c:v>
                </c:pt>
                <c:pt idx="53">
                  <c:v>0.11328299999999999</c:v>
                </c:pt>
                <c:pt idx="54">
                  <c:v>0.116243</c:v>
                </c:pt>
                <c:pt idx="55">
                  <c:v>0.136042</c:v>
                </c:pt>
                <c:pt idx="56">
                  <c:v>0.13079199999999999</c:v>
                </c:pt>
                <c:pt idx="57">
                  <c:v>0.12694900000000001</c:v>
                </c:pt>
                <c:pt idx="58">
                  <c:v>0.13905999999999999</c:v>
                </c:pt>
                <c:pt idx="59">
                  <c:v>0.14049900000000001</c:v>
                </c:pt>
                <c:pt idx="60">
                  <c:v>0.13502</c:v>
                </c:pt>
                <c:pt idx="61">
                  <c:v>0.14659700000000001</c:v>
                </c:pt>
                <c:pt idx="62">
                  <c:v>0.133269</c:v>
                </c:pt>
                <c:pt idx="63">
                  <c:v>0.14343800000000001</c:v>
                </c:pt>
                <c:pt idx="64">
                  <c:v>0.13886499999999999</c:v>
                </c:pt>
                <c:pt idx="65">
                  <c:v>0.141843</c:v>
                </c:pt>
                <c:pt idx="66">
                  <c:v>0.13755899999999999</c:v>
                </c:pt>
                <c:pt idx="67">
                  <c:v>0.125862</c:v>
                </c:pt>
                <c:pt idx="68">
                  <c:v>0.13219500000000001</c:v>
                </c:pt>
                <c:pt idx="69">
                  <c:v>0.12979299999999999</c:v>
                </c:pt>
                <c:pt idx="70">
                  <c:v>0.125529</c:v>
                </c:pt>
                <c:pt idx="71">
                  <c:v>0.13444999999999999</c:v>
                </c:pt>
                <c:pt idx="72">
                  <c:v>0.147754</c:v>
                </c:pt>
                <c:pt idx="73">
                  <c:v>0.15820999999999999</c:v>
                </c:pt>
                <c:pt idx="74">
                  <c:v>0.15006</c:v>
                </c:pt>
                <c:pt idx="75">
                  <c:v>0.18001900000000001</c:v>
                </c:pt>
                <c:pt idx="76">
                  <c:v>0.19143199999999999</c:v>
                </c:pt>
                <c:pt idx="77">
                  <c:v>0.19395499999999999</c:v>
                </c:pt>
                <c:pt idx="78">
                  <c:v>0.18751899999999999</c:v>
                </c:pt>
                <c:pt idx="79">
                  <c:v>0.19862299999999999</c:v>
                </c:pt>
                <c:pt idx="80">
                  <c:v>0.21582299999999999</c:v>
                </c:pt>
                <c:pt idx="81">
                  <c:v>0.23053100000000001</c:v>
                </c:pt>
                <c:pt idx="82">
                  <c:v>0.233379</c:v>
                </c:pt>
                <c:pt idx="83">
                  <c:v>0.22000800000000001</c:v>
                </c:pt>
                <c:pt idx="84">
                  <c:v>0.22701099999999999</c:v>
                </c:pt>
                <c:pt idx="85">
                  <c:v>0.2084</c:v>
                </c:pt>
                <c:pt idx="86">
                  <c:v>0.216282</c:v>
                </c:pt>
                <c:pt idx="87">
                  <c:v>0.217893</c:v>
                </c:pt>
                <c:pt idx="88">
                  <c:v>0.24627199999999999</c:v>
                </c:pt>
                <c:pt idx="89">
                  <c:v>0.249699</c:v>
                </c:pt>
                <c:pt idx="90">
                  <c:v>0.22913600000000001</c:v>
                </c:pt>
                <c:pt idx="91">
                  <c:v>0.239506</c:v>
                </c:pt>
                <c:pt idx="92">
                  <c:v>0.23149600000000001</c:v>
                </c:pt>
                <c:pt idx="93">
                  <c:v>0.24496899999999999</c:v>
                </c:pt>
                <c:pt idx="94">
                  <c:v>0.24191799999999999</c:v>
                </c:pt>
                <c:pt idx="95">
                  <c:v>0.23647299999999999</c:v>
                </c:pt>
                <c:pt idx="96">
                  <c:v>0.23425099999999999</c:v>
                </c:pt>
                <c:pt idx="97">
                  <c:v>0.23454900000000001</c:v>
                </c:pt>
                <c:pt idx="98">
                  <c:v>0.223972</c:v>
                </c:pt>
                <c:pt idx="99">
                  <c:v>0.23002900000000001</c:v>
                </c:pt>
                <c:pt idx="100">
                  <c:v>0.21617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408-0140-94BD-A580433FFFE5}"/>
            </c:ext>
          </c:extLst>
        </c:ser>
        <c:ser>
          <c:idx val="2"/>
          <c:order val="3"/>
          <c:tx>
            <c:strRef>
              <c:f>'gpt_delta-trend'!$E$2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'gpt_delta-trend'!$E$3:$E$104</c:f>
              <c:numCache>
                <c:formatCode>General</c:formatCode>
                <c:ptCount val="102"/>
                <c:pt idx="0">
                  <c:v>0</c:v>
                </c:pt>
                <c:pt idx="1">
                  <c:v>-1.374E-3</c:v>
                </c:pt>
                <c:pt idx="2">
                  <c:v>7.0349999999999996E-3</c:v>
                </c:pt>
                <c:pt idx="3">
                  <c:v>3.0006000000000001E-2</c:v>
                </c:pt>
                <c:pt idx="4">
                  <c:v>3.7472999999999999E-2</c:v>
                </c:pt>
                <c:pt idx="5">
                  <c:v>5.1175999999999999E-2</c:v>
                </c:pt>
                <c:pt idx="6">
                  <c:v>6.4715999999999996E-2</c:v>
                </c:pt>
                <c:pt idx="7">
                  <c:v>9.8687999999999998E-2</c:v>
                </c:pt>
                <c:pt idx="8">
                  <c:v>0.115589</c:v>
                </c:pt>
                <c:pt idx="9">
                  <c:v>0.12725500000000001</c:v>
                </c:pt>
                <c:pt idx="10">
                  <c:v>9.6585000000000004E-2</c:v>
                </c:pt>
                <c:pt idx="11">
                  <c:v>0.105115</c:v>
                </c:pt>
                <c:pt idx="12">
                  <c:v>0.125444</c:v>
                </c:pt>
                <c:pt idx="13">
                  <c:v>0.12612100000000001</c:v>
                </c:pt>
                <c:pt idx="14">
                  <c:v>0.122116</c:v>
                </c:pt>
                <c:pt idx="15">
                  <c:v>0.140736</c:v>
                </c:pt>
                <c:pt idx="16">
                  <c:v>0.12587100000000001</c:v>
                </c:pt>
                <c:pt idx="17">
                  <c:v>0.14223</c:v>
                </c:pt>
                <c:pt idx="18">
                  <c:v>0.18520900000000001</c:v>
                </c:pt>
                <c:pt idx="19">
                  <c:v>0.24598700000000001</c:v>
                </c:pt>
                <c:pt idx="20">
                  <c:v>0.24298700000000001</c:v>
                </c:pt>
                <c:pt idx="21">
                  <c:v>0.27637099999999998</c:v>
                </c:pt>
                <c:pt idx="22">
                  <c:v>0.28136499999999998</c:v>
                </c:pt>
                <c:pt idx="23">
                  <c:v>0.27383400000000002</c:v>
                </c:pt>
                <c:pt idx="24">
                  <c:v>0.271702</c:v>
                </c:pt>
                <c:pt idx="25">
                  <c:v>0.27511600000000003</c:v>
                </c:pt>
                <c:pt idx="26">
                  <c:v>0.28917599999999999</c:v>
                </c:pt>
                <c:pt idx="27">
                  <c:v>0.29477700000000001</c:v>
                </c:pt>
                <c:pt idx="28">
                  <c:v>0.28842299999999998</c:v>
                </c:pt>
                <c:pt idx="29">
                  <c:v>0.29561100000000001</c:v>
                </c:pt>
                <c:pt idx="30">
                  <c:v>0.29716700000000001</c:v>
                </c:pt>
                <c:pt idx="31">
                  <c:v>0.28876000000000002</c:v>
                </c:pt>
                <c:pt idx="32">
                  <c:v>0.30979000000000001</c:v>
                </c:pt>
                <c:pt idx="33">
                  <c:v>0.27041799999999999</c:v>
                </c:pt>
                <c:pt idx="34">
                  <c:v>0.28459499999999999</c:v>
                </c:pt>
                <c:pt idx="35">
                  <c:v>0.27108700000000002</c:v>
                </c:pt>
                <c:pt idx="36">
                  <c:v>0.28348499999999999</c:v>
                </c:pt>
                <c:pt idx="37">
                  <c:v>0.27454499999999998</c:v>
                </c:pt>
                <c:pt idx="38">
                  <c:v>0.28199000000000002</c:v>
                </c:pt>
                <c:pt idx="39">
                  <c:v>0.291408</c:v>
                </c:pt>
                <c:pt idx="40">
                  <c:v>0.31329600000000002</c:v>
                </c:pt>
                <c:pt idx="41">
                  <c:v>0.31417200000000001</c:v>
                </c:pt>
                <c:pt idx="42">
                  <c:v>0.30976500000000001</c:v>
                </c:pt>
                <c:pt idx="43">
                  <c:v>0.30383300000000002</c:v>
                </c:pt>
                <c:pt idx="44">
                  <c:v>0.33019399999999999</c:v>
                </c:pt>
                <c:pt idx="45">
                  <c:v>0.33906700000000001</c:v>
                </c:pt>
                <c:pt idx="46">
                  <c:v>0.30179600000000001</c:v>
                </c:pt>
                <c:pt idx="47">
                  <c:v>0.310141</c:v>
                </c:pt>
                <c:pt idx="48">
                  <c:v>0.315332</c:v>
                </c:pt>
                <c:pt idx="49">
                  <c:v>0.31852000000000003</c:v>
                </c:pt>
                <c:pt idx="50">
                  <c:v>0.32228099999999998</c:v>
                </c:pt>
                <c:pt idx="51">
                  <c:v>0.35072799999999998</c:v>
                </c:pt>
                <c:pt idx="52">
                  <c:v>0.29616799999999999</c:v>
                </c:pt>
                <c:pt idx="53">
                  <c:v>0.33698299999999998</c:v>
                </c:pt>
                <c:pt idx="54">
                  <c:v>0.32627800000000001</c:v>
                </c:pt>
                <c:pt idx="55">
                  <c:v>0.32903700000000002</c:v>
                </c:pt>
                <c:pt idx="56">
                  <c:v>0.29027700000000001</c:v>
                </c:pt>
                <c:pt idx="57">
                  <c:v>0.31490099999999999</c:v>
                </c:pt>
                <c:pt idx="58">
                  <c:v>0.31592599999999998</c:v>
                </c:pt>
                <c:pt idx="59">
                  <c:v>0.32020300000000002</c:v>
                </c:pt>
                <c:pt idx="60">
                  <c:v>0.34365800000000002</c:v>
                </c:pt>
                <c:pt idx="61">
                  <c:v>0.35386600000000001</c:v>
                </c:pt>
                <c:pt idx="62">
                  <c:v>0.35081800000000002</c:v>
                </c:pt>
                <c:pt idx="63">
                  <c:v>0.35249999999999998</c:v>
                </c:pt>
                <c:pt idx="64">
                  <c:v>0.37334000000000001</c:v>
                </c:pt>
                <c:pt idx="65">
                  <c:v>0.37986500000000001</c:v>
                </c:pt>
                <c:pt idx="66">
                  <c:v>0.40271000000000001</c:v>
                </c:pt>
                <c:pt idx="67">
                  <c:v>0.40555400000000003</c:v>
                </c:pt>
                <c:pt idx="68">
                  <c:v>0.42366300000000001</c:v>
                </c:pt>
                <c:pt idx="69">
                  <c:v>0.42948199999999997</c:v>
                </c:pt>
                <c:pt idx="70">
                  <c:v>0.461451</c:v>
                </c:pt>
                <c:pt idx="71">
                  <c:v>0.46528199999999997</c:v>
                </c:pt>
                <c:pt idx="72">
                  <c:v>0.40828199999999998</c:v>
                </c:pt>
                <c:pt idx="73">
                  <c:v>0.44181500000000001</c:v>
                </c:pt>
                <c:pt idx="74">
                  <c:v>0.41270499999999999</c:v>
                </c:pt>
                <c:pt idx="75">
                  <c:v>0.46358700000000003</c:v>
                </c:pt>
                <c:pt idx="76">
                  <c:v>0.477244</c:v>
                </c:pt>
                <c:pt idx="77">
                  <c:v>0.48032999999999998</c:v>
                </c:pt>
                <c:pt idx="78">
                  <c:v>0.47008800000000001</c:v>
                </c:pt>
                <c:pt idx="79">
                  <c:v>0.461669</c:v>
                </c:pt>
                <c:pt idx="80">
                  <c:v>0.52017999999999998</c:v>
                </c:pt>
                <c:pt idx="81">
                  <c:v>0.53406600000000004</c:v>
                </c:pt>
                <c:pt idx="82">
                  <c:v>0.50226899999999997</c:v>
                </c:pt>
                <c:pt idx="83">
                  <c:v>0.52320800000000001</c:v>
                </c:pt>
                <c:pt idx="84">
                  <c:v>0.55291699999999999</c:v>
                </c:pt>
                <c:pt idx="85">
                  <c:v>0.53144000000000002</c:v>
                </c:pt>
                <c:pt idx="86">
                  <c:v>0.54763600000000001</c:v>
                </c:pt>
                <c:pt idx="87">
                  <c:v>0.57463799999999998</c:v>
                </c:pt>
                <c:pt idx="88">
                  <c:v>0.59272100000000005</c:v>
                </c:pt>
                <c:pt idx="89">
                  <c:v>0.60869399999999996</c:v>
                </c:pt>
                <c:pt idx="90">
                  <c:v>0.61405500000000002</c:v>
                </c:pt>
                <c:pt idx="91">
                  <c:v>0.60801499999999997</c:v>
                </c:pt>
                <c:pt idx="92">
                  <c:v>0.61709800000000004</c:v>
                </c:pt>
                <c:pt idx="93">
                  <c:v>0.62547600000000003</c:v>
                </c:pt>
                <c:pt idx="94">
                  <c:v>0.61411700000000002</c:v>
                </c:pt>
                <c:pt idx="95">
                  <c:v>0.640463</c:v>
                </c:pt>
                <c:pt idx="96">
                  <c:v>0.62914199999999998</c:v>
                </c:pt>
                <c:pt idx="97">
                  <c:v>0.66372799999999998</c:v>
                </c:pt>
                <c:pt idx="98">
                  <c:v>0.65401399999999998</c:v>
                </c:pt>
                <c:pt idx="99">
                  <c:v>0.67313599999999996</c:v>
                </c:pt>
                <c:pt idx="100">
                  <c:v>0.64480199999999999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408-0140-94BD-A580433FFFE5}"/>
            </c:ext>
          </c:extLst>
        </c:ser>
        <c:ser>
          <c:idx val="3"/>
          <c:order val="4"/>
          <c:tx>
            <c:strRef>
              <c:f>'gpt_delta-trend'!$F$2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-7.6649999999999999E-3</c:v>
                </c:pt>
                <c:pt idx="2">
                  <c:v>1.0994E-2</c:v>
                </c:pt>
                <c:pt idx="3">
                  <c:v>-1.3988E-2</c:v>
                </c:pt>
                <c:pt idx="4">
                  <c:v>-2.9791000000000002E-2</c:v>
                </c:pt>
                <c:pt idx="5">
                  <c:v>-5.5279000000000002E-2</c:v>
                </c:pt>
                <c:pt idx="6">
                  <c:v>-6.7402000000000004E-2</c:v>
                </c:pt>
                <c:pt idx="7">
                  <c:v>-7.9104999999999995E-2</c:v>
                </c:pt>
                <c:pt idx="8">
                  <c:v>-8.0208000000000002E-2</c:v>
                </c:pt>
                <c:pt idx="9">
                  <c:v>-9.1425999999999993E-2</c:v>
                </c:pt>
                <c:pt idx="10">
                  <c:v>-0.132772</c:v>
                </c:pt>
                <c:pt idx="11">
                  <c:v>-0.155385</c:v>
                </c:pt>
                <c:pt idx="12">
                  <c:v>-0.16018299999999999</c:v>
                </c:pt>
                <c:pt idx="13">
                  <c:v>-0.163074</c:v>
                </c:pt>
                <c:pt idx="14">
                  <c:v>-0.180122</c:v>
                </c:pt>
                <c:pt idx="15">
                  <c:v>-0.18426799999999999</c:v>
                </c:pt>
                <c:pt idx="16">
                  <c:v>-0.202213</c:v>
                </c:pt>
                <c:pt idx="17">
                  <c:v>-0.21623899999999999</c:v>
                </c:pt>
                <c:pt idx="18">
                  <c:v>-0.22417799999999999</c:v>
                </c:pt>
                <c:pt idx="19">
                  <c:v>-0.23790500000000001</c:v>
                </c:pt>
                <c:pt idx="20">
                  <c:v>-0.25879799999999997</c:v>
                </c:pt>
                <c:pt idx="21">
                  <c:v>-0.266264</c:v>
                </c:pt>
                <c:pt idx="22">
                  <c:v>-0.26133000000000001</c:v>
                </c:pt>
                <c:pt idx="23">
                  <c:v>-0.27352900000000002</c:v>
                </c:pt>
                <c:pt idx="24">
                  <c:v>-0.28514600000000001</c:v>
                </c:pt>
                <c:pt idx="25">
                  <c:v>-0.29306399999999999</c:v>
                </c:pt>
                <c:pt idx="26">
                  <c:v>-0.29627799999999999</c:v>
                </c:pt>
                <c:pt idx="27">
                  <c:v>-0.29918699999999998</c:v>
                </c:pt>
                <c:pt idx="28">
                  <c:v>-0.297786</c:v>
                </c:pt>
                <c:pt idx="29">
                  <c:v>-0.30031999999999998</c:v>
                </c:pt>
                <c:pt idx="30">
                  <c:v>-0.29366199999999998</c:v>
                </c:pt>
                <c:pt idx="31">
                  <c:v>-0.30532700000000002</c:v>
                </c:pt>
                <c:pt idx="32">
                  <c:v>-0.32261699999999999</c:v>
                </c:pt>
                <c:pt idx="33">
                  <c:v>-0.32867499999999999</c:v>
                </c:pt>
                <c:pt idx="34">
                  <c:v>-0.330899</c:v>
                </c:pt>
                <c:pt idx="35">
                  <c:v>-0.33457700000000001</c:v>
                </c:pt>
                <c:pt idx="36">
                  <c:v>-0.34696199999999999</c:v>
                </c:pt>
                <c:pt idx="37">
                  <c:v>-0.355211</c:v>
                </c:pt>
                <c:pt idx="38">
                  <c:v>-0.36504399999999998</c:v>
                </c:pt>
                <c:pt idx="39">
                  <c:v>-0.36529600000000001</c:v>
                </c:pt>
                <c:pt idx="40">
                  <c:v>-0.37657600000000002</c:v>
                </c:pt>
                <c:pt idx="41">
                  <c:v>-0.38673000000000002</c:v>
                </c:pt>
                <c:pt idx="42">
                  <c:v>-0.37787100000000001</c:v>
                </c:pt>
                <c:pt idx="43">
                  <c:v>-0.38108999999999998</c:v>
                </c:pt>
                <c:pt idx="44">
                  <c:v>-0.38736399999999999</c:v>
                </c:pt>
                <c:pt idx="45">
                  <c:v>-0.39197900000000002</c:v>
                </c:pt>
                <c:pt idx="46">
                  <c:v>-0.39638400000000001</c:v>
                </c:pt>
                <c:pt idx="47">
                  <c:v>-0.40276600000000001</c:v>
                </c:pt>
                <c:pt idx="48">
                  <c:v>-0.40945700000000002</c:v>
                </c:pt>
                <c:pt idx="49">
                  <c:v>-0.413993</c:v>
                </c:pt>
                <c:pt idx="50">
                  <c:v>-0.414408</c:v>
                </c:pt>
                <c:pt idx="51">
                  <c:v>-0.41673700000000002</c:v>
                </c:pt>
                <c:pt idx="52">
                  <c:v>-0.42026200000000002</c:v>
                </c:pt>
                <c:pt idx="53">
                  <c:v>-0.429977</c:v>
                </c:pt>
                <c:pt idx="54">
                  <c:v>-0.42770599999999998</c:v>
                </c:pt>
                <c:pt idx="55">
                  <c:v>-0.43591299999999999</c:v>
                </c:pt>
                <c:pt idx="56">
                  <c:v>-0.424037</c:v>
                </c:pt>
                <c:pt idx="57">
                  <c:v>-0.442527</c:v>
                </c:pt>
                <c:pt idx="58">
                  <c:v>-0.45585999999999999</c:v>
                </c:pt>
                <c:pt idx="59">
                  <c:v>-0.43006</c:v>
                </c:pt>
                <c:pt idx="60">
                  <c:v>-0.44896399999999997</c:v>
                </c:pt>
                <c:pt idx="61">
                  <c:v>-0.46033099999999999</c:v>
                </c:pt>
                <c:pt idx="62">
                  <c:v>-0.46114500000000003</c:v>
                </c:pt>
                <c:pt idx="63">
                  <c:v>-0.47804799999999997</c:v>
                </c:pt>
                <c:pt idx="64">
                  <c:v>-0.48047099999999998</c:v>
                </c:pt>
                <c:pt idx="65">
                  <c:v>-0.48844599999999999</c:v>
                </c:pt>
                <c:pt idx="66">
                  <c:v>-0.495311</c:v>
                </c:pt>
                <c:pt idx="67">
                  <c:v>-0.50680599999999998</c:v>
                </c:pt>
                <c:pt idx="68">
                  <c:v>-0.51028700000000005</c:v>
                </c:pt>
                <c:pt idx="69">
                  <c:v>-0.50900299999999998</c:v>
                </c:pt>
                <c:pt idx="70">
                  <c:v>-0.51632900000000004</c:v>
                </c:pt>
                <c:pt idx="71">
                  <c:v>-0.53066899999999995</c:v>
                </c:pt>
                <c:pt idx="72">
                  <c:v>-0.53448399999999996</c:v>
                </c:pt>
                <c:pt idx="73">
                  <c:v>-0.53405899999999995</c:v>
                </c:pt>
                <c:pt idx="74">
                  <c:v>-0.53653399999999996</c:v>
                </c:pt>
                <c:pt idx="75">
                  <c:v>-0.55408000000000002</c:v>
                </c:pt>
                <c:pt idx="76">
                  <c:v>-0.56648600000000005</c:v>
                </c:pt>
                <c:pt idx="77">
                  <c:v>-0.574353</c:v>
                </c:pt>
                <c:pt idx="78">
                  <c:v>-0.55840699999999999</c:v>
                </c:pt>
                <c:pt idx="79">
                  <c:v>-0.51070899999999997</c:v>
                </c:pt>
                <c:pt idx="80">
                  <c:v>-0.53037800000000002</c:v>
                </c:pt>
                <c:pt idx="81">
                  <c:v>-0.56515899999999997</c:v>
                </c:pt>
                <c:pt idx="82">
                  <c:v>-0.58344799999999997</c:v>
                </c:pt>
                <c:pt idx="83">
                  <c:v>-0.59106800000000004</c:v>
                </c:pt>
                <c:pt idx="84">
                  <c:v>-0.594773</c:v>
                </c:pt>
                <c:pt idx="85">
                  <c:v>-0.57749099999999998</c:v>
                </c:pt>
                <c:pt idx="86">
                  <c:v>-0.60035799999999995</c:v>
                </c:pt>
                <c:pt idx="87">
                  <c:v>-0.60131800000000002</c:v>
                </c:pt>
                <c:pt idx="88">
                  <c:v>-0.61096099999999998</c:v>
                </c:pt>
                <c:pt idx="89">
                  <c:v>-0.61631800000000003</c:v>
                </c:pt>
                <c:pt idx="90">
                  <c:v>-0.62262099999999998</c:v>
                </c:pt>
                <c:pt idx="91">
                  <c:v>-0.64354500000000003</c:v>
                </c:pt>
                <c:pt idx="92">
                  <c:v>-0.64471800000000001</c:v>
                </c:pt>
                <c:pt idx="93">
                  <c:v>-0.63893299999999997</c:v>
                </c:pt>
                <c:pt idx="94">
                  <c:v>-0.65803400000000001</c:v>
                </c:pt>
                <c:pt idx="95">
                  <c:v>-0.65356099999999995</c:v>
                </c:pt>
                <c:pt idx="96">
                  <c:v>-0.65806399999999998</c:v>
                </c:pt>
                <c:pt idx="97">
                  <c:v>-0.65870499999999998</c:v>
                </c:pt>
                <c:pt idx="98">
                  <c:v>-0.65953200000000001</c:v>
                </c:pt>
                <c:pt idx="99">
                  <c:v>-0.66933799999999999</c:v>
                </c:pt>
                <c:pt idx="100">
                  <c:v>-0.65888199999999997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408-0140-94BD-A580433FF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-2.447E-3</c:v>
                </c:pt>
                <c:pt idx="2">
                  <c:v>-4.4889999999999999E-3</c:v>
                </c:pt>
                <c:pt idx="3">
                  <c:v>-4.7410000000000004E-3</c:v>
                </c:pt>
                <c:pt idx="4">
                  <c:v>-1.9319999999999999E-3</c:v>
                </c:pt>
                <c:pt idx="5">
                  <c:v>-1.6677000000000001E-2</c:v>
                </c:pt>
                <c:pt idx="6">
                  <c:v>-2.0147000000000002E-2</c:v>
                </c:pt>
                <c:pt idx="7">
                  <c:v>-2.2110000000000001E-2</c:v>
                </c:pt>
                <c:pt idx="8">
                  <c:v>-2.128E-2</c:v>
                </c:pt>
                <c:pt idx="9">
                  <c:v>-2.4698000000000001E-2</c:v>
                </c:pt>
                <c:pt idx="10">
                  <c:v>-3.9655999999999997E-2</c:v>
                </c:pt>
                <c:pt idx="11">
                  <c:v>-2.9444000000000001E-2</c:v>
                </c:pt>
                <c:pt idx="12">
                  <c:v>-3.4791999999999997E-2</c:v>
                </c:pt>
                <c:pt idx="13">
                  <c:v>-3.9758000000000002E-2</c:v>
                </c:pt>
                <c:pt idx="14">
                  <c:v>-5.9207999999999997E-2</c:v>
                </c:pt>
                <c:pt idx="15">
                  <c:v>-6.7906999999999995E-2</c:v>
                </c:pt>
                <c:pt idx="16">
                  <c:v>-8.1299999999999997E-2</c:v>
                </c:pt>
                <c:pt idx="17">
                  <c:v>-8.8028999999999996E-2</c:v>
                </c:pt>
                <c:pt idx="18">
                  <c:v>-8.7647000000000003E-2</c:v>
                </c:pt>
                <c:pt idx="19">
                  <c:v>-9.1188000000000005E-2</c:v>
                </c:pt>
                <c:pt idx="20">
                  <c:v>-8.6664000000000005E-2</c:v>
                </c:pt>
                <c:pt idx="21">
                  <c:v>-8.5526000000000005E-2</c:v>
                </c:pt>
                <c:pt idx="22">
                  <c:v>-8.6763000000000007E-2</c:v>
                </c:pt>
                <c:pt idx="23">
                  <c:v>-8.9274000000000006E-2</c:v>
                </c:pt>
                <c:pt idx="24">
                  <c:v>-8.5604E-2</c:v>
                </c:pt>
                <c:pt idx="25">
                  <c:v>-8.7654999999999997E-2</c:v>
                </c:pt>
                <c:pt idx="26">
                  <c:v>-9.2130000000000004E-2</c:v>
                </c:pt>
                <c:pt idx="27">
                  <c:v>-9.8706000000000002E-2</c:v>
                </c:pt>
                <c:pt idx="28">
                  <c:v>-9.8656999999999995E-2</c:v>
                </c:pt>
                <c:pt idx="29">
                  <c:v>-0.101143</c:v>
                </c:pt>
                <c:pt idx="30">
                  <c:v>-9.6068000000000001E-2</c:v>
                </c:pt>
                <c:pt idx="31">
                  <c:v>-9.4061000000000006E-2</c:v>
                </c:pt>
                <c:pt idx="32">
                  <c:v>-9.6291000000000002E-2</c:v>
                </c:pt>
                <c:pt idx="33">
                  <c:v>-9.5322000000000004E-2</c:v>
                </c:pt>
                <c:pt idx="34">
                  <c:v>-0.10377699999999999</c:v>
                </c:pt>
                <c:pt idx="35">
                  <c:v>-0.114983</c:v>
                </c:pt>
                <c:pt idx="36">
                  <c:v>-0.11661000000000001</c:v>
                </c:pt>
                <c:pt idx="37">
                  <c:v>-0.117271</c:v>
                </c:pt>
                <c:pt idx="38">
                  <c:v>-0.12606999999999999</c:v>
                </c:pt>
                <c:pt idx="39">
                  <c:v>-0.12995899999999999</c:v>
                </c:pt>
                <c:pt idx="40">
                  <c:v>-0.13350600000000001</c:v>
                </c:pt>
                <c:pt idx="41">
                  <c:v>-0.13678999999999999</c:v>
                </c:pt>
                <c:pt idx="42">
                  <c:v>-0.13580700000000001</c:v>
                </c:pt>
                <c:pt idx="43">
                  <c:v>-0.136124</c:v>
                </c:pt>
                <c:pt idx="44">
                  <c:v>-0.14480499999999999</c:v>
                </c:pt>
                <c:pt idx="45">
                  <c:v>-0.15060499999999999</c:v>
                </c:pt>
                <c:pt idx="46">
                  <c:v>-0.16153899999999999</c:v>
                </c:pt>
                <c:pt idx="47">
                  <c:v>-0.16261700000000001</c:v>
                </c:pt>
                <c:pt idx="48">
                  <c:v>-0.162913</c:v>
                </c:pt>
                <c:pt idx="49">
                  <c:v>-0.158556</c:v>
                </c:pt>
                <c:pt idx="50">
                  <c:v>-0.16478100000000001</c:v>
                </c:pt>
                <c:pt idx="51">
                  <c:v>-0.16198299999999999</c:v>
                </c:pt>
                <c:pt idx="52">
                  <c:v>-0.16614899999999999</c:v>
                </c:pt>
                <c:pt idx="53">
                  <c:v>-0.12740099999999999</c:v>
                </c:pt>
                <c:pt idx="54">
                  <c:v>-0.13472500000000001</c:v>
                </c:pt>
                <c:pt idx="55">
                  <c:v>-0.132495</c:v>
                </c:pt>
                <c:pt idx="56">
                  <c:v>-0.134931</c:v>
                </c:pt>
                <c:pt idx="57">
                  <c:v>-0.13570099999999999</c:v>
                </c:pt>
                <c:pt idx="58">
                  <c:v>-0.118823</c:v>
                </c:pt>
                <c:pt idx="59">
                  <c:v>-0.120392</c:v>
                </c:pt>
                <c:pt idx="60">
                  <c:v>-0.12123299999999999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2B-4248-96C1-AA6176125421}"/>
            </c:ext>
          </c:extLst>
        </c:ser>
        <c:ser>
          <c:idx val="4"/>
          <c:order val="1"/>
          <c:tx>
            <c:strRef>
              <c:f>'gpt_delta-trend'!$I$2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-3.5469999999999998E-3</c:v>
                </c:pt>
                <c:pt idx="2">
                  <c:v>2.9160000000000002E-3</c:v>
                </c:pt>
                <c:pt idx="3">
                  <c:v>2.519E-3</c:v>
                </c:pt>
                <c:pt idx="4">
                  <c:v>1.0111E-2</c:v>
                </c:pt>
                <c:pt idx="5">
                  <c:v>-2.5399999999999999E-4</c:v>
                </c:pt>
                <c:pt idx="6">
                  <c:v>1.0231000000000001E-2</c:v>
                </c:pt>
                <c:pt idx="7">
                  <c:v>1.1188E-2</c:v>
                </c:pt>
                <c:pt idx="8">
                  <c:v>2.2408000000000001E-2</c:v>
                </c:pt>
                <c:pt idx="9">
                  <c:v>2.2565000000000002E-2</c:v>
                </c:pt>
                <c:pt idx="10">
                  <c:v>1.2624E-2</c:v>
                </c:pt>
                <c:pt idx="11">
                  <c:v>1.695E-2</c:v>
                </c:pt>
                <c:pt idx="12">
                  <c:v>1.7913999999999999E-2</c:v>
                </c:pt>
                <c:pt idx="13">
                  <c:v>1.5023999999999999E-2</c:v>
                </c:pt>
                <c:pt idx="14">
                  <c:v>1.0952E-2</c:v>
                </c:pt>
                <c:pt idx="15">
                  <c:v>1.3783E-2</c:v>
                </c:pt>
                <c:pt idx="16">
                  <c:v>1.1113E-2</c:v>
                </c:pt>
                <c:pt idx="17">
                  <c:v>1.5172E-2</c:v>
                </c:pt>
                <c:pt idx="18">
                  <c:v>1.9857E-2</c:v>
                </c:pt>
                <c:pt idx="19">
                  <c:v>2.2599000000000001E-2</c:v>
                </c:pt>
                <c:pt idx="20">
                  <c:v>3.0332000000000001E-2</c:v>
                </c:pt>
                <c:pt idx="21">
                  <c:v>3.2395E-2</c:v>
                </c:pt>
                <c:pt idx="22">
                  <c:v>3.5901000000000002E-2</c:v>
                </c:pt>
                <c:pt idx="23">
                  <c:v>4.0209000000000002E-2</c:v>
                </c:pt>
                <c:pt idx="24">
                  <c:v>3.8585000000000001E-2</c:v>
                </c:pt>
                <c:pt idx="25">
                  <c:v>4.3343E-2</c:v>
                </c:pt>
                <c:pt idx="26">
                  <c:v>4.0494000000000002E-2</c:v>
                </c:pt>
                <c:pt idx="27">
                  <c:v>3.7455000000000002E-2</c:v>
                </c:pt>
                <c:pt idx="28">
                  <c:v>4.1674000000000003E-2</c:v>
                </c:pt>
                <c:pt idx="29">
                  <c:v>5.4289999999999998E-2</c:v>
                </c:pt>
                <c:pt idx="30">
                  <c:v>5.8195999999999998E-2</c:v>
                </c:pt>
                <c:pt idx="31">
                  <c:v>6.8820000000000006E-2</c:v>
                </c:pt>
                <c:pt idx="32">
                  <c:v>7.7965000000000007E-2</c:v>
                </c:pt>
                <c:pt idx="33">
                  <c:v>8.2519999999999996E-2</c:v>
                </c:pt>
                <c:pt idx="34">
                  <c:v>8.0946000000000004E-2</c:v>
                </c:pt>
                <c:pt idx="35">
                  <c:v>6.5613000000000005E-2</c:v>
                </c:pt>
                <c:pt idx="36">
                  <c:v>6.7018999999999995E-2</c:v>
                </c:pt>
                <c:pt idx="37">
                  <c:v>7.3255000000000001E-2</c:v>
                </c:pt>
                <c:pt idx="38">
                  <c:v>6.744E-2</c:v>
                </c:pt>
                <c:pt idx="39">
                  <c:v>7.1687000000000001E-2</c:v>
                </c:pt>
                <c:pt idx="40">
                  <c:v>6.8240999999999996E-2</c:v>
                </c:pt>
                <c:pt idx="41">
                  <c:v>3.2418000000000002E-2</c:v>
                </c:pt>
                <c:pt idx="42">
                  <c:v>3.6831000000000003E-2</c:v>
                </c:pt>
                <c:pt idx="43">
                  <c:v>3.6052000000000001E-2</c:v>
                </c:pt>
                <c:pt idx="44">
                  <c:v>3.3111000000000002E-2</c:v>
                </c:pt>
                <c:pt idx="45">
                  <c:v>3.4014999999999997E-2</c:v>
                </c:pt>
                <c:pt idx="46">
                  <c:v>2.7317000000000001E-2</c:v>
                </c:pt>
                <c:pt idx="47">
                  <c:v>1.4485E-2</c:v>
                </c:pt>
                <c:pt idx="48">
                  <c:v>1.8766999999999999E-2</c:v>
                </c:pt>
                <c:pt idx="49">
                  <c:v>2.3434E-2</c:v>
                </c:pt>
                <c:pt idx="50">
                  <c:v>3.7508E-2</c:v>
                </c:pt>
                <c:pt idx="51">
                  <c:v>4.5900999999999997E-2</c:v>
                </c:pt>
                <c:pt idx="52">
                  <c:v>4.8002999999999997E-2</c:v>
                </c:pt>
                <c:pt idx="53">
                  <c:v>5.0214000000000002E-2</c:v>
                </c:pt>
                <c:pt idx="54">
                  <c:v>5.9663000000000001E-2</c:v>
                </c:pt>
                <c:pt idx="55">
                  <c:v>7.2184999999999999E-2</c:v>
                </c:pt>
                <c:pt idx="56">
                  <c:v>7.4366000000000002E-2</c:v>
                </c:pt>
                <c:pt idx="57">
                  <c:v>6.4852999999999994E-2</c:v>
                </c:pt>
                <c:pt idx="58">
                  <c:v>7.3154999999999998E-2</c:v>
                </c:pt>
                <c:pt idx="59">
                  <c:v>8.6472999999999994E-2</c:v>
                </c:pt>
                <c:pt idx="60">
                  <c:v>8.4541000000000005E-2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B-4248-96C1-AA6176125421}"/>
            </c:ext>
          </c:extLst>
        </c:ser>
        <c:ser>
          <c:idx val="1"/>
          <c:order val="2"/>
          <c:tx>
            <c:strRef>
              <c:f>'gpt_delta-trend'!$J$2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3.581E-3</c:v>
                </c:pt>
                <c:pt idx="2">
                  <c:v>1.0958000000000001E-2</c:v>
                </c:pt>
                <c:pt idx="3">
                  <c:v>1.5970000000000002E-2</c:v>
                </c:pt>
                <c:pt idx="4">
                  <c:v>2.6440000000000001E-3</c:v>
                </c:pt>
                <c:pt idx="5">
                  <c:v>-1.1559999999999999E-3</c:v>
                </c:pt>
                <c:pt idx="6">
                  <c:v>9.5549999999999993E-3</c:v>
                </c:pt>
                <c:pt idx="7">
                  <c:v>1.3283E-2</c:v>
                </c:pt>
                <c:pt idx="8">
                  <c:v>2.5618999999999999E-2</c:v>
                </c:pt>
                <c:pt idx="9">
                  <c:v>2.3324000000000001E-2</c:v>
                </c:pt>
                <c:pt idx="10">
                  <c:v>2.3889000000000001E-2</c:v>
                </c:pt>
                <c:pt idx="11">
                  <c:v>4.7613000000000003E-2</c:v>
                </c:pt>
                <c:pt idx="12">
                  <c:v>5.4418000000000001E-2</c:v>
                </c:pt>
                <c:pt idx="13">
                  <c:v>6.2664999999999998E-2</c:v>
                </c:pt>
                <c:pt idx="14">
                  <c:v>5.2350000000000001E-2</c:v>
                </c:pt>
                <c:pt idx="15">
                  <c:v>5.8964000000000003E-2</c:v>
                </c:pt>
                <c:pt idx="16">
                  <c:v>6.1435999999999998E-2</c:v>
                </c:pt>
                <c:pt idx="17">
                  <c:v>6.5196000000000004E-2</c:v>
                </c:pt>
                <c:pt idx="18">
                  <c:v>6.4982999999999999E-2</c:v>
                </c:pt>
                <c:pt idx="19">
                  <c:v>7.6200000000000004E-2</c:v>
                </c:pt>
                <c:pt idx="20">
                  <c:v>8.7248999999999993E-2</c:v>
                </c:pt>
                <c:pt idx="21">
                  <c:v>9.7209000000000004E-2</c:v>
                </c:pt>
                <c:pt idx="22">
                  <c:v>0.10510899999999999</c:v>
                </c:pt>
                <c:pt idx="23">
                  <c:v>0.10731400000000001</c:v>
                </c:pt>
                <c:pt idx="24">
                  <c:v>0.111121</c:v>
                </c:pt>
                <c:pt idx="25">
                  <c:v>0.117157</c:v>
                </c:pt>
                <c:pt idx="26">
                  <c:v>0.120244</c:v>
                </c:pt>
                <c:pt idx="27">
                  <c:v>0.117248</c:v>
                </c:pt>
                <c:pt idx="28">
                  <c:v>0.132054</c:v>
                </c:pt>
                <c:pt idx="29">
                  <c:v>0.13734299999999999</c:v>
                </c:pt>
                <c:pt idx="30">
                  <c:v>0.141962</c:v>
                </c:pt>
                <c:pt idx="31">
                  <c:v>0.14463100000000001</c:v>
                </c:pt>
                <c:pt idx="32">
                  <c:v>0.153751</c:v>
                </c:pt>
                <c:pt idx="33">
                  <c:v>0.15922700000000001</c:v>
                </c:pt>
                <c:pt idx="34">
                  <c:v>0.16797899999999999</c:v>
                </c:pt>
                <c:pt idx="35">
                  <c:v>0.140405</c:v>
                </c:pt>
                <c:pt idx="36">
                  <c:v>0.15104799999999999</c:v>
                </c:pt>
                <c:pt idx="37">
                  <c:v>0.149973</c:v>
                </c:pt>
                <c:pt idx="38">
                  <c:v>0.15424199999999999</c:v>
                </c:pt>
                <c:pt idx="39">
                  <c:v>0.16308</c:v>
                </c:pt>
                <c:pt idx="40">
                  <c:v>0.16564100000000001</c:v>
                </c:pt>
                <c:pt idx="41">
                  <c:v>0.14338200000000001</c:v>
                </c:pt>
                <c:pt idx="42">
                  <c:v>0.14765200000000001</c:v>
                </c:pt>
                <c:pt idx="43">
                  <c:v>0.14868999999999999</c:v>
                </c:pt>
                <c:pt idx="44">
                  <c:v>0.15587799999999999</c:v>
                </c:pt>
                <c:pt idx="45">
                  <c:v>0.16029399999999999</c:v>
                </c:pt>
                <c:pt idx="46">
                  <c:v>0.154586</c:v>
                </c:pt>
                <c:pt idx="47">
                  <c:v>0.15836</c:v>
                </c:pt>
                <c:pt idx="48">
                  <c:v>0.16433700000000001</c:v>
                </c:pt>
                <c:pt idx="49">
                  <c:v>0.17361299999999999</c:v>
                </c:pt>
                <c:pt idx="50">
                  <c:v>0.17757200000000001</c:v>
                </c:pt>
                <c:pt idx="51">
                  <c:v>0.177818</c:v>
                </c:pt>
                <c:pt idx="52">
                  <c:v>0.186858</c:v>
                </c:pt>
                <c:pt idx="53">
                  <c:v>0.16631199999999999</c:v>
                </c:pt>
                <c:pt idx="54">
                  <c:v>0.180616</c:v>
                </c:pt>
                <c:pt idx="55">
                  <c:v>0.18097099999999999</c:v>
                </c:pt>
                <c:pt idx="56">
                  <c:v>0.185499</c:v>
                </c:pt>
                <c:pt idx="57">
                  <c:v>0.18726699999999999</c:v>
                </c:pt>
                <c:pt idx="58">
                  <c:v>0.18765799999999999</c:v>
                </c:pt>
                <c:pt idx="59">
                  <c:v>0.209727</c:v>
                </c:pt>
                <c:pt idx="60">
                  <c:v>0.216919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2B-4248-96C1-AA6176125421}"/>
            </c:ext>
          </c:extLst>
        </c:ser>
        <c:ser>
          <c:idx val="2"/>
          <c:order val="3"/>
          <c:tx>
            <c:strRef>
              <c:f>'gpt_delta-trend'!$K$2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'gpt_delta-trend'!$K$3:$K$64</c:f>
              <c:numCache>
                <c:formatCode>General</c:formatCode>
                <c:ptCount val="62"/>
                <c:pt idx="0">
                  <c:v>0</c:v>
                </c:pt>
                <c:pt idx="1">
                  <c:v>4.2490000000000002E-3</c:v>
                </c:pt>
                <c:pt idx="2">
                  <c:v>5.0860000000000002E-3</c:v>
                </c:pt>
                <c:pt idx="3">
                  <c:v>1.5518000000000001E-2</c:v>
                </c:pt>
                <c:pt idx="4">
                  <c:v>1.6246E-2</c:v>
                </c:pt>
                <c:pt idx="5">
                  <c:v>2.75E-2</c:v>
                </c:pt>
                <c:pt idx="6">
                  <c:v>3.8689000000000001E-2</c:v>
                </c:pt>
                <c:pt idx="7">
                  <c:v>4.6262999999999999E-2</c:v>
                </c:pt>
                <c:pt idx="8">
                  <c:v>5.3621000000000002E-2</c:v>
                </c:pt>
                <c:pt idx="9">
                  <c:v>7.7926999999999996E-2</c:v>
                </c:pt>
                <c:pt idx="10">
                  <c:v>7.5358999999999995E-2</c:v>
                </c:pt>
                <c:pt idx="11">
                  <c:v>7.6149999999999995E-2</c:v>
                </c:pt>
                <c:pt idx="12">
                  <c:v>9.9094000000000002E-2</c:v>
                </c:pt>
                <c:pt idx="13">
                  <c:v>0.12868499999999999</c:v>
                </c:pt>
                <c:pt idx="14">
                  <c:v>0.121919</c:v>
                </c:pt>
                <c:pt idx="15">
                  <c:v>0.138326</c:v>
                </c:pt>
                <c:pt idx="16">
                  <c:v>0.18887100000000001</c:v>
                </c:pt>
                <c:pt idx="17">
                  <c:v>0.23080200000000001</c:v>
                </c:pt>
                <c:pt idx="18">
                  <c:v>0.326851</c:v>
                </c:pt>
                <c:pt idx="19">
                  <c:v>0.33572600000000002</c:v>
                </c:pt>
                <c:pt idx="20">
                  <c:v>0.390212</c:v>
                </c:pt>
                <c:pt idx="21">
                  <c:v>0.42799500000000001</c:v>
                </c:pt>
                <c:pt idx="22">
                  <c:v>0.43821900000000003</c:v>
                </c:pt>
                <c:pt idx="23">
                  <c:v>0.48377300000000001</c:v>
                </c:pt>
                <c:pt idx="24">
                  <c:v>0.49097400000000002</c:v>
                </c:pt>
                <c:pt idx="25">
                  <c:v>0.55995600000000001</c:v>
                </c:pt>
                <c:pt idx="26">
                  <c:v>0.56850299999999998</c:v>
                </c:pt>
                <c:pt idx="27">
                  <c:v>0.56898300000000002</c:v>
                </c:pt>
                <c:pt idx="28">
                  <c:v>0.59738400000000003</c:v>
                </c:pt>
                <c:pt idx="29">
                  <c:v>0.61079300000000003</c:v>
                </c:pt>
                <c:pt idx="30">
                  <c:v>0.58869700000000003</c:v>
                </c:pt>
                <c:pt idx="31">
                  <c:v>0.64945299999999995</c:v>
                </c:pt>
                <c:pt idx="32">
                  <c:v>0.73642700000000005</c:v>
                </c:pt>
                <c:pt idx="33">
                  <c:v>0.69416699999999998</c:v>
                </c:pt>
                <c:pt idx="34">
                  <c:v>0.80125000000000002</c:v>
                </c:pt>
                <c:pt idx="35">
                  <c:v>0.83111500000000005</c:v>
                </c:pt>
                <c:pt idx="36">
                  <c:v>0.84796499999999997</c:v>
                </c:pt>
                <c:pt idx="37">
                  <c:v>0.80762199999999995</c:v>
                </c:pt>
                <c:pt idx="38">
                  <c:v>0.86389099999999996</c:v>
                </c:pt>
                <c:pt idx="39">
                  <c:v>0.76712199999999997</c:v>
                </c:pt>
                <c:pt idx="40">
                  <c:v>0.77402000000000004</c:v>
                </c:pt>
                <c:pt idx="41">
                  <c:v>0.63699700000000004</c:v>
                </c:pt>
                <c:pt idx="42">
                  <c:v>0.72388799999999998</c:v>
                </c:pt>
                <c:pt idx="43">
                  <c:v>0.76518299999999995</c:v>
                </c:pt>
                <c:pt idx="44">
                  <c:v>0.820052</c:v>
                </c:pt>
                <c:pt idx="45">
                  <c:v>0.80838600000000005</c:v>
                </c:pt>
                <c:pt idx="46">
                  <c:v>0.78320800000000002</c:v>
                </c:pt>
                <c:pt idx="47">
                  <c:v>0.72844399999999998</c:v>
                </c:pt>
                <c:pt idx="48">
                  <c:v>0.81396299999999999</c:v>
                </c:pt>
                <c:pt idx="49">
                  <c:v>0.814141</c:v>
                </c:pt>
                <c:pt idx="50">
                  <c:v>0.80979999999999996</c:v>
                </c:pt>
                <c:pt idx="51">
                  <c:v>0.89448300000000003</c:v>
                </c:pt>
                <c:pt idx="52">
                  <c:v>1.0341640000000001</c:v>
                </c:pt>
                <c:pt idx="53">
                  <c:v>0.85209800000000002</c:v>
                </c:pt>
                <c:pt idx="54">
                  <c:v>1.105234</c:v>
                </c:pt>
                <c:pt idx="55">
                  <c:v>1.1489549999999999</c:v>
                </c:pt>
                <c:pt idx="56">
                  <c:v>1.139947</c:v>
                </c:pt>
                <c:pt idx="57">
                  <c:v>1.1602779999999999</c:v>
                </c:pt>
                <c:pt idx="58">
                  <c:v>1.234499</c:v>
                </c:pt>
                <c:pt idx="59">
                  <c:v>1.2592429999999999</c:v>
                </c:pt>
                <c:pt idx="60">
                  <c:v>1.2256020000000001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2B-4248-96C1-AA6176125421}"/>
            </c:ext>
          </c:extLst>
        </c:ser>
        <c:ser>
          <c:idx val="3"/>
          <c:order val="4"/>
          <c:tx>
            <c:strRef>
              <c:f>'gpt_delta-trend'!$L$2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-1.6130000000000001E-3</c:v>
                </c:pt>
                <c:pt idx="2">
                  <c:v>-2.8140000000000001E-3</c:v>
                </c:pt>
                <c:pt idx="3">
                  <c:v>-3.9999999999999998E-6</c:v>
                </c:pt>
                <c:pt idx="4">
                  <c:v>-6.1440000000000002E-3</c:v>
                </c:pt>
                <c:pt idx="5">
                  <c:v>-1.8214000000000001E-2</c:v>
                </c:pt>
                <c:pt idx="6">
                  <c:v>-1.7392000000000001E-2</c:v>
                </c:pt>
                <c:pt idx="7">
                  <c:v>-1.8058000000000001E-2</c:v>
                </c:pt>
                <c:pt idx="8">
                  <c:v>-1.8335000000000001E-2</c:v>
                </c:pt>
                <c:pt idx="9">
                  <c:v>-1.6906000000000001E-2</c:v>
                </c:pt>
                <c:pt idx="10">
                  <c:v>-4.9911999999999998E-2</c:v>
                </c:pt>
                <c:pt idx="11">
                  <c:v>-5.6526E-2</c:v>
                </c:pt>
                <c:pt idx="12">
                  <c:v>-5.4554999999999999E-2</c:v>
                </c:pt>
                <c:pt idx="13">
                  <c:v>-4.8467999999999997E-2</c:v>
                </c:pt>
                <c:pt idx="14">
                  <c:v>-6.9426000000000002E-2</c:v>
                </c:pt>
                <c:pt idx="15">
                  <c:v>-7.6688000000000006E-2</c:v>
                </c:pt>
                <c:pt idx="16">
                  <c:v>-8.1601000000000007E-2</c:v>
                </c:pt>
                <c:pt idx="17">
                  <c:v>-8.6452000000000001E-2</c:v>
                </c:pt>
                <c:pt idx="18">
                  <c:v>-8.2294999999999993E-2</c:v>
                </c:pt>
                <c:pt idx="19">
                  <c:v>-8.0917000000000003E-2</c:v>
                </c:pt>
                <c:pt idx="20">
                  <c:v>-8.2021999999999998E-2</c:v>
                </c:pt>
                <c:pt idx="21">
                  <c:v>-7.7648999999999996E-2</c:v>
                </c:pt>
                <c:pt idx="22">
                  <c:v>-7.5309000000000001E-2</c:v>
                </c:pt>
                <c:pt idx="23">
                  <c:v>-7.0846999999999993E-2</c:v>
                </c:pt>
                <c:pt idx="24">
                  <c:v>-6.5840999999999997E-2</c:v>
                </c:pt>
                <c:pt idx="25">
                  <c:v>-6.2605999999999995E-2</c:v>
                </c:pt>
                <c:pt idx="26">
                  <c:v>-6.5942000000000001E-2</c:v>
                </c:pt>
                <c:pt idx="27">
                  <c:v>-6.1490999999999997E-2</c:v>
                </c:pt>
                <c:pt idx="28">
                  <c:v>-6.4729999999999996E-2</c:v>
                </c:pt>
                <c:pt idx="29">
                  <c:v>-6.3425999999999996E-2</c:v>
                </c:pt>
                <c:pt idx="30">
                  <c:v>-6.2472E-2</c:v>
                </c:pt>
                <c:pt idx="31">
                  <c:v>-6.3480999999999996E-2</c:v>
                </c:pt>
                <c:pt idx="32">
                  <c:v>-5.6543999999999997E-2</c:v>
                </c:pt>
                <c:pt idx="33">
                  <c:v>-5.7269E-2</c:v>
                </c:pt>
                <c:pt idx="34">
                  <c:v>-6.3601000000000005E-2</c:v>
                </c:pt>
                <c:pt idx="35">
                  <c:v>-6.3668000000000002E-2</c:v>
                </c:pt>
                <c:pt idx="36">
                  <c:v>-6.3811999999999994E-2</c:v>
                </c:pt>
                <c:pt idx="37">
                  <c:v>-6.5922999999999995E-2</c:v>
                </c:pt>
                <c:pt idx="38">
                  <c:v>-6.0766000000000001E-2</c:v>
                </c:pt>
                <c:pt idx="39">
                  <c:v>-5.9910999999999999E-2</c:v>
                </c:pt>
                <c:pt idx="40">
                  <c:v>-5.9163E-2</c:v>
                </c:pt>
                <c:pt idx="41">
                  <c:v>-8.6000999999999994E-2</c:v>
                </c:pt>
                <c:pt idx="42">
                  <c:v>-8.2150000000000001E-2</c:v>
                </c:pt>
                <c:pt idx="43">
                  <c:v>-8.5716000000000001E-2</c:v>
                </c:pt>
                <c:pt idx="44">
                  <c:v>-7.5378000000000001E-2</c:v>
                </c:pt>
                <c:pt idx="45">
                  <c:v>-7.4090000000000003E-2</c:v>
                </c:pt>
                <c:pt idx="46">
                  <c:v>-7.3547000000000001E-2</c:v>
                </c:pt>
                <c:pt idx="47">
                  <c:v>-7.0290000000000005E-2</c:v>
                </c:pt>
                <c:pt idx="48">
                  <c:v>-7.1831999999999993E-2</c:v>
                </c:pt>
                <c:pt idx="49">
                  <c:v>-6.8904999999999994E-2</c:v>
                </c:pt>
                <c:pt idx="50">
                  <c:v>-7.3996999999999993E-2</c:v>
                </c:pt>
                <c:pt idx="51">
                  <c:v>-7.2081999999999993E-2</c:v>
                </c:pt>
                <c:pt idx="52">
                  <c:v>-7.7317999999999998E-2</c:v>
                </c:pt>
                <c:pt idx="53">
                  <c:v>-7.5453999999999993E-2</c:v>
                </c:pt>
                <c:pt idx="54">
                  <c:v>-7.6814999999999994E-2</c:v>
                </c:pt>
                <c:pt idx="55">
                  <c:v>-7.7358999999999997E-2</c:v>
                </c:pt>
                <c:pt idx="56">
                  <c:v>-7.4352000000000001E-2</c:v>
                </c:pt>
                <c:pt idx="57">
                  <c:v>-7.3976E-2</c:v>
                </c:pt>
                <c:pt idx="58">
                  <c:v>-7.1857000000000004E-2</c:v>
                </c:pt>
                <c:pt idx="59">
                  <c:v>-8.6333999999999994E-2</c:v>
                </c:pt>
                <c:pt idx="60">
                  <c:v>-8.7847999999999996E-2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B2B-4248-96C1-AA617612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-3.6311000000000003E-2</c:v>
                </c:pt>
                <c:pt idx="2">
                  <c:v>-5.6297E-2</c:v>
                </c:pt>
                <c:pt idx="3">
                  <c:v>-8.8549000000000003E-2</c:v>
                </c:pt>
                <c:pt idx="4">
                  <c:v>-0.104837</c:v>
                </c:pt>
                <c:pt idx="5">
                  <c:v>-0.11285299999999999</c:v>
                </c:pt>
                <c:pt idx="6">
                  <c:v>-0.130744</c:v>
                </c:pt>
                <c:pt idx="7">
                  <c:v>-0.1389</c:v>
                </c:pt>
                <c:pt idx="8">
                  <c:v>-0.15068300000000001</c:v>
                </c:pt>
                <c:pt idx="9">
                  <c:v>-0.164544</c:v>
                </c:pt>
                <c:pt idx="10">
                  <c:v>-0.23908099999999999</c:v>
                </c:pt>
                <c:pt idx="11">
                  <c:v>-0.27545199999999997</c:v>
                </c:pt>
                <c:pt idx="12">
                  <c:v>-0.28546100000000002</c:v>
                </c:pt>
                <c:pt idx="13">
                  <c:v>-0.29611599999999999</c:v>
                </c:pt>
                <c:pt idx="14">
                  <c:v>-0.31750800000000001</c:v>
                </c:pt>
                <c:pt idx="15">
                  <c:v>-0.34726400000000002</c:v>
                </c:pt>
                <c:pt idx="16">
                  <c:v>-0.37508000000000002</c:v>
                </c:pt>
                <c:pt idx="17">
                  <c:v>-0.38285200000000003</c:v>
                </c:pt>
                <c:pt idx="18">
                  <c:v>-0.40242699999999998</c:v>
                </c:pt>
                <c:pt idx="19">
                  <c:v>-0.413829</c:v>
                </c:pt>
                <c:pt idx="20">
                  <c:v>-0.42901</c:v>
                </c:pt>
                <c:pt idx="21">
                  <c:v>-0.41644399999999998</c:v>
                </c:pt>
                <c:pt idx="22">
                  <c:v>-0.426952</c:v>
                </c:pt>
                <c:pt idx="23">
                  <c:v>-0.43007699999999999</c:v>
                </c:pt>
                <c:pt idx="24">
                  <c:v>-0.451573</c:v>
                </c:pt>
                <c:pt idx="25">
                  <c:v>-0.470277</c:v>
                </c:pt>
                <c:pt idx="26">
                  <c:v>-0.476053</c:v>
                </c:pt>
                <c:pt idx="27">
                  <c:v>-0.48122599999999999</c:v>
                </c:pt>
                <c:pt idx="28">
                  <c:v>-0.48853600000000003</c:v>
                </c:pt>
                <c:pt idx="29">
                  <c:v>-0.49720599999999998</c:v>
                </c:pt>
                <c:pt idx="30">
                  <c:v>-0.49299599999999999</c:v>
                </c:pt>
                <c:pt idx="31">
                  <c:v>-0.48910500000000001</c:v>
                </c:pt>
                <c:pt idx="32">
                  <c:v>-0.52663000000000004</c:v>
                </c:pt>
                <c:pt idx="33">
                  <c:v>-0.54388999999999998</c:v>
                </c:pt>
                <c:pt idx="34">
                  <c:v>-0.56830199999999997</c:v>
                </c:pt>
                <c:pt idx="35">
                  <c:v>-0.577735</c:v>
                </c:pt>
                <c:pt idx="36">
                  <c:v>-0.59776399999999996</c:v>
                </c:pt>
                <c:pt idx="37">
                  <c:v>-0.60774499999999998</c:v>
                </c:pt>
                <c:pt idx="38">
                  <c:v>-0.63007400000000002</c:v>
                </c:pt>
                <c:pt idx="39">
                  <c:v>-0.64067499999999999</c:v>
                </c:pt>
                <c:pt idx="40">
                  <c:v>-0.65656199999999998</c:v>
                </c:pt>
                <c:pt idx="41">
                  <c:v>-0.664524</c:v>
                </c:pt>
                <c:pt idx="42">
                  <c:v>-0.67139800000000005</c:v>
                </c:pt>
                <c:pt idx="43">
                  <c:v>-0.677091</c:v>
                </c:pt>
                <c:pt idx="44">
                  <c:v>-0.67796199999999995</c:v>
                </c:pt>
                <c:pt idx="45">
                  <c:v>-0.68667100000000003</c:v>
                </c:pt>
                <c:pt idx="46">
                  <c:v>-0.69091899999999995</c:v>
                </c:pt>
                <c:pt idx="47">
                  <c:v>-0.700129</c:v>
                </c:pt>
                <c:pt idx="48">
                  <c:v>-0.70193099999999997</c:v>
                </c:pt>
                <c:pt idx="49">
                  <c:v>-0.70643199999999995</c:v>
                </c:pt>
                <c:pt idx="50">
                  <c:v>-0.71548999999999996</c:v>
                </c:pt>
                <c:pt idx="51">
                  <c:v>-0.71819100000000002</c:v>
                </c:pt>
                <c:pt idx="52">
                  <c:v>-0.70800600000000002</c:v>
                </c:pt>
                <c:pt idx="53">
                  <c:v>-0.73285599999999995</c:v>
                </c:pt>
                <c:pt idx="54">
                  <c:v>-0.73196300000000003</c:v>
                </c:pt>
                <c:pt idx="55">
                  <c:v>-0.73983699999999997</c:v>
                </c:pt>
                <c:pt idx="56">
                  <c:v>-0.74702599999999997</c:v>
                </c:pt>
                <c:pt idx="57">
                  <c:v>-0.749502</c:v>
                </c:pt>
                <c:pt idx="58">
                  <c:v>-0.77104600000000001</c:v>
                </c:pt>
                <c:pt idx="59">
                  <c:v>-0.71730799999999995</c:v>
                </c:pt>
                <c:pt idx="60">
                  <c:v>-0.78579600000000005</c:v>
                </c:pt>
                <c:pt idx="61">
                  <c:v>-0.80288899999999996</c:v>
                </c:pt>
                <c:pt idx="62">
                  <c:v>-0.79210100000000006</c:v>
                </c:pt>
                <c:pt idx="63">
                  <c:v>-0.82742300000000002</c:v>
                </c:pt>
                <c:pt idx="64">
                  <c:v>-0.84104900000000005</c:v>
                </c:pt>
                <c:pt idx="65">
                  <c:v>-0.85512200000000005</c:v>
                </c:pt>
                <c:pt idx="66">
                  <c:v>-0.85980400000000001</c:v>
                </c:pt>
                <c:pt idx="67">
                  <c:v>-0.86778999999999995</c:v>
                </c:pt>
                <c:pt idx="68">
                  <c:v>-0.87392400000000003</c:v>
                </c:pt>
                <c:pt idx="69">
                  <c:v>-0.86980299999999999</c:v>
                </c:pt>
                <c:pt idx="70">
                  <c:v>-0.87629199999999996</c:v>
                </c:pt>
                <c:pt idx="71">
                  <c:v>-0.89869500000000002</c:v>
                </c:pt>
                <c:pt idx="72">
                  <c:v>-0.90558499999999997</c:v>
                </c:pt>
                <c:pt idx="73">
                  <c:v>-0.90559000000000001</c:v>
                </c:pt>
                <c:pt idx="74">
                  <c:v>-0.88933499999999999</c:v>
                </c:pt>
                <c:pt idx="75">
                  <c:v>-0.954322</c:v>
                </c:pt>
                <c:pt idx="76">
                  <c:v>-0.98911700000000002</c:v>
                </c:pt>
                <c:pt idx="77">
                  <c:v>-0.99656999999999996</c:v>
                </c:pt>
                <c:pt idx="78">
                  <c:v>-0.966395</c:v>
                </c:pt>
                <c:pt idx="79">
                  <c:v>-0.98621700000000001</c:v>
                </c:pt>
                <c:pt idx="80">
                  <c:v>-0.97888900000000001</c:v>
                </c:pt>
                <c:pt idx="81">
                  <c:v>-1.029779</c:v>
                </c:pt>
                <c:pt idx="82">
                  <c:v>-1.062603</c:v>
                </c:pt>
                <c:pt idx="83">
                  <c:v>-1.0543279999999999</c:v>
                </c:pt>
                <c:pt idx="84">
                  <c:v>-1.0711079999999999</c:v>
                </c:pt>
                <c:pt idx="85">
                  <c:v>-1.069545</c:v>
                </c:pt>
                <c:pt idx="86">
                  <c:v>-1.0785229999999999</c:v>
                </c:pt>
                <c:pt idx="87">
                  <c:v>-1.081037</c:v>
                </c:pt>
                <c:pt idx="88">
                  <c:v>-1.1125849999999999</c:v>
                </c:pt>
                <c:pt idx="89">
                  <c:v>-1.082875</c:v>
                </c:pt>
                <c:pt idx="90">
                  <c:v>-1.0928629999999999</c:v>
                </c:pt>
                <c:pt idx="91">
                  <c:v>-1.126217</c:v>
                </c:pt>
                <c:pt idx="92">
                  <c:v>-1.139559</c:v>
                </c:pt>
                <c:pt idx="93">
                  <c:v>-1.144188</c:v>
                </c:pt>
                <c:pt idx="94">
                  <c:v>-1.149017</c:v>
                </c:pt>
                <c:pt idx="95">
                  <c:v>-1.162102</c:v>
                </c:pt>
                <c:pt idx="96">
                  <c:v>-1.177997</c:v>
                </c:pt>
                <c:pt idx="97">
                  <c:v>-1.180947</c:v>
                </c:pt>
                <c:pt idx="98">
                  <c:v>-1.168293</c:v>
                </c:pt>
                <c:pt idx="99">
                  <c:v>-1.188823</c:v>
                </c:pt>
                <c:pt idx="100">
                  <c:v>-1.1682490000000001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A6-814E-81E2-505DFB885B66}"/>
            </c:ext>
          </c:extLst>
        </c:ser>
        <c:ser>
          <c:idx val="4"/>
          <c:order val="1"/>
          <c:tx>
            <c:strRef>
              <c:f>'gpt_delta-trend'!$O$2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-1.0739E-2</c:v>
                </c:pt>
                <c:pt idx="2">
                  <c:v>-2.578E-3</c:v>
                </c:pt>
                <c:pt idx="3">
                  <c:v>-4.1354000000000002E-2</c:v>
                </c:pt>
                <c:pt idx="4">
                  <c:v>-3.9607999999999997E-2</c:v>
                </c:pt>
                <c:pt idx="5">
                  <c:v>-4.2616000000000001E-2</c:v>
                </c:pt>
                <c:pt idx="6">
                  <c:v>-5.9539000000000002E-2</c:v>
                </c:pt>
                <c:pt idx="7">
                  <c:v>-6.4677999999999999E-2</c:v>
                </c:pt>
                <c:pt idx="8">
                  <c:v>-5.0847000000000003E-2</c:v>
                </c:pt>
                <c:pt idx="9">
                  <c:v>-7.9315999999999998E-2</c:v>
                </c:pt>
                <c:pt idx="10">
                  <c:v>-0.172182</c:v>
                </c:pt>
                <c:pt idx="11">
                  <c:v>-0.21234700000000001</c:v>
                </c:pt>
                <c:pt idx="12">
                  <c:v>-0.220416</c:v>
                </c:pt>
                <c:pt idx="13">
                  <c:v>-0.24749699999999999</c:v>
                </c:pt>
                <c:pt idx="14">
                  <c:v>-0.27368900000000002</c:v>
                </c:pt>
                <c:pt idx="15">
                  <c:v>-0.29339799999999999</c:v>
                </c:pt>
                <c:pt idx="16">
                  <c:v>-0.32566400000000001</c:v>
                </c:pt>
                <c:pt idx="17">
                  <c:v>-0.325824</c:v>
                </c:pt>
                <c:pt idx="18">
                  <c:v>-0.337783</c:v>
                </c:pt>
                <c:pt idx="19">
                  <c:v>-0.315996</c:v>
                </c:pt>
                <c:pt idx="20">
                  <c:v>-0.349939</c:v>
                </c:pt>
                <c:pt idx="21">
                  <c:v>-0.36165799999999998</c:v>
                </c:pt>
                <c:pt idx="22">
                  <c:v>-0.36876100000000001</c:v>
                </c:pt>
                <c:pt idx="23">
                  <c:v>-0.353184</c:v>
                </c:pt>
                <c:pt idx="24">
                  <c:v>-0.38435399999999997</c:v>
                </c:pt>
                <c:pt idx="25">
                  <c:v>-0.400202</c:v>
                </c:pt>
                <c:pt idx="26">
                  <c:v>-0.40321899999999999</c:v>
                </c:pt>
                <c:pt idx="27">
                  <c:v>-0.41365600000000002</c:v>
                </c:pt>
                <c:pt idx="28">
                  <c:v>-0.42713299999999998</c:v>
                </c:pt>
                <c:pt idx="29">
                  <c:v>-0.43005399999999999</c:v>
                </c:pt>
                <c:pt idx="30">
                  <c:v>-0.432423</c:v>
                </c:pt>
                <c:pt idx="31">
                  <c:v>-0.43907800000000002</c:v>
                </c:pt>
                <c:pt idx="32">
                  <c:v>-0.47270499999999999</c:v>
                </c:pt>
                <c:pt idx="33">
                  <c:v>-0.48532399999999998</c:v>
                </c:pt>
                <c:pt idx="34">
                  <c:v>-0.49293900000000002</c:v>
                </c:pt>
                <c:pt idx="35">
                  <c:v>-0.49860500000000002</c:v>
                </c:pt>
                <c:pt idx="36">
                  <c:v>-0.51252900000000001</c:v>
                </c:pt>
                <c:pt idx="37">
                  <c:v>-0.53089799999999998</c:v>
                </c:pt>
                <c:pt idx="38">
                  <c:v>-0.55020199999999997</c:v>
                </c:pt>
                <c:pt idx="39">
                  <c:v>-0.53067500000000001</c:v>
                </c:pt>
                <c:pt idx="40">
                  <c:v>-0.54228399999999999</c:v>
                </c:pt>
                <c:pt idx="41">
                  <c:v>-0.54974599999999996</c:v>
                </c:pt>
                <c:pt idx="42">
                  <c:v>-0.55461199999999999</c:v>
                </c:pt>
                <c:pt idx="43">
                  <c:v>-0.55710000000000004</c:v>
                </c:pt>
                <c:pt idx="44">
                  <c:v>-0.56408899999999995</c:v>
                </c:pt>
                <c:pt idx="45">
                  <c:v>-0.57463799999999998</c:v>
                </c:pt>
                <c:pt idx="46">
                  <c:v>-0.57803899999999997</c:v>
                </c:pt>
                <c:pt idx="47">
                  <c:v>-0.58481000000000005</c:v>
                </c:pt>
                <c:pt idx="48">
                  <c:v>-0.58380299999999996</c:v>
                </c:pt>
                <c:pt idx="49">
                  <c:v>-0.59168200000000004</c:v>
                </c:pt>
                <c:pt idx="50">
                  <c:v>-0.65684900000000002</c:v>
                </c:pt>
                <c:pt idx="51">
                  <c:v>-0.65420599999999995</c:v>
                </c:pt>
                <c:pt idx="52">
                  <c:v>-0.63702499999999995</c:v>
                </c:pt>
                <c:pt idx="53">
                  <c:v>-0.67849999999999999</c:v>
                </c:pt>
                <c:pt idx="54">
                  <c:v>-0.67275099999999999</c:v>
                </c:pt>
                <c:pt idx="55">
                  <c:v>-0.688886</c:v>
                </c:pt>
                <c:pt idx="56">
                  <c:v>-0.68294699999999997</c:v>
                </c:pt>
                <c:pt idx="57">
                  <c:v>-0.69628800000000002</c:v>
                </c:pt>
                <c:pt idx="58">
                  <c:v>-0.69331100000000001</c:v>
                </c:pt>
                <c:pt idx="59">
                  <c:v>-0.68886400000000003</c:v>
                </c:pt>
                <c:pt idx="60">
                  <c:v>-0.71581700000000004</c:v>
                </c:pt>
                <c:pt idx="61">
                  <c:v>-0.76847699999999997</c:v>
                </c:pt>
                <c:pt idx="62">
                  <c:v>-0.760486</c:v>
                </c:pt>
                <c:pt idx="63">
                  <c:v>-0.76823399999999997</c:v>
                </c:pt>
                <c:pt idx="64">
                  <c:v>-0.78193299999999999</c:v>
                </c:pt>
                <c:pt idx="65">
                  <c:v>-0.79149099999999994</c:v>
                </c:pt>
                <c:pt idx="66">
                  <c:v>-0.794825</c:v>
                </c:pt>
                <c:pt idx="67">
                  <c:v>-0.80684500000000003</c:v>
                </c:pt>
                <c:pt idx="68">
                  <c:v>-0.80993499999999996</c:v>
                </c:pt>
                <c:pt idx="69">
                  <c:v>-0.79666199999999998</c:v>
                </c:pt>
                <c:pt idx="70">
                  <c:v>-0.80916699999999997</c:v>
                </c:pt>
                <c:pt idx="71">
                  <c:v>-0.81361600000000001</c:v>
                </c:pt>
                <c:pt idx="72">
                  <c:v>-0.83447700000000002</c:v>
                </c:pt>
                <c:pt idx="73">
                  <c:v>-0.82822799999999996</c:v>
                </c:pt>
                <c:pt idx="74">
                  <c:v>-0.82477500000000004</c:v>
                </c:pt>
                <c:pt idx="75">
                  <c:v>-0.86586300000000005</c:v>
                </c:pt>
                <c:pt idx="76">
                  <c:v>-0.900231</c:v>
                </c:pt>
                <c:pt idx="77">
                  <c:v>-0.90736300000000003</c:v>
                </c:pt>
                <c:pt idx="78">
                  <c:v>-0.892127</c:v>
                </c:pt>
                <c:pt idx="79">
                  <c:v>-0.88659100000000002</c:v>
                </c:pt>
                <c:pt idx="80">
                  <c:v>-0.95915399999999995</c:v>
                </c:pt>
                <c:pt idx="81">
                  <c:v>-0.94999100000000003</c:v>
                </c:pt>
                <c:pt idx="82">
                  <c:v>-0.96326699999999998</c:v>
                </c:pt>
                <c:pt idx="83">
                  <c:v>-0.99751900000000004</c:v>
                </c:pt>
                <c:pt idx="84">
                  <c:v>-1.0242599999999999</c:v>
                </c:pt>
                <c:pt idx="85">
                  <c:v>-1.0121089999999999</c:v>
                </c:pt>
                <c:pt idx="86">
                  <c:v>-1.034286</c:v>
                </c:pt>
                <c:pt idx="87">
                  <c:v>-1.0165740000000001</c:v>
                </c:pt>
                <c:pt idx="88">
                  <c:v>-1.017609</c:v>
                </c:pt>
                <c:pt idx="89">
                  <c:v>-1.0032939999999999</c:v>
                </c:pt>
                <c:pt idx="90">
                  <c:v>-1.014726</c:v>
                </c:pt>
                <c:pt idx="91">
                  <c:v>-1.0414369999999999</c:v>
                </c:pt>
                <c:pt idx="92">
                  <c:v>-1.049533</c:v>
                </c:pt>
                <c:pt idx="93">
                  <c:v>-1.0250950000000001</c:v>
                </c:pt>
                <c:pt idx="94">
                  <c:v>-1.0584549999999999</c:v>
                </c:pt>
                <c:pt idx="95">
                  <c:v>-1.061248</c:v>
                </c:pt>
                <c:pt idx="96">
                  <c:v>-1.0868500000000001</c:v>
                </c:pt>
                <c:pt idx="97">
                  <c:v>-1.0946959999999999</c:v>
                </c:pt>
                <c:pt idx="98">
                  <c:v>-1.0848629999999999</c:v>
                </c:pt>
                <c:pt idx="99">
                  <c:v>-1.115451</c:v>
                </c:pt>
                <c:pt idx="100">
                  <c:v>-1.10232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6-814E-81E2-505DFB885B66}"/>
            </c:ext>
          </c:extLst>
        </c:ser>
        <c:ser>
          <c:idx val="1"/>
          <c:order val="2"/>
          <c:tx>
            <c:strRef>
              <c:f>'gpt_delta-trend'!$P$2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-1.0848E-2</c:v>
                </c:pt>
                <c:pt idx="2">
                  <c:v>-1.0285000000000001E-2</c:v>
                </c:pt>
                <c:pt idx="3">
                  <c:v>-3.1251000000000001E-2</c:v>
                </c:pt>
                <c:pt idx="4">
                  <c:v>-5.2004000000000002E-2</c:v>
                </c:pt>
                <c:pt idx="5">
                  <c:v>-4.7551999999999997E-2</c:v>
                </c:pt>
                <c:pt idx="6">
                  <c:v>-2.7390999999999999E-2</c:v>
                </c:pt>
                <c:pt idx="7">
                  <c:v>-3.5324000000000001E-2</c:v>
                </c:pt>
                <c:pt idx="8">
                  <c:v>-3.6087000000000001E-2</c:v>
                </c:pt>
                <c:pt idx="9">
                  <c:v>-4.8561E-2</c:v>
                </c:pt>
                <c:pt idx="10">
                  <c:v>-1.1219E-2</c:v>
                </c:pt>
                <c:pt idx="11">
                  <c:v>-2.5676000000000001E-2</c:v>
                </c:pt>
                <c:pt idx="12">
                  <c:v>-2.7283999999999999E-2</c:v>
                </c:pt>
                <c:pt idx="13">
                  <c:v>-6.4146999999999996E-2</c:v>
                </c:pt>
                <c:pt idx="14">
                  <c:v>-8.2579E-2</c:v>
                </c:pt>
                <c:pt idx="15">
                  <c:v>-9.3350000000000002E-2</c:v>
                </c:pt>
                <c:pt idx="16">
                  <c:v>-0.129029</c:v>
                </c:pt>
                <c:pt idx="17">
                  <c:v>-0.118727</c:v>
                </c:pt>
                <c:pt idx="18">
                  <c:v>-0.120894</c:v>
                </c:pt>
                <c:pt idx="19">
                  <c:v>-0.11697</c:v>
                </c:pt>
                <c:pt idx="20">
                  <c:v>-0.158361</c:v>
                </c:pt>
                <c:pt idx="21">
                  <c:v>-0.16251599999999999</c:v>
                </c:pt>
                <c:pt idx="22">
                  <c:v>-0.159444</c:v>
                </c:pt>
                <c:pt idx="23">
                  <c:v>-0.16045899999999999</c:v>
                </c:pt>
                <c:pt idx="24">
                  <c:v>-0.17702200000000001</c:v>
                </c:pt>
                <c:pt idx="25">
                  <c:v>-0.179623</c:v>
                </c:pt>
                <c:pt idx="26">
                  <c:v>-0.18121300000000001</c:v>
                </c:pt>
                <c:pt idx="27">
                  <c:v>-0.184753</c:v>
                </c:pt>
                <c:pt idx="28">
                  <c:v>-0.19835800000000001</c:v>
                </c:pt>
                <c:pt idx="29">
                  <c:v>-0.20874599999999999</c:v>
                </c:pt>
                <c:pt idx="30">
                  <c:v>-0.214781</c:v>
                </c:pt>
                <c:pt idx="31">
                  <c:v>-0.21782599999999999</c:v>
                </c:pt>
                <c:pt idx="32">
                  <c:v>-0.25586500000000001</c:v>
                </c:pt>
                <c:pt idx="33">
                  <c:v>-0.25675799999999999</c:v>
                </c:pt>
                <c:pt idx="34">
                  <c:v>-0.269123</c:v>
                </c:pt>
                <c:pt idx="35">
                  <c:v>-0.288574</c:v>
                </c:pt>
                <c:pt idx="36">
                  <c:v>-0.29046499999999997</c:v>
                </c:pt>
                <c:pt idx="37">
                  <c:v>-0.31615500000000002</c:v>
                </c:pt>
                <c:pt idx="38">
                  <c:v>-0.33022800000000002</c:v>
                </c:pt>
                <c:pt idx="39">
                  <c:v>-0.33308700000000002</c:v>
                </c:pt>
                <c:pt idx="40">
                  <c:v>-0.345914</c:v>
                </c:pt>
                <c:pt idx="41">
                  <c:v>-0.36096600000000001</c:v>
                </c:pt>
                <c:pt idx="42">
                  <c:v>-0.36851200000000001</c:v>
                </c:pt>
                <c:pt idx="43">
                  <c:v>-0.36489199999999999</c:v>
                </c:pt>
                <c:pt idx="44">
                  <c:v>-0.372722</c:v>
                </c:pt>
                <c:pt idx="45">
                  <c:v>-0.38312499999999999</c:v>
                </c:pt>
                <c:pt idx="46">
                  <c:v>-0.39354899999999998</c:v>
                </c:pt>
                <c:pt idx="47">
                  <c:v>-0.40820200000000001</c:v>
                </c:pt>
                <c:pt idx="48">
                  <c:v>-0.40010400000000002</c:v>
                </c:pt>
                <c:pt idx="49">
                  <c:v>-0.39248100000000002</c:v>
                </c:pt>
                <c:pt idx="50">
                  <c:v>-0.40634100000000001</c:v>
                </c:pt>
                <c:pt idx="51">
                  <c:v>-0.39248499999999997</c:v>
                </c:pt>
                <c:pt idx="52">
                  <c:v>-0.36869400000000002</c:v>
                </c:pt>
                <c:pt idx="53">
                  <c:v>-0.40457900000000002</c:v>
                </c:pt>
                <c:pt idx="54">
                  <c:v>-0.40481800000000001</c:v>
                </c:pt>
                <c:pt idx="55">
                  <c:v>-0.38601799999999997</c:v>
                </c:pt>
                <c:pt idx="56">
                  <c:v>-0.40213300000000002</c:v>
                </c:pt>
                <c:pt idx="57">
                  <c:v>-0.41871900000000001</c:v>
                </c:pt>
                <c:pt idx="58">
                  <c:v>-0.40346599999999999</c:v>
                </c:pt>
                <c:pt idx="59">
                  <c:v>-0.39101999999999998</c:v>
                </c:pt>
                <c:pt idx="60">
                  <c:v>-0.412273</c:v>
                </c:pt>
                <c:pt idx="61">
                  <c:v>-0.42258299999999999</c:v>
                </c:pt>
                <c:pt idx="62">
                  <c:v>-0.432641</c:v>
                </c:pt>
                <c:pt idx="63">
                  <c:v>-0.448994</c:v>
                </c:pt>
                <c:pt idx="64">
                  <c:v>-0.46648099999999998</c:v>
                </c:pt>
                <c:pt idx="65">
                  <c:v>-0.47080499999999997</c:v>
                </c:pt>
                <c:pt idx="66">
                  <c:v>-0.47578100000000001</c:v>
                </c:pt>
                <c:pt idx="67">
                  <c:v>-0.490342</c:v>
                </c:pt>
                <c:pt idx="68">
                  <c:v>-0.48724400000000001</c:v>
                </c:pt>
                <c:pt idx="69">
                  <c:v>-0.48951</c:v>
                </c:pt>
                <c:pt idx="70">
                  <c:v>-0.49984800000000001</c:v>
                </c:pt>
                <c:pt idx="71">
                  <c:v>-0.50240399999999996</c:v>
                </c:pt>
                <c:pt idx="72">
                  <c:v>-0.50255700000000003</c:v>
                </c:pt>
                <c:pt idx="73">
                  <c:v>-0.51526400000000006</c:v>
                </c:pt>
                <c:pt idx="74">
                  <c:v>-0.51822400000000002</c:v>
                </c:pt>
                <c:pt idx="75">
                  <c:v>-0.53306200000000004</c:v>
                </c:pt>
                <c:pt idx="76">
                  <c:v>-0.54713800000000001</c:v>
                </c:pt>
                <c:pt idx="77">
                  <c:v>-0.558145</c:v>
                </c:pt>
                <c:pt idx="78">
                  <c:v>-0.57237199999999999</c:v>
                </c:pt>
                <c:pt idx="79">
                  <c:v>-0.55362599999999995</c:v>
                </c:pt>
                <c:pt idx="80">
                  <c:v>-0.59017200000000003</c:v>
                </c:pt>
                <c:pt idx="81">
                  <c:v>-0.60390900000000003</c:v>
                </c:pt>
                <c:pt idx="82">
                  <c:v>-0.644486</c:v>
                </c:pt>
                <c:pt idx="83">
                  <c:v>-0.65019800000000005</c:v>
                </c:pt>
                <c:pt idx="84">
                  <c:v>-0.68172200000000005</c:v>
                </c:pt>
                <c:pt idx="85">
                  <c:v>-0.67336300000000004</c:v>
                </c:pt>
                <c:pt idx="86">
                  <c:v>-0.71692299999999998</c:v>
                </c:pt>
                <c:pt idx="87">
                  <c:v>-0.725406</c:v>
                </c:pt>
                <c:pt idx="88">
                  <c:v>-0.739228</c:v>
                </c:pt>
                <c:pt idx="89">
                  <c:v>-0.75831599999999999</c:v>
                </c:pt>
                <c:pt idx="90">
                  <c:v>-0.77681599999999995</c:v>
                </c:pt>
                <c:pt idx="91">
                  <c:v>-0.78801100000000002</c:v>
                </c:pt>
                <c:pt idx="92">
                  <c:v>-0.79188599999999998</c:v>
                </c:pt>
                <c:pt idx="93">
                  <c:v>-0.77707000000000004</c:v>
                </c:pt>
                <c:pt idx="94">
                  <c:v>-0.80386800000000003</c:v>
                </c:pt>
                <c:pt idx="95">
                  <c:v>-0.80167900000000003</c:v>
                </c:pt>
                <c:pt idx="96">
                  <c:v>-0.81172500000000003</c:v>
                </c:pt>
                <c:pt idx="97">
                  <c:v>-0.81866300000000003</c:v>
                </c:pt>
                <c:pt idx="98">
                  <c:v>-0.82408499999999996</c:v>
                </c:pt>
                <c:pt idx="99">
                  <c:v>-0.83884199999999998</c:v>
                </c:pt>
                <c:pt idx="100">
                  <c:v>-0.82979400000000003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A6-814E-81E2-505DFB885B66}"/>
            </c:ext>
          </c:extLst>
        </c:ser>
        <c:ser>
          <c:idx val="2"/>
          <c:order val="3"/>
          <c:tx>
            <c:strRef>
              <c:f>'gpt_delta-trend'!$Q$2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'gpt_delta-trend'!$Q$3:$Q$104</c:f>
              <c:numCache>
                <c:formatCode>General</c:formatCode>
                <c:ptCount val="102"/>
                <c:pt idx="0">
                  <c:v>0</c:v>
                </c:pt>
                <c:pt idx="1">
                  <c:v>-4.2195000000000003E-2</c:v>
                </c:pt>
                <c:pt idx="2">
                  <c:v>-3.8510000000000003E-2</c:v>
                </c:pt>
                <c:pt idx="3">
                  <c:v>-6.7956000000000003E-2</c:v>
                </c:pt>
                <c:pt idx="4">
                  <c:v>-6.3217999999999996E-2</c:v>
                </c:pt>
                <c:pt idx="5">
                  <c:v>-6.2233999999999998E-2</c:v>
                </c:pt>
                <c:pt idx="6">
                  <c:v>-3.9211999999999997E-2</c:v>
                </c:pt>
                <c:pt idx="7">
                  <c:v>-2.2676999999999999E-2</c:v>
                </c:pt>
                <c:pt idx="8">
                  <c:v>-0.12575500000000001</c:v>
                </c:pt>
                <c:pt idx="9">
                  <c:v>-0.15018599999999999</c:v>
                </c:pt>
                <c:pt idx="10">
                  <c:v>-0.12650400000000001</c:v>
                </c:pt>
                <c:pt idx="11">
                  <c:v>-0.158438</c:v>
                </c:pt>
                <c:pt idx="12">
                  <c:v>-0.14335300000000001</c:v>
                </c:pt>
                <c:pt idx="13">
                  <c:v>-0.17466699999999999</c:v>
                </c:pt>
                <c:pt idx="14">
                  <c:v>-0.179087</c:v>
                </c:pt>
                <c:pt idx="15">
                  <c:v>-0.19306400000000001</c:v>
                </c:pt>
                <c:pt idx="16">
                  <c:v>-0.24734600000000001</c:v>
                </c:pt>
                <c:pt idx="17">
                  <c:v>-0.236538</c:v>
                </c:pt>
                <c:pt idx="18">
                  <c:v>-0.24395800000000001</c:v>
                </c:pt>
                <c:pt idx="19">
                  <c:v>-0.26088099999999997</c:v>
                </c:pt>
                <c:pt idx="20">
                  <c:v>-0.30307800000000001</c:v>
                </c:pt>
                <c:pt idx="21">
                  <c:v>-0.261938</c:v>
                </c:pt>
                <c:pt idx="22">
                  <c:v>-0.224</c:v>
                </c:pt>
                <c:pt idx="23">
                  <c:v>-0.20919699999999999</c:v>
                </c:pt>
                <c:pt idx="24">
                  <c:v>-0.24826300000000001</c:v>
                </c:pt>
                <c:pt idx="25">
                  <c:v>-0.26003799999999999</c:v>
                </c:pt>
                <c:pt idx="26">
                  <c:v>-0.25663000000000002</c:v>
                </c:pt>
                <c:pt idx="27">
                  <c:v>-0.25434800000000002</c:v>
                </c:pt>
                <c:pt idx="28">
                  <c:v>-0.24912500000000001</c:v>
                </c:pt>
                <c:pt idx="29">
                  <c:v>-0.274644</c:v>
                </c:pt>
                <c:pt idx="30">
                  <c:v>-0.27569500000000002</c:v>
                </c:pt>
                <c:pt idx="31">
                  <c:v>-0.26244800000000001</c:v>
                </c:pt>
                <c:pt idx="32">
                  <c:v>-0.29939500000000002</c:v>
                </c:pt>
                <c:pt idx="33">
                  <c:v>-0.30960700000000002</c:v>
                </c:pt>
                <c:pt idx="34">
                  <c:v>-0.34096199999999999</c:v>
                </c:pt>
                <c:pt idx="35">
                  <c:v>-0.36950300000000003</c:v>
                </c:pt>
                <c:pt idx="36">
                  <c:v>-0.36530600000000002</c:v>
                </c:pt>
                <c:pt idx="37">
                  <c:v>-0.38255899999999998</c:v>
                </c:pt>
                <c:pt idx="38">
                  <c:v>-0.40549800000000003</c:v>
                </c:pt>
                <c:pt idx="39">
                  <c:v>-0.4118</c:v>
                </c:pt>
                <c:pt idx="40">
                  <c:v>-0.41584300000000002</c:v>
                </c:pt>
                <c:pt idx="41">
                  <c:v>-0.41927500000000001</c:v>
                </c:pt>
                <c:pt idx="42">
                  <c:v>-0.440971</c:v>
                </c:pt>
                <c:pt idx="43">
                  <c:v>-0.44249899999999998</c:v>
                </c:pt>
                <c:pt idx="44">
                  <c:v>-0.462783</c:v>
                </c:pt>
                <c:pt idx="45">
                  <c:v>-0.473665</c:v>
                </c:pt>
                <c:pt idx="46">
                  <c:v>-0.48042299999999999</c:v>
                </c:pt>
                <c:pt idx="47">
                  <c:v>-0.49143599999999998</c:v>
                </c:pt>
                <c:pt idx="48">
                  <c:v>-0.48883799999999999</c:v>
                </c:pt>
                <c:pt idx="49">
                  <c:v>-0.48924899999999999</c:v>
                </c:pt>
                <c:pt idx="50">
                  <c:v>-0.50331999999999999</c:v>
                </c:pt>
                <c:pt idx="51">
                  <c:v>-0.487485</c:v>
                </c:pt>
                <c:pt idx="52">
                  <c:v>-0.48673699999999998</c:v>
                </c:pt>
                <c:pt idx="53">
                  <c:v>-0.53009300000000004</c:v>
                </c:pt>
                <c:pt idx="54">
                  <c:v>-0.51275099999999996</c:v>
                </c:pt>
                <c:pt idx="55">
                  <c:v>-0.47083199999999997</c:v>
                </c:pt>
                <c:pt idx="56">
                  <c:v>-0.49821799999999999</c:v>
                </c:pt>
                <c:pt idx="57">
                  <c:v>-0.53182099999999999</c:v>
                </c:pt>
                <c:pt idx="58">
                  <c:v>-0.53503900000000004</c:v>
                </c:pt>
                <c:pt idx="59">
                  <c:v>-0.54059999999999997</c:v>
                </c:pt>
                <c:pt idx="60">
                  <c:v>-0.55841799999999997</c:v>
                </c:pt>
                <c:pt idx="61">
                  <c:v>-0.62715299999999996</c:v>
                </c:pt>
                <c:pt idx="62">
                  <c:v>-0.62482400000000005</c:v>
                </c:pt>
                <c:pt idx="63">
                  <c:v>-0.64488699999999999</c:v>
                </c:pt>
                <c:pt idx="64">
                  <c:v>-0.62040700000000004</c:v>
                </c:pt>
                <c:pt idx="65">
                  <c:v>-0.65446400000000005</c:v>
                </c:pt>
                <c:pt idx="66">
                  <c:v>-0.65641799999999995</c:v>
                </c:pt>
                <c:pt idx="67">
                  <c:v>-0.72869899999999999</c:v>
                </c:pt>
                <c:pt idx="68">
                  <c:v>-0.74085699999999999</c:v>
                </c:pt>
                <c:pt idx="69">
                  <c:v>-0.69103300000000001</c:v>
                </c:pt>
                <c:pt idx="70">
                  <c:v>-0.70980399999999999</c:v>
                </c:pt>
                <c:pt idx="71">
                  <c:v>-0.75782899999999997</c:v>
                </c:pt>
                <c:pt idx="72">
                  <c:v>-0.711758</c:v>
                </c:pt>
                <c:pt idx="73">
                  <c:v>-0.6764</c:v>
                </c:pt>
                <c:pt idx="74">
                  <c:v>-0.656837</c:v>
                </c:pt>
                <c:pt idx="75">
                  <c:v>-0.70498899999999998</c:v>
                </c:pt>
                <c:pt idx="76">
                  <c:v>-0.73309100000000005</c:v>
                </c:pt>
                <c:pt idx="77">
                  <c:v>-0.74568299999999998</c:v>
                </c:pt>
                <c:pt idx="78">
                  <c:v>-0.76316899999999999</c:v>
                </c:pt>
                <c:pt idx="79">
                  <c:v>-0.772401</c:v>
                </c:pt>
                <c:pt idx="80">
                  <c:v>-0.84904400000000002</c:v>
                </c:pt>
                <c:pt idx="81">
                  <c:v>-0.81281000000000003</c:v>
                </c:pt>
                <c:pt idx="82">
                  <c:v>-0.80379100000000003</c:v>
                </c:pt>
                <c:pt idx="83">
                  <c:v>-0.86345099999999997</c:v>
                </c:pt>
                <c:pt idx="84">
                  <c:v>-0.87556100000000003</c:v>
                </c:pt>
                <c:pt idx="85">
                  <c:v>-0.81308100000000005</c:v>
                </c:pt>
                <c:pt idx="86">
                  <c:v>-0.68201299999999998</c:v>
                </c:pt>
                <c:pt idx="87">
                  <c:v>-0.67944899999999997</c:v>
                </c:pt>
                <c:pt idx="88">
                  <c:v>-0.68435599999999996</c:v>
                </c:pt>
                <c:pt idx="89">
                  <c:v>-0.63835900000000001</c:v>
                </c:pt>
                <c:pt idx="90">
                  <c:v>-0.66914099999999999</c:v>
                </c:pt>
                <c:pt idx="91">
                  <c:v>-0.69115499999999996</c:v>
                </c:pt>
                <c:pt idx="92">
                  <c:v>-0.70630800000000005</c:v>
                </c:pt>
                <c:pt idx="93">
                  <c:v>-0.69347999999999999</c:v>
                </c:pt>
                <c:pt idx="94">
                  <c:v>-0.71768600000000005</c:v>
                </c:pt>
                <c:pt idx="95">
                  <c:v>-0.74484899999999998</c:v>
                </c:pt>
                <c:pt idx="96">
                  <c:v>-0.73404000000000003</c:v>
                </c:pt>
                <c:pt idx="97">
                  <c:v>-0.76424700000000001</c:v>
                </c:pt>
                <c:pt idx="98">
                  <c:v>-0.78142800000000001</c:v>
                </c:pt>
                <c:pt idx="99">
                  <c:v>-0.80385799999999996</c:v>
                </c:pt>
                <c:pt idx="100">
                  <c:v>-0.80690899999999999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FA6-814E-81E2-505DFB885B66}"/>
            </c:ext>
          </c:extLst>
        </c:ser>
        <c:ser>
          <c:idx val="3"/>
          <c:order val="4"/>
          <c:tx>
            <c:strRef>
              <c:f>'gpt_delta-trend'!$R$2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-3.7443999999999998E-2</c:v>
                </c:pt>
                <c:pt idx="2">
                  <c:v>-2.4438000000000001E-2</c:v>
                </c:pt>
                <c:pt idx="3">
                  <c:v>-7.1870000000000003E-2</c:v>
                </c:pt>
                <c:pt idx="4">
                  <c:v>-0.118132</c:v>
                </c:pt>
                <c:pt idx="5">
                  <c:v>-0.130777</c:v>
                </c:pt>
                <c:pt idx="6">
                  <c:v>-0.15517900000000001</c:v>
                </c:pt>
                <c:pt idx="7">
                  <c:v>-0.175234</c:v>
                </c:pt>
                <c:pt idx="8">
                  <c:v>-0.14640700000000001</c:v>
                </c:pt>
                <c:pt idx="9">
                  <c:v>-0.19422900000000001</c:v>
                </c:pt>
                <c:pt idx="10">
                  <c:v>-0.26458900000000002</c:v>
                </c:pt>
                <c:pt idx="11">
                  <c:v>-0.30092400000000002</c:v>
                </c:pt>
                <c:pt idx="12">
                  <c:v>-0.30837700000000001</c:v>
                </c:pt>
                <c:pt idx="13">
                  <c:v>-0.31731399999999998</c:v>
                </c:pt>
                <c:pt idx="14">
                  <c:v>-0.34924300000000003</c:v>
                </c:pt>
                <c:pt idx="15">
                  <c:v>-0.37307899999999999</c:v>
                </c:pt>
                <c:pt idx="16">
                  <c:v>-0.414466</c:v>
                </c:pt>
                <c:pt idx="17">
                  <c:v>-0.443442</c:v>
                </c:pt>
                <c:pt idx="18">
                  <c:v>-0.458646</c:v>
                </c:pt>
                <c:pt idx="19">
                  <c:v>-0.464839</c:v>
                </c:pt>
                <c:pt idx="20">
                  <c:v>-0.47647699999999998</c:v>
                </c:pt>
                <c:pt idx="21">
                  <c:v>-0.48299700000000001</c:v>
                </c:pt>
                <c:pt idx="22">
                  <c:v>-0.48670400000000003</c:v>
                </c:pt>
                <c:pt idx="23">
                  <c:v>-0.50530699999999995</c:v>
                </c:pt>
                <c:pt idx="24">
                  <c:v>-0.51701799999999998</c:v>
                </c:pt>
                <c:pt idx="25">
                  <c:v>-0.52535500000000002</c:v>
                </c:pt>
                <c:pt idx="26">
                  <c:v>-0.52932500000000005</c:v>
                </c:pt>
                <c:pt idx="27">
                  <c:v>-0.53509099999999998</c:v>
                </c:pt>
                <c:pt idx="28">
                  <c:v>-0.539381</c:v>
                </c:pt>
                <c:pt idx="29">
                  <c:v>-0.54273499999999997</c:v>
                </c:pt>
                <c:pt idx="30">
                  <c:v>-0.541995</c:v>
                </c:pt>
                <c:pt idx="31">
                  <c:v>-0.55154199999999998</c:v>
                </c:pt>
                <c:pt idx="32">
                  <c:v>-0.587418</c:v>
                </c:pt>
                <c:pt idx="33">
                  <c:v>-0.60026400000000002</c:v>
                </c:pt>
                <c:pt idx="34">
                  <c:v>-0.623116</c:v>
                </c:pt>
                <c:pt idx="35">
                  <c:v>-0.63135399999999997</c:v>
                </c:pt>
                <c:pt idx="36">
                  <c:v>-0.65187300000000004</c:v>
                </c:pt>
                <c:pt idx="37">
                  <c:v>-0.65666500000000005</c:v>
                </c:pt>
                <c:pt idx="38">
                  <c:v>-0.67499200000000004</c:v>
                </c:pt>
                <c:pt idx="39">
                  <c:v>-0.67146899999999998</c:v>
                </c:pt>
                <c:pt idx="40">
                  <c:v>-0.68995200000000001</c:v>
                </c:pt>
                <c:pt idx="41">
                  <c:v>-0.69785799999999998</c:v>
                </c:pt>
                <c:pt idx="42">
                  <c:v>-0.70249499999999998</c:v>
                </c:pt>
                <c:pt idx="43">
                  <c:v>-0.65621600000000002</c:v>
                </c:pt>
                <c:pt idx="44">
                  <c:v>-0.67939300000000002</c:v>
                </c:pt>
                <c:pt idx="45">
                  <c:v>-0.68701800000000002</c:v>
                </c:pt>
                <c:pt idx="46">
                  <c:v>-0.69238500000000003</c:v>
                </c:pt>
                <c:pt idx="47">
                  <c:v>-0.70479700000000001</c:v>
                </c:pt>
                <c:pt idx="48">
                  <c:v>-0.70144899999999999</c:v>
                </c:pt>
                <c:pt idx="49">
                  <c:v>-0.70472999999999997</c:v>
                </c:pt>
                <c:pt idx="50">
                  <c:v>-0.73250800000000005</c:v>
                </c:pt>
                <c:pt idx="51">
                  <c:v>-0.732043</c:v>
                </c:pt>
                <c:pt idx="52">
                  <c:v>-0.74330399999999996</c:v>
                </c:pt>
                <c:pt idx="53">
                  <c:v>-0.75803299999999996</c:v>
                </c:pt>
                <c:pt idx="54">
                  <c:v>-0.75578699999999999</c:v>
                </c:pt>
                <c:pt idx="55">
                  <c:v>-0.76454599999999995</c:v>
                </c:pt>
                <c:pt idx="56">
                  <c:v>-0.75387099999999996</c:v>
                </c:pt>
                <c:pt idx="57">
                  <c:v>-0.77170000000000005</c:v>
                </c:pt>
                <c:pt idx="58">
                  <c:v>-0.79856000000000005</c:v>
                </c:pt>
                <c:pt idx="59">
                  <c:v>-0.80388899999999996</c:v>
                </c:pt>
                <c:pt idx="60">
                  <c:v>-0.79589299999999996</c:v>
                </c:pt>
                <c:pt idx="61">
                  <c:v>-0.81758399999999998</c:v>
                </c:pt>
                <c:pt idx="62">
                  <c:v>-0.80168899999999998</c:v>
                </c:pt>
                <c:pt idx="63">
                  <c:v>-0.83098899999999998</c:v>
                </c:pt>
                <c:pt idx="64">
                  <c:v>-0.83727200000000002</c:v>
                </c:pt>
                <c:pt idx="65">
                  <c:v>-0.84332700000000005</c:v>
                </c:pt>
                <c:pt idx="66">
                  <c:v>-0.84636500000000003</c:v>
                </c:pt>
                <c:pt idx="67">
                  <c:v>-0.85285699999999998</c:v>
                </c:pt>
                <c:pt idx="68">
                  <c:v>-0.85322900000000002</c:v>
                </c:pt>
                <c:pt idx="69">
                  <c:v>-0.84876799999999997</c:v>
                </c:pt>
                <c:pt idx="70">
                  <c:v>-0.86388799999999999</c:v>
                </c:pt>
                <c:pt idx="71">
                  <c:v>-0.88186699999999996</c:v>
                </c:pt>
                <c:pt idx="72">
                  <c:v>-0.87280500000000005</c:v>
                </c:pt>
                <c:pt idx="73">
                  <c:v>-0.90952999999999995</c:v>
                </c:pt>
                <c:pt idx="74">
                  <c:v>-0.90146599999999999</c:v>
                </c:pt>
                <c:pt idx="75">
                  <c:v>-0.91045100000000001</c:v>
                </c:pt>
                <c:pt idx="76">
                  <c:v>-0.94250500000000004</c:v>
                </c:pt>
                <c:pt idx="77">
                  <c:v>-0.95722700000000005</c:v>
                </c:pt>
                <c:pt idx="78">
                  <c:v>-0.92420800000000003</c:v>
                </c:pt>
                <c:pt idx="79">
                  <c:v>-0.924346</c:v>
                </c:pt>
                <c:pt idx="80">
                  <c:v>-1.000078</c:v>
                </c:pt>
                <c:pt idx="81">
                  <c:v>-0.979321</c:v>
                </c:pt>
                <c:pt idx="82">
                  <c:v>-1.007185</c:v>
                </c:pt>
                <c:pt idx="83">
                  <c:v>-1.025061</c:v>
                </c:pt>
                <c:pt idx="84">
                  <c:v>-1.04674</c:v>
                </c:pt>
                <c:pt idx="85">
                  <c:v>-1.0229220000000001</c:v>
                </c:pt>
                <c:pt idx="86">
                  <c:v>-1.050602</c:v>
                </c:pt>
                <c:pt idx="87">
                  <c:v>-1.0415000000000001</c:v>
                </c:pt>
                <c:pt idx="88">
                  <c:v>-1.0558529999999999</c:v>
                </c:pt>
                <c:pt idx="89">
                  <c:v>-1.075483</c:v>
                </c:pt>
                <c:pt idx="90">
                  <c:v>-1.0898969999999999</c:v>
                </c:pt>
                <c:pt idx="91">
                  <c:v>-1.080894</c:v>
                </c:pt>
                <c:pt idx="92">
                  <c:v>-1.0838540000000001</c:v>
                </c:pt>
                <c:pt idx="93">
                  <c:v>-1.0585370000000001</c:v>
                </c:pt>
                <c:pt idx="94">
                  <c:v>-1.085081</c:v>
                </c:pt>
                <c:pt idx="95">
                  <c:v>-1.078031</c:v>
                </c:pt>
                <c:pt idx="96">
                  <c:v>-1.093186</c:v>
                </c:pt>
                <c:pt idx="97">
                  <c:v>-1.1125659999999999</c:v>
                </c:pt>
                <c:pt idx="98">
                  <c:v>-1.0953489999999999</c:v>
                </c:pt>
                <c:pt idx="99">
                  <c:v>-1.1221289999999999</c:v>
                </c:pt>
                <c:pt idx="100">
                  <c:v>-1.104663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FA6-814E-81E2-505DFB885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-7.9360000000000003E-3</c:v>
                </c:pt>
                <c:pt idx="2">
                  <c:v>-1.451E-2</c:v>
                </c:pt>
                <c:pt idx="3">
                  <c:v>-1.4592000000000001E-2</c:v>
                </c:pt>
                <c:pt idx="4">
                  <c:v>-1.7070999999999999E-2</c:v>
                </c:pt>
                <c:pt idx="5">
                  <c:v>-4.5009E-2</c:v>
                </c:pt>
                <c:pt idx="6">
                  <c:v>-4.6226000000000003E-2</c:v>
                </c:pt>
                <c:pt idx="7">
                  <c:v>-5.2801000000000001E-2</c:v>
                </c:pt>
                <c:pt idx="8">
                  <c:v>-5.5011999999999998E-2</c:v>
                </c:pt>
                <c:pt idx="9">
                  <c:v>-5.7324E-2</c:v>
                </c:pt>
                <c:pt idx="10">
                  <c:v>-8.6111999999999994E-2</c:v>
                </c:pt>
                <c:pt idx="11">
                  <c:v>-9.5651E-2</c:v>
                </c:pt>
                <c:pt idx="12">
                  <c:v>-0.105111</c:v>
                </c:pt>
                <c:pt idx="13">
                  <c:v>-0.11129799999999999</c:v>
                </c:pt>
                <c:pt idx="14">
                  <c:v>-0.13996700000000001</c:v>
                </c:pt>
                <c:pt idx="15">
                  <c:v>-0.153696</c:v>
                </c:pt>
                <c:pt idx="16">
                  <c:v>-0.175841</c:v>
                </c:pt>
                <c:pt idx="17">
                  <c:v>-0.186971</c:v>
                </c:pt>
                <c:pt idx="18">
                  <c:v>-0.19258</c:v>
                </c:pt>
                <c:pt idx="19">
                  <c:v>-0.20146</c:v>
                </c:pt>
                <c:pt idx="20">
                  <c:v>-0.204065</c:v>
                </c:pt>
                <c:pt idx="21">
                  <c:v>-0.18062900000000001</c:v>
                </c:pt>
                <c:pt idx="22">
                  <c:v>-0.17929</c:v>
                </c:pt>
                <c:pt idx="23">
                  <c:v>-0.190612</c:v>
                </c:pt>
                <c:pt idx="24">
                  <c:v>-0.19714899999999999</c:v>
                </c:pt>
                <c:pt idx="25">
                  <c:v>-0.20255999999999999</c:v>
                </c:pt>
                <c:pt idx="26">
                  <c:v>-0.20824000000000001</c:v>
                </c:pt>
                <c:pt idx="27">
                  <c:v>-0.22294700000000001</c:v>
                </c:pt>
                <c:pt idx="28">
                  <c:v>-0.224742</c:v>
                </c:pt>
                <c:pt idx="29">
                  <c:v>-0.22936100000000001</c:v>
                </c:pt>
                <c:pt idx="30">
                  <c:v>-0.22261900000000001</c:v>
                </c:pt>
                <c:pt idx="31">
                  <c:v>-0.228579</c:v>
                </c:pt>
                <c:pt idx="32">
                  <c:v>-0.23565</c:v>
                </c:pt>
                <c:pt idx="33">
                  <c:v>-0.24266299999999999</c:v>
                </c:pt>
                <c:pt idx="34">
                  <c:v>-0.24660299999999999</c:v>
                </c:pt>
                <c:pt idx="35">
                  <c:v>-0.26374500000000001</c:v>
                </c:pt>
                <c:pt idx="36">
                  <c:v>-0.27997499999999997</c:v>
                </c:pt>
                <c:pt idx="37">
                  <c:v>-0.29628300000000002</c:v>
                </c:pt>
                <c:pt idx="38">
                  <c:v>-0.31431799999999999</c:v>
                </c:pt>
                <c:pt idx="39">
                  <c:v>-0.32800000000000001</c:v>
                </c:pt>
                <c:pt idx="40">
                  <c:v>-0.33194299999999999</c:v>
                </c:pt>
                <c:pt idx="41">
                  <c:v>-0.336399</c:v>
                </c:pt>
                <c:pt idx="42">
                  <c:v>-0.33431499999999997</c:v>
                </c:pt>
                <c:pt idx="43">
                  <c:v>-0.34103699999999998</c:v>
                </c:pt>
                <c:pt idx="44">
                  <c:v>-0.35408200000000001</c:v>
                </c:pt>
                <c:pt idx="45">
                  <c:v>-0.36062300000000003</c:v>
                </c:pt>
                <c:pt idx="46">
                  <c:v>-0.37020700000000001</c:v>
                </c:pt>
                <c:pt idx="47">
                  <c:v>-0.36842200000000003</c:v>
                </c:pt>
                <c:pt idx="48">
                  <c:v>-0.37426300000000001</c:v>
                </c:pt>
                <c:pt idx="49">
                  <c:v>-0.37868800000000002</c:v>
                </c:pt>
                <c:pt idx="50">
                  <c:v>-0.38633200000000001</c:v>
                </c:pt>
                <c:pt idx="51">
                  <c:v>-0.40845599999999999</c:v>
                </c:pt>
                <c:pt idx="52">
                  <c:v>-0.42069000000000001</c:v>
                </c:pt>
                <c:pt idx="53">
                  <c:v>-0.37255199999999999</c:v>
                </c:pt>
                <c:pt idx="54">
                  <c:v>-0.39048100000000002</c:v>
                </c:pt>
                <c:pt idx="55">
                  <c:v>-0.39364399999999999</c:v>
                </c:pt>
                <c:pt idx="56">
                  <c:v>-0.400169</c:v>
                </c:pt>
                <c:pt idx="57">
                  <c:v>-0.405335</c:v>
                </c:pt>
                <c:pt idx="58">
                  <c:v>-0.40960299999999999</c:v>
                </c:pt>
                <c:pt idx="59">
                  <c:v>-0.40230100000000002</c:v>
                </c:pt>
                <c:pt idx="60">
                  <c:v>-0.40472200000000003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2C-2C4E-8275-21A95D3FDEB5}"/>
            </c:ext>
          </c:extLst>
        </c:ser>
        <c:ser>
          <c:idx val="4"/>
          <c:order val="1"/>
          <c:tx>
            <c:strRef>
              <c:f>'gpt_delta-trend'!$U$2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-1.1958E-2</c:v>
                </c:pt>
                <c:pt idx="2">
                  <c:v>-1.7950000000000001E-2</c:v>
                </c:pt>
                <c:pt idx="3">
                  <c:v>-1.8016999999999998E-2</c:v>
                </c:pt>
                <c:pt idx="4">
                  <c:v>-2.3954E-2</c:v>
                </c:pt>
                <c:pt idx="5">
                  <c:v>-3.4486999999999997E-2</c:v>
                </c:pt>
                <c:pt idx="6">
                  <c:v>-2.9849000000000001E-2</c:v>
                </c:pt>
                <c:pt idx="7">
                  <c:v>-3.5493999999999998E-2</c:v>
                </c:pt>
                <c:pt idx="8">
                  <c:v>-4.7780000000000003E-2</c:v>
                </c:pt>
                <c:pt idx="9">
                  <c:v>-4.8580999999999999E-2</c:v>
                </c:pt>
                <c:pt idx="10">
                  <c:v>-0.112834</c:v>
                </c:pt>
                <c:pt idx="11">
                  <c:v>-0.125584</c:v>
                </c:pt>
                <c:pt idx="12">
                  <c:v>-0.12903100000000001</c:v>
                </c:pt>
                <c:pt idx="13">
                  <c:v>-0.126749</c:v>
                </c:pt>
                <c:pt idx="14">
                  <c:v>-0.14929000000000001</c:v>
                </c:pt>
                <c:pt idx="15">
                  <c:v>-0.16051099999999999</c:v>
                </c:pt>
                <c:pt idx="16">
                  <c:v>-0.164523</c:v>
                </c:pt>
                <c:pt idx="17">
                  <c:v>-0.17408199999999999</c:v>
                </c:pt>
                <c:pt idx="18">
                  <c:v>-0.17283799999999999</c:v>
                </c:pt>
                <c:pt idx="19">
                  <c:v>-0.17288999999999999</c:v>
                </c:pt>
                <c:pt idx="20">
                  <c:v>-0.16775599999999999</c:v>
                </c:pt>
                <c:pt idx="21">
                  <c:v>-0.17139499999999999</c:v>
                </c:pt>
                <c:pt idx="22">
                  <c:v>-0.156495</c:v>
                </c:pt>
                <c:pt idx="23">
                  <c:v>-0.166323</c:v>
                </c:pt>
                <c:pt idx="24">
                  <c:v>-0.17056499999999999</c:v>
                </c:pt>
                <c:pt idx="25">
                  <c:v>-0.16897000000000001</c:v>
                </c:pt>
                <c:pt idx="26">
                  <c:v>-0.16568099999999999</c:v>
                </c:pt>
                <c:pt idx="27">
                  <c:v>-0.17855699999999999</c:v>
                </c:pt>
                <c:pt idx="28">
                  <c:v>-0.184865</c:v>
                </c:pt>
                <c:pt idx="29">
                  <c:v>-0.18936800000000001</c:v>
                </c:pt>
                <c:pt idx="30">
                  <c:v>-0.18514600000000001</c:v>
                </c:pt>
                <c:pt idx="31">
                  <c:v>-0.190882</c:v>
                </c:pt>
                <c:pt idx="32">
                  <c:v>-0.19194600000000001</c:v>
                </c:pt>
                <c:pt idx="33">
                  <c:v>-0.19576399999999999</c:v>
                </c:pt>
                <c:pt idx="34">
                  <c:v>-0.20464199999999999</c:v>
                </c:pt>
                <c:pt idx="35">
                  <c:v>-0.20400299999999999</c:v>
                </c:pt>
                <c:pt idx="36">
                  <c:v>-0.20002300000000001</c:v>
                </c:pt>
                <c:pt idx="37">
                  <c:v>-0.20840400000000001</c:v>
                </c:pt>
                <c:pt idx="38">
                  <c:v>-0.20655599999999999</c:v>
                </c:pt>
                <c:pt idx="39">
                  <c:v>-0.21319399999999999</c:v>
                </c:pt>
                <c:pt idx="40">
                  <c:v>-0.22029699999999999</c:v>
                </c:pt>
                <c:pt idx="41">
                  <c:v>-0.220802</c:v>
                </c:pt>
                <c:pt idx="42">
                  <c:v>-0.21881100000000001</c:v>
                </c:pt>
                <c:pt idx="43">
                  <c:v>-0.219579</c:v>
                </c:pt>
                <c:pt idx="44">
                  <c:v>-0.22362099999999999</c:v>
                </c:pt>
                <c:pt idx="45">
                  <c:v>-0.22703699999999999</c:v>
                </c:pt>
                <c:pt idx="46">
                  <c:v>-0.23777699999999999</c:v>
                </c:pt>
                <c:pt idx="47">
                  <c:v>-0.24541399999999999</c:v>
                </c:pt>
                <c:pt idx="48">
                  <c:v>-0.25683800000000001</c:v>
                </c:pt>
                <c:pt idx="49">
                  <c:v>-0.26375799999999999</c:v>
                </c:pt>
                <c:pt idx="50">
                  <c:v>-0.27511999999999998</c:v>
                </c:pt>
                <c:pt idx="51">
                  <c:v>-0.27581299999999997</c:v>
                </c:pt>
                <c:pt idx="52">
                  <c:v>-0.28267799999999998</c:v>
                </c:pt>
                <c:pt idx="53">
                  <c:v>-0.27578900000000001</c:v>
                </c:pt>
                <c:pt idx="54">
                  <c:v>-0.28730699999999998</c:v>
                </c:pt>
                <c:pt idx="55">
                  <c:v>-0.28944300000000001</c:v>
                </c:pt>
                <c:pt idx="56">
                  <c:v>-0.29473199999999999</c:v>
                </c:pt>
                <c:pt idx="57">
                  <c:v>-0.30048200000000003</c:v>
                </c:pt>
                <c:pt idx="58">
                  <c:v>-0.30578499999999997</c:v>
                </c:pt>
                <c:pt idx="59">
                  <c:v>-0.31525999999999998</c:v>
                </c:pt>
                <c:pt idx="60">
                  <c:v>-0.33034000000000002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C-2C4E-8275-21A95D3FDEB5}"/>
            </c:ext>
          </c:extLst>
        </c:ser>
        <c:ser>
          <c:idx val="1"/>
          <c:order val="2"/>
          <c:tx>
            <c:strRef>
              <c:f>'gpt_delta-trend'!$V$2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-2.794E-3</c:v>
                </c:pt>
                <c:pt idx="2">
                  <c:v>6.6799999999999997E-4</c:v>
                </c:pt>
                <c:pt idx="3">
                  <c:v>1.841E-3</c:v>
                </c:pt>
                <c:pt idx="4">
                  <c:v>1.2389000000000001E-2</c:v>
                </c:pt>
                <c:pt idx="5">
                  <c:v>-3.9439999999999996E-3</c:v>
                </c:pt>
                <c:pt idx="6">
                  <c:v>5.9379999999999997E-3</c:v>
                </c:pt>
                <c:pt idx="7">
                  <c:v>1.3417999999999999E-2</c:v>
                </c:pt>
                <c:pt idx="8">
                  <c:v>1.0737E-2</c:v>
                </c:pt>
                <c:pt idx="9">
                  <c:v>9.2549999999999993E-3</c:v>
                </c:pt>
                <c:pt idx="10">
                  <c:v>2.5460000000000001E-3</c:v>
                </c:pt>
                <c:pt idx="11">
                  <c:v>5.757E-3</c:v>
                </c:pt>
                <c:pt idx="12">
                  <c:v>9.4799999999999995E-4</c:v>
                </c:pt>
                <c:pt idx="13">
                  <c:v>-1.1969999999999999E-3</c:v>
                </c:pt>
                <c:pt idx="14">
                  <c:v>-7.9100000000000004E-3</c:v>
                </c:pt>
                <c:pt idx="15">
                  <c:v>-4.7460000000000002E-3</c:v>
                </c:pt>
                <c:pt idx="16">
                  <c:v>-1.4189999999999999E-3</c:v>
                </c:pt>
                <c:pt idx="17">
                  <c:v>-4.6319999999999998E-3</c:v>
                </c:pt>
                <c:pt idx="18">
                  <c:v>1.2279999999999999E-3</c:v>
                </c:pt>
                <c:pt idx="19">
                  <c:v>2.6719999999999999E-3</c:v>
                </c:pt>
                <c:pt idx="20">
                  <c:v>-1.884E-3</c:v>
                </c:pt>
                <c:pt idx="21">
                  <c:v>8.0199999999999994E-3</c:v>
                </c:pt>
                <c:pt idx="22">
                  <c:v>1.8089000000000001E-2</c:v>
                </c:pt>
                <c:pt idx="23">
                  <c:v>1.3979999999999999E-2</c:v>
                </c:pt>
                <c:pt idx="24">
                  <c:v>1.3184E-2</c:v>
                </c:pt>
                <c:pt idx="25">
                  <c:v>2.8367E-2</c:v>
                </c:pt>
                <c:pt idx="26">
                  <c:v>3.1583E-2</c:v>
                </c:pt>
                <c:pt idx="27">
                  <c:v>1.3341E-2</c:v>
                </c:pt>
                <c:pt idx="28">
                  <c:v>1.4536E-2</c:v>
                </c:pt>
                <c:pt idx="29">
                  <c:v>2.2327E-2</c:v>
                </c:pt>
                <c:pt idx="30">
                  <c:v>2.1309999999999999E-2</c:v>
                </c:pt>
                <c:pt idx="31">
                  <c:v>2.4292000000000001E-2</c:v>
                </c:pt>
                <c:pt idx="32">
                  <c:v>2.0836E-2</c:v>
                </c:pt>
                <c:pt idx="33">
                  <c:v>2.2245999999999998E-2</c:v>
                </c:pt>
                <c:pt idx="34">
                  <c:v>2.4988E-2</c:v>
                </c:pt>
                <c:pt idx="35">
                  <c:v>-9.6539999999999994E-3</c:v>
                </c:pt>
                <c:pt idx="36">
                  <c:v>-2.9588E-2</c:v>
                </c:pt>
                <c:pt idx="37">
                  <c:v>-2.5978000000000001E-2</c:v>
                </c:pt>
                <c:pt idx="38">
                  <c:v>-2.5464000000000001E-2</c:v>
                </c:pt>
                <c:pt idx="39">
                  <c:v>-2.5059000000000001E-2</c:v>
                </c:pt>
                <c:pt idx="40">
                  <c:v>-2.1568E-2</c:v>
                </c:pt>
                <c:pt idx="41">
                  <c:v>-0.11808399999999999</c:v>
                </c:pt>
                <c:pt idx="42">
                  <c:v>-0.126639</c:v>
                </c:pt>
                <c:pt idx="43">
                  <c:v>-0.122863</c:v>
                </c:pt>
                <c:pt idx="44">
                  <c:v>-0.127775</c:v>
                </c:pt>
                <c:pt idx="45">
                  <c:v>-0.12617700000000001</c:v>
                </c:pt>
                <c:pt idx="46">
                  <c:v>-0.12659599999999999</c:v>
                </c:pt>
                <c:pt idx="47">
                  <c:v>-0.129001</c:v>
                </c:pt>
                <c:pt idx="48">
                  <c:v>-0.136517</c:v>
                </c:pt>
                <c:pt idx="49">
                  <c:v>-0.13631299999999999</c:v>
                </c:pt>
                <c:pt idx="50">
                  <c:v>-0.12388299999999999</c:v>
                </c:pt>
                <c:pt idx="51">
                  <c:v>-0.119895</c:v>
                </c:pt>
                <c:pt idx="52">
                  <c:v>-0.12640499999999999</c:v>
                </c:pt>
                <c:pt idx="53">
                  <c:v>-0.14791799999999999</c:v>
                </c:pt>
                <c:pt idx="54">
                  <c:v>-0.16298399999999999</c:v>
                </c:pt>
                <c:pt idx="55">
                  <c:v>-0.15869900000000001</c:v>
                </c:pt>
                <c:pt idx="56">
                  <c:v>-0.14626</c:v>
                </c:pt>
                <c:pt idx="57">
                  <c:v>-0.14923900000000001</c:v>
                </c:pt>
                <c:pt idx="58">
                  <c:v>-0.14882699999999999</c:v>
                </c:pt>
                <c:pt idx="59">
                  <c:v>-0.137184</c:v>
                </c:pt>
                <c:pt idx="60">
                  <c:v>-0.162244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42C-2C4E-8275-21A95D3FDEB5}"/>
            </c:ext>
          </c:extLst>
        </c:ser>
        <c:ser>
          <c:idx val="2"/>
          <c:order val="3"/>
          <c:tx>
            <c:strRef>
              <c:f>'gpt_delta-trend'!$W$2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'gpt_delta-trend'!$W$3:$W$64</c:f>
              <c:numCache>
                <c:formatCode>General</c:formatCode>
                <c:ptCount val="62"/>
                <c:pt idx="0">
                  <c:v>0</c:v>
                </c:pt>
                <c:pt idx="1">
                  <c:v>-1.9726E-2</c:v>
                </c:pt>
                <c:pt idx="2">
                  <c:v>-1.6496E-2</c:v>
                </c:pt>
                <c:pt idx="3">
                  <c:v>-6.4440000000000001E-3</c:v>
                </c:pt>
                <c:pt idx="4">
                  <c:v>-3.9199999999999999E-3</c:v>
                </c:pt>
                <c:pt idx="5">
                  <c:v>-1.494E-2</c:v>
                </c:pt>
                <c:pt idx="6">
                  <c:v>-2.3092000000000001E-2</c:v>
                </c:pt>
                <c:pt idx="7">
                  <c:v>-2.1231E-2</c:v>
                </c:pt>
                <c:pt idx="8">
                  <c:v>-8.4622000000000003E-2</c:v>
                </c:pt>
                <c:pt idx="9">
                  <c:v>-7.8552999999999998E-2</c:v>
                </c:pt>
                <c:pt idx="10">
                  <c:v>-8.4583000000000005E-2</c:v>
                </c:pt>
                <c:pt idx="11">
                  <c:v>-9.3447000000000002E-2</c:v>
                </c:pt>
                <c:pt idx="12">
                  <c:v>-9.6551999999999999E-2</c:v>
                </c:pt>
                <c:pt idx="13">
                  <c:v>-9.5682000000000003E-2</c:v>
                </c:pt>
                <c:pt idx="14">
                  <c:v>-0.115797</c:v>
                </c:pt>
                <c:pt idx="15">
                  <c:v>-9.6892000000000006E-2</c:v>
                </c:pt>
                <c:pt idx="16">
                  <c:v>-8.5081000000000004E-2</c:v>
                </c:pt>
                <c:pt idx="17">
                  <c:v>-9.9465999999999999E-2</c:v>
                </c:pt>
                <c:pt idx="18">
                  <c:v>-9.4108999999999998E-2</c:v>
                </c:pt>
                <c:pt idx="19">
                  <c:v>-8.3704000000000001E-2</c:v>
                </c:pt>
                <c:pt idx="20">
                  <c:v>-8.4750000000000006E-2</c:v>
                </c:pt>
                <c:pt idx="21">
                  <c:v>-0.102856</c:v>
                </c:pt>
                <c:pt idx="22">
                  <c:v>-3.6577999999999999E-2</c:v>
                </c:pt>
                <c:pt idx="23">
                  <c:v>-3.9609999999999999E-2</c:v>
                </c:pt>
                <c:pt idx="24">
                  <c:v>-3.7630999999999998E-2</c:v>
                </c:pt>
                <c:pt idx="25">
                  <c:v>-4.6767000000000003E-2</c:v>
                </c:pt>
                <c:pt idx="26">
                  <c:v>-5.0659999999999997E-2</c:v>
                </c:pt>
                <c:pt idx="27">
                  <c:v>-7.1631E-2</c:v>
                </c:pt>
                <c:pt idx="28">
                  <c:v>-7.1795999999999999E-2</c:v>
                </c:pt>
                <c:pt idx="29">
                  <c:v>-7.1603E-2</c:v>
                </c:pt>
                <c:pt idx="30">
                  <c:v>-6.7429000000000003E-2</c:v>
                </c:pt>
                <c:pt idx="31">
                  <c:v>-8.5620000000000002E-3</c:v>
                </c:pt>
                <c:pt idx="32">
                  <c:v>-9.3123999999999998E-2</c:v>
                </c:pt>
                <c:pt idx="33">
                  <c:v>-5.8997000000000001E-2</c:v>
                </c:pt>
                <c:pt idx="34">
                  <c:v>-7.0163000000000003E-2</c:v>
                </c:pt>
                <c:pt idx="35">
                  <c:v>-7.0152999999999993E-2</c:v>
                </c:pt>
                <c:pt idx="36">
                  <c:v>-8.5875999999999994E-2</c:v>
                </c:pt>
                <c:pt idx="37">
                  <c:v>7.3125999999999997E-2</c:v>
                </c:pt>
                <c:pt idx="38">
                  <c:v>9.3718999999999997E-2</c:v>
                </c:pt>
                <c:pt idx="39">
                  <c:v>8.4361000000000005E-2</c:v>
                </c:pt>
                <c:pt idx="40">
                  <c:v>6.2491999999999999E-2</c:v>
                </c:pt>
                <c:pt idx="41">
                  <c:v>-0.12823799999999999</c:v>
                </c:pt>
                <c:pt idx="42">
                  <c:v>-0.14086399999999999</c:v>
                </c:pt>
                <c:pt idx="43">
                  <c:v>-0.15296699999999999</c:v>
                </c:pt>
                <c:pt idx="44">
                  <c:v>-0.149508</c:v>
                </c:pt>
                <c:pt idx="45">
                  <c:v>-0.15593699999999999</c:v>
                </c:pt>
                <c:pt idx="46">
                  <c:v>-0.179092</c:v>
                </c:pt>
                <c:pt idx="47">
                  <c:v>-0.22414700000000001</c:v>
                </c:pt>
                <c:pt idx="48">
                  <c:v>-0.253025</c:v>
                </c:pt>
                <c:pt idx="49">
                  <c:v>-0.253</c:v>
                </c:pt>
                <c:pt idx="50">
                  <c:v>5.0429999999999997E-3</c:v>
                </c:pt>
                <c:pt idx="51">
                  <c:v>-7.5159000000000004E-2</c:v>
                </c:pt>
                <c:pt idx="52">
                  <c:v>5.6087999999999999E-2</c:v>
                </c:pt>
                <c:pt idx="53">
                  <c:v>4.2314999999999998E-2</c:v>
                </c:pt>
                <c:pt idx="54">
                  <c:v>6.0277999999999998E-2</c:v>
                </c:pt>
                <c:pt idx="55">
                  <c:v>6.7012000000000002E-2</c:v>
                </c:pt>
                <c:pt idx="56">
                  <c:v>0.16107299999999999</c:v>
                </c:pt>
                <c:pt idx="57">
                  <c:v>0.171374</c:v>
                </c:pt>
                <c:pt idx="58">
                  <c:v>0.20955199999999999</c:v>
                </c:pt>
                <c:pt idx="59">
                  <c:v>0.24857399999999999</c:v>
                </c:pt>
                <c:pt idx="60">
                  <c:v>0.218504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42C-2C4E-8275-21A95D3FDEB5}"/>
            </c:ext>
          </c:extLst>
        </c:ser>
        <c:ser>
          <c:idx val="3"/>
          <c:order val="4"/>
          <c:tx>
            <c:strRef>
              <c:f>'gpt_delta-trend'!$X$2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-6.2350000000000001E-3</c:v>
                </c:pt>
                <c:pt idx="2">
                  <c:v>-1.2638E-2</c:v>
                </c:pt>
                <c:pt idx="3">
                  <c:v>-1.4276E-2</c:v>
                </c:pt>
                <c:pt idx="4">
                  <c:v>-2.5555999999999999E-2</c:v>
                </c:pt>
                <c:pt idx="5">
                  <c:v>-4.9283E-2</c:v>
                </c:pt>
                <c:pt idx="6">
                  <c:v>-5.5661000000000002E-2</c:v>
                </c:pt>
                <c:pt idx="7">
                  <c:v>-5.8397999999999999E-2</c:v>
                </c:pt>
                <c:pt idx="8">
                  <c:v>-6.2765000000000001E-2</c:v>
                </c:pt>
                <c:pt idx="9">
                  <c:v>-6.9308999999999996E-2</c:v>
                </c:pt>
                <c:pt idx="10">
                  <c:v>-9.9557000000000007E-2</c:v>
                </c:pt>
                <c:pt idx="11">
                  <c:v>-0.107104</c:v>
                </c:pt>
                <c:pt idx="12">
                  <c:v>-0.109904</c:v>
                </c:pt>
                <c:pt idx="13">
                  <c:v>-0.109156</c:v>
                </c:pt>
                <c:pt idx="14">
                  <c:v>-0.15395200000000001</c:v>
                </c:pt>
                <c:pt idx="15">
                  <c:v>-0.165966</c:v>
                </c:pt>
                <c:pt idx="16">
                  <c:v>-0.16802400000000001</c:v>
                </c:pt>
                <c:pt idx="17">
                  <c:v>-0.182335</c:v>
                </c:pt>
                <c:pt idx="18">
                  <c:v>-0.19348699999999999</c:v>
                </c:pt>
                <c:pt idx="19">
                  <c:v>-0.203407</c:v>
                </c:pt>
                <c:pt idx="20">
                  <c:v>-0.20946600000000001</c:v>
                </c:pt>
                <c:pt idx="21">
                  <c:v>-0.224496</c:v>
                </c:pt>
                <c:pt idx="22">
                  <c:v>-0.22858100000000001</c:v>
                </c:pt>
                <c:pt idx="23">
                  <c:v>-0.22790299999999999</c:v>
                </c:pt>
                <c:pt idx="24">
                  <c:v>-0.225045</c:v>
                </c:pt>
                <c:pt idx="25">
                  <c:v>-0.22928100000000001</c:v>
                </c:pt>
                <c:pt idx="26">
                  <c:v>-0.241448</c:v>
                </c:pt>
                <c:pt idx="27">
                  <c:v>-0.25183100000000003</c:v>
                </c:pt>
                <c:pt idx="28">
                  <c:v>-0.25076399999999999</c:v>
                </c:pt>
                <c:pt idx="29">
                  <c:v>-0.257272</c:v>
                </c:pt>
                <c:pt idx="30">
                  <c:v>-0.26214799999999999</c:v>
                </c:pt>
                <c:pt idx="31">
                  <c:v>-0.26458300000000001</c:v>
                </c:pt>
                <c:pt idx="32">
                  <c:v>-0.26440000000000002</c:v>
                </c:pt>
                <c:pt idx="33">
                  <c:v>-0.27696900000000002</c:v>
                </c:pt>
                <c:pt idx="34">
                  <c:v>-0.287657</c:v>
                </c:pt>
                <c:pt idx="35">
                  <c:v>-0.29048600000000002</c:v>
                </c:pt>
                <c:pt idx="36">
                  <c:v>-0.29942999999999997</c:v>
                </c:pt>
                <c:pt idx="37">
                  <c:v>-0.30650100000000002</c:v>
                </c:pt>
                <c:pt idx="38">
                  <c:v>-0.30590499999999998</c:v>
                </c:pt>
                <c:pt idx="39">
                  <c:v>-0.301927</c:v>
                </c:pt>
                <c:pt idx="40">
                  <c:v>-0.30595299999999997</c:v>
                </c:pt>
                <c:pt idx="41">
                  <c:v>-0.32240600000000003</c:v>
                </c:pt>
                <c:pt idx="42">
                  <c:v>-0.31444299999999997</c:v>
                </c:pt>
                <c:pt idx="43">
                  <c:v>-0.32419700000000001</c:v>
                </c:pt>
                <c:pt idx="44">
                  <c:v>-0.32497199999999998</c:v>
                </c:pt>
                <c:pt idx="45">
                  <c:v>-0.32832600000000001</c:v>
                </c:pt>
                <c:pt idx="46">
                  <c:v>-0.34331699999999998</c:v>
                </c:pt>
                <c:pt idx="47">
                  <c:v>-0.34300199999999997</c:v>
                </c:pt>
                <c:pt idx="48">
                  <c:v>-0.35639199999999999</c:v>
                </c:pt>
                <c:pt idx="49">
                  <c:v>-0.35026299999999999</c:v>
                </c:pt>
                <c:pt idx="50">
                  <c:v>-0.35744599999999999</c:v>
                </c:pt>
                <c:pt idx="51">
                  <c:v>-0.36683500000000002</c:v>
                </c:pt>
                <c:pt idx="52">
                  <c:v>-0.37926799999999999</c:v>
                </c:pt>
                <c:pt idx="53">
                  <c:v>-0.372861</c:v>
                </c:pt>
                <c:pt idx="54">
                  <c:v>-0.39555200000000001</c:v>
                </c:pt>
                <c:pt idx="55">
                  <c:v>-0.39734700000000001</c:v>
                </c:pt>
                <c:pt idx="56">
                  <c:v>-0.39606599999999997</c:v>
                </c:pt>
                <c:pt idx="57">
                  <c:v>-0.39356200000000002</c:v>
                </c:pt>
                <c:pt idx="58">
                  <c:v>-0.39549899999999999</c:v>
                </c:pt>
                <c:pt idx="59">
                  <c:v>-0.40173999999999999</c:v>
                </c:pt>
                <c:pt idx="60">
                  <c:v>-0.39962799999999998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42C-2C4E-8275-21A95D3F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-8.4445000000000006E-2</c:v>
                </c:pt>
                <c:pt idx="2">
                  <c:v>-0.11240799999999999</c:v>
                </c:pt>
                <c:pt idx="3">
                  <c:v>-0.121174</c:v>
                </c:pt>
                <c:pt idx="4">
                  <c:v>-0.126136</c:v>
                </c:pt>
                <c:pt idx="5">
                  <c:v>-0.13112199999999999</c:v>
                </c:pt>
                <c:pt idx="6">
                  <c:v>-0.137599</c:v>
                </c:pt>
                <c:pt idx="7">
                  <c:v>-0.14524000000000001</c:v>
                </c:pt>
                <c:pt idx="8">
                  <c:v>-0.14821200000000001</c:v>
                </c:pt>
                <c:pt idx="9">
                  <c:v>-0.15473700000000001</c:v>
                </c:pt>
                <c:pt idx="10">
                  <c:v>-0.18604100000000001</c:v>
                </c:pt>
                <c:pt idx="11">
                  <c:v>-0.21342800000000001</c:v>
                </c:pt>
                <c:pt idx="12">
                  <c:v>-0.22059599999999999</c:v>
                </c:pt>
                <c:pt idx="13">
                  <c:v>-0.22523799999999999</c:v>
                </c:pt>
                <c:pt idx="14">
                  <c:v>-0.23044600000000001</c:v>
                </c:pt>
                <c:pt idx="15">
                  <c:v>-0.23901800000000001</c:v>
                </c:pt>
                <c:pt idx="16">
                  <c:v>-0.25402000000000002</c:v>
                </c:pt>
                <c:pt idx="17">
                  <c:v>-0.27870699999999998</c:v>
                </c:pt>
                <c:pt idx="18">
                  <c:v>-0.29543199999999997</c:v>
                </c:pt>
                <c:pt idx="19">
                  <c:v>-0.29816199999999998</c:v>
                </c:pt>
                <c:pt idx="20">
                  <c:v>-0.30195499999999997</c:v>
                </c:pt>
                <c:pt idx="21">
                  <c:v>-0.30426999999999998</c:v>
                </c:pt>
                <c:pt idx="22">
                  <c:v>-0.30509999999999998</c:v>
                </c:pt>
                <c:pt idx="23">
                  <c:v>-0.30682900000000002</c:v>
                </c:pt>
                <c:pt idx="24">
                  <c:v>-0.31484200000000001</c:v>
                </c:pt>
                <c:pt idx="25">
                  <c:v>-0.32573099999999999</c:v>
                </c:pt>
                <c:pt idx="26">
                  <c:v>-0.33031300000000002</c:v>
                </c:pt>
                <c:pt idx="27">
                  <c:v>-0.33133400000000002</c:v>
                </c:pt>
                <c:pt idx="28">
                  <c:v>-0.33553300000000003</c:v>
                </c:pt>
                <c:pt idx="29">
                  <c:v>-0.33595900000000001</c:v>
                </c:pt>
                <c:pt idx="30">
                  <c:v>-0.33761600000000003</c:v>
                </c:pt>
                <c:pt idx="31">
                  <c:v>-0.34054099999999998</c:v>
                </c:pt>
                <c:pt idx="32">
                  <c:v>-0.34857199999999999</c:v>
                </c:pt>
                <c:pt idx="33">
                  <c:v>-0.352858</c:v>
                </c:pt>
                <c:pt idx="34">
                  <c:v>-0.35674699999999998</c:v>
                </c:pt>
                <c:pt idx="35">
                  <c:v>-0.36060199999999998</c:v>
                </c:pt>
                <c:pt idx="36">
                  <c:v>-0.36510799999999999</c:v>
                </c:pt>
                <c:pt idx="37">
                  <c:v>-0.36638199999999999</c:v>
                </c:pt>
                <c:pt idx="38">
                  <c:v>-0.37127700000000002</c:v>
                </c:pt>
                <c:pt idx="39">
                  <c:v>-0.38076399999999999</c:v>
                </c:pt>
                <c:pt idx="40">
                  <c:v>-0.38107600000000003</c:v>
                </c:pt>
                <c:pt idx="41">
                  <c:v>-0.39288299999999998</c:v>
                </c:pt>
                <c:pt idx="42">
                  <c:v>-0.43323</c:v>
                </c:pt>
                <c:pt idx="43">
                  <c:v>-0.43426599999999999</c:v>
                </c:pt>
                <c:pt idx="44">
                  <c:v>-0.43484</c:v>
                </c:pt>
                <c:pt idx="45">
                  <c:v>-0.43410500000000002</c:v>
                </c:pt>
                <c:pt idx="46">
                  <c:v>-0.43905499999999997</c:v>
                </c:pt>
                <c:pt idx="47">
                  <c:v>-0.43883499999999998</c:v>
                </c:pt>
                <c:pt idx="48">
                  <c:v>-0.44595200000000002</c:v>
                </c:pt>
                <c:pt idx="49">
                  <c:v>-0.44752399999999998</c:v>
                </c:pt>
                <c:pt idx="50">
                  <c:v>-0.44821299999999997</c:v>
                </c:pt>
                <c:pt idx="51">
                  <c:v>-0.448411</c:v>
                </c:pt>
                <c:pt idx="52">
                  <c:v>-0.45293600000000001</c:v>
                </c:pt>
                <c:pt idx="53">
                  <c:v>-0.45784900000000001</c:v>
                </c:pt>
                <c:pt idx="54">
                  <c:v>-0.45769399999999999</c:v>
                </c:pt>
                <c:pt idx="55">
                  <c:v>-0.45586300000000002</c:v>
                </c:pt>
                <c:pt idx="56">
                  <c:v>-0.46728599999999998</c:v>
                </c:pt>
                <c:pt idx="57">
                  <c:v>-0.46785199999999999</c:v>
                </c:pt>
                <c:pt idx="58">
                  <c:v>-0.46990500000000002</c:v>
                </c:pt>
                <c:pt idx="59">
                  <c:v>-0.471331</c:v>
                </c:pt>
                <c:pt idx="60">
                  <c:v>-0.47712900000000003</c:v>
                </c:pt>
                <c:pt idx="61">
                  <c:v>-0.47968899999999998</c:v>
                </c:pt>
                <c:pt idx="62">
                  <c:v>-0.48111199999999998</c:v>
                </c:pt>
                <c:pt idx="63">
                  <c:v>-0.48039799999999999</c:v>
                </c:pt>
                <c:pt idx="64">
                  <c:v>-0.49390899999999999</c:v>
                </c:pt>
                <c:pt idx="65">
                  <c:v>-0.49854999999999999</c:v>
                </c:pt>
                <c:pt idx="66">
                  <c:v>-0.50196300000000005</c:v>
                </c:pt>
                <c:pt idx="67">
                  <c:v>-0.50378900000000004</c:v>
                </c:pt>
                <c:pt idx="68">
                  <c:v>-0.50891900000000001</c:v>
                </c:pt>
                <c:pt idx="69">
                  <c:v>-0.50701200000000002</c:v>
                </c:pt>
                <c:pt idx="70">
                  <c:v>-0.50940700000000005</c:v>
                </c:pt>
                <c:pt idx="71">
                  <c:v>-0.51985999999999999</c:v>
                </c:pt>
                <c:pt idx="72">
                  <c:v>-0.52184600000000003</c:v>
                </c:pt>
                <c:pt idx="73">
                  <c:v>-0.524559</c:v>
                </c:pt>
                <c:pt idx="74">
                  <c:v>-0.52682099999999998</c:v>
                </c:pt>
                <c:pt idx="75">
                  <c:v>-0.53271999999999997</c:v>
                </c:pt>
                <c:pt idx="76">
                  <c:v>-0.53187300000000004</c:v>
                </c:pt>
                <c:pt idx="77">
                  <c:v>-0.52690599999999999</c:v>
                </c:pt>
                <c:pt idx="78">
                  <c:v>-0.54415100000000005</c:v>
                </c:pt>
                <c:pt idx="79">
                  <c:v>-0.553369</c:v>
                </c:pt>
                <c:pt idx="80">
                  <c:v>-0.555616</c:v>
                </c:pt>
                <c:pt idx="81">
                  <c:v>-0.55472600000000005</c:v>
                </c:pt>
                <c:pt idx="82">
                  <c:v>-0.55678799999999995</c:v>
                </c:pt>
                <c:pt idx="83">
                  <c:v>-0.56045900000000004</c:v>
                </c:pt>
                <c:pt idx="84">
                  <c:v>-0.56922600000000001</c:v>
                </c:pt>
                <c:pt idx="85">
                  <c:v>-0.56873399999999996</c:v>
                </c:pt>
                <c:pt idx="86">
                  <c:v>-0.57202799999999998</c:v>
                </c:pt>
                <c:pt idx="87">
                  <c:v>-0.57070200000000004</c:v>
                </c:pt>
                <c:pt idx="88">
                  <c:v>-0.58446699999999996</c:v>
                </c:pt>
                <c:pt idx="89">
                  <c:v>-0.585121</c:v>
                </c:pt>
                <c:pt idx="90">
                  <c:v>-0.59036999999999995</c:v>
                </c:pt>
                <c:pt idx="91">
                  <c:v>-0.59279000000000004</c:v>
                </c:pt>
                <c:pt idx="92">
                  <c:v>-0.60924999999999996</c:v>
                </c:pt>
                <c:pt idx="93">
                  <c:v>-0.61018700000000003</c:v>
                </c:pt>
                <c:pt idx="94">
                  <c:v>-0.61017999999999994</c:v>
                </c:pt>
                <c:pt idx="95">
                  <c:v>-0.62241000000000002</c:v>
                </c:pt>
                <c:pt idx="96">
                  <c:v>-0.63756500000000005</c:v>
                </c:pt>
                <c:pt idx="97">
                  <c:v>-0.642818</c:v>
                </c:pt>
                <c:pt idx="98">
                  <c:v>-0.62901600000000002</c:v>
                </c:pt>
                <c:pt idx="99">
                  <c:v>-0.653559</c:v>
                </c:pt>
                <c:pt idx="100">
                  <c:v>-0.66263499999999997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26-9343-B740-1D3B894D432C}"/>
            </c:ext>
          </c:extLst>
        </c:ser>
        <c:ser>
          <c:idx val="4"/>
          <c:order val="1"/>
          <c:tx>
            <c:strRef>
              <c:f>'gemini_delta-trend'!$C$2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-3.9243E-2</c:v>
                </c:pt>
                <c:pt idx="3">
                  <c:v>-5.1411999999999999E-2</c:v>
                </c:pt>
                <c:pt idx="4">
                  <c:v>-4.9668999999999998E-2</c:v>
                </c:pt>
                <c:pt idx="5">
                  <c:v>-4.8418000000000003E-2</c:v>
                </c:pt>
                <c:pt idx="6">
                  <c:v>-4.4873999999999997E-2</c:v>
                </c:pt>
                <c:pt idx="7">
                  <c:v>-3.3915000000000001E-2</c:v>
                </c:pt>
                <c:pt idx="8">
                  <c:v>-5.3494E-2</c:v>
                </c:pt>
                <c:pt idx="9">
                  <c:v>-3.3628999999999999E-2</c:v>
                </c:pt>
                <c:pt idx="10">
                  <c:v>-3.1125E-2</c:v>
                </c:pt>
                <c:pt idx="11">
                  <c:v>-1.3259999999999999E-2</c:v>
                </c:pt>
                <c:pt idx="12">
                  <c:v>-7.8779999999999996E-3</c:v>
                </c:pt>
                <c:pt idx="13">
                  <c:v>-9.6450000000000008E-3</c:v>
                </c:pt>
                <c:pt idx="14">
                  <c:v>-2.0702999999999999E-2</c:v>
                </c:pt>
                <c:pt idx="15">
                  <c:v>-2.9912999999999999E-2</c:v>
                </c:pt>
                <c:pt idx="16">
                  <c:v>-5.772E-2</c:v>
                </c:pt>
                <c:pt idx="17">
                  <c:v>-6.8732000000000001E-2</c:v>
                </c:pt>
                <c:pt idx="18">
                  <c:v>-6.6632999999999998E-2</c:v>
                </c:pt>
                <c:pt idx="19">
                  <c:v>-4.4108000000000001E-2</c:v>
                </c:pt>
                <c:pt idx="20">
                  <c:v>-2.9291999999999999E-2</c:v>
                </c:pt>
                <c:pt idx="21">
                  <c:v>-3.1047999999999999E-2</c:v>
                </c:pt>
                <c:pt idx="22">
                  <c:v>-2.9058E-2</c:v>
                </c:pt>
                <c:pt idx="23">
                  <c:v>-3.7055999999999999E-2</c:v>
                </c:pt>
                <c:pt idx="24">
                  <c:v>-4.5683000000000001E-2</c:v>
                </c:pt>
                <c:pt idx="25">
                  <c:v>-5.2052000000000001E-2</c:v>
                </c:pt>
                <c:pt idx="26">
                  <c:v>-4.5433000000000001E-2</c:v>
                </c:pt>
                <c:pt idx="27">
                  <c:v>-4.2689999999999999E-2</c:v>
                </c:pt>
                <c:pt idx="28">
                  <c:v>-4.0120000000000003E-2</c:v>
                </c:pt>
                <c:pt idx="29">
                  <c:v>-3.8593000000000002E-2</c:v>
                </c:pt>
                <c:pt idx="30">
                  <c:v>-3.7768999999999997E-2</c:v>
                </c:pt>
                <c:pt idx="31">
                  <c:v>-4.8964000000000001E-2</c:v>
                </c:pt>
                <c:pt idx="32">
                  <c:v>-5.6305000000000001E-2</c:v>
                </c:pt>
                <c:pt idx="33">
                  <c:v>-6.2213999999999998E-2</c:v>
                </c:pt>
                <c:pt idx="34">
                  <c:v>-6.012E-2</c:v>
                </c:pt>
                <c:pt idx="35">
                  <c:v>-5.7935E-2</c:v>
                </c:pt>
                <c:pt idx="36">
                  <c:v>-5.5426999999999997E-2</c:v>
                </c:pt>
                <c:pt idx="37">
                  <c:v>-4.0104000000000001E-2</c:v>
                </c:pt>
                <c:pt idx="38">
                  <c:v>-6.0284999999999998E-2</c:v>
                </c:pt>
                <c:pt idx="39">
                  <c:v>-6.2698000000000004E-2</c:v>
                </c:pt>
                <c:pt idx="40">
                  <c:v>-7.8032000000000004E-2</c:v>
                </c:pt>
                <c:pt idx="41">
                  <c:v>-0.108446</c:v>
                </c:pt>
                <c:pt idx="42">
                  <c:v>-0.108879</c:v>
                </c:pt>
                <c:pt idx="43">
                  <c:v>-0.107525</c:v>
                </c:pt>
                <c:pt idx="44">
                  <c:v>-0.106016</c:v>
                </c:pt>
                <c:pt idx="45">
                  <c:v>-0.104876</c:v>
                </c:pt>
                <c:pt idx="46">
                  <c:v>-0.10589899999999999</c:v>
                </c:pt>
                <c:pt idx="47">
                  <c:v>-0.105507</c:v>
                </c:pt>
                <c:pt idx="48">
                  <c:v>-0.10114099999999999</c:v>
                </c:pt>
                <c:pt idx="49">
                  <c:v>-9.5812999999999995E-2</c:v>
                </c:pt>
                <c:pt idx="50">
                  <c:v>-9.7448999999999994E-2</c:v>
                </c:pt>
                <c:pt idx="51">
                  <c:v>-8.4536E-2</c:v>
                </c:pt>
                <c:pt idx="52">
                  <c:v>-8.3895999999999998E-2</c:v>
                </c:pt>
                <c:pt idx="53">
                  <c:v>-8.8229000000000002E-2</c:v>
                </c:pt>
                <c:pt idx="54">
                  <c:v>-8.0426999999999998E-2</c:v>
                </c:pt>
                <c:pt idx="55">
                  <c:v>-5.7045999999999999E-2</c:v>
                </c:pt>
                <c:pt idx="56">
                  <c:v>-6.2151999999999999E-2</c:v>
                </c:pt>
                <c:pt idx="57">
                  <c:v>-4.2502999999999999E-2</c:v>
                </c:pt>
                <c:pt idx="58">
                  <c:v>-3.8739999999999998E-3</c:v>
                </c:pt>
                <c:pt idx="59">
                  <c:v>3.2354000000000001E-2</c:v>
                </c:pt>
                <c:pt idx="60">
                  <c:v>4.0022000000000002E-2</c:v>
                </c:pt>
                <c:pt idx="61">
                  <c:v>4.3098999999999998E-2</c:v>
                </c:pt>
                <c:pt idx="62">
                  <c:v>4.2525E-2</c:v>
                </c:pt>
                <c:pt idx="63">
                  <c:v>3.8968000000000003E-2</c:v>
                </c:pt>
                <c:pt idx="64">
                  <c:v>3.5812999999999998E-2</c:v>
                </c:pt>
                <c:pt idx="65">
                  <c:v>3.5958999999999998E-2</c:v>
                </c:pt>
                <c:pt idx="66">
                  <c:v>3.5261000000000001E-2</c:v>
                </c:pt>
                <c:pt idx="67">
                  <c:v>3.1038E-2</c:v>
                </c:pt>
                <c:pt idx="68">
                  <c:v>3.1267000000000003E-2</c:v>
                </c:pt>
                <c:pt idx="69">
                  <c:v>3.5535999999999998E-2</c:v>
                </c:pt>
                <c:pt idx="70">
                  <c:v>4.2098999999999998E-2</c:v>
                </c:pt>
                <c:pt idx="71">
                  <c:v>6.2602000000000005E-2</c:v>
                </c:pt>
                <c:pt idx="72">
                  <c:v>9.7425999999999999E-2</c:v>
                </c:pt>
                <c:pt idx="73">
                  <c:v>0.114428</c:v>
                </c:pt>
                <c:pt idx="74">
                  <c:v>0.123807</c:v>
                </c:pt>
                <c:pt idx="75">
                  <c:v>8.9033000000000001E-2</c:v>
                </c:pt>
                <c:pt idx="76">
                  <c:v>9.8485000000000003E-2</c:v>
                </c:pt>
                <c:pt idx="77">
                  <c:v>7.9404000000000002E-2</c:v>
                </c:pt>
                <c:pt idx="78">
                  <c:v>7.7003000000000002E-2</c:v>
                </c:pt>
                <c:pt idx="79">
                  <c:v>7.8328999999999996E-2</c:v>
                </c:pt>
                <c:pt idx="80">
                  <c:v>8.5349999999999995E-2</c:v>
                </c:pt>
                <c:pt idx="81">
                  <c:v>8.4874000000000005E-2</c:v>
                </c:pt>
                <c:pt idx="82">
                  <c:v>7.9977000000000006E-2</c:v>
                </c:pt>
                <c:pt idx="83">
                  <c:v>7.7606999999999995E-2</c:v>
                </c:pt>
                <c:pt idx="84">
                  <c:v>8.2844000000000001E-2</c:v>
                </c:pt>
                <c:pt idx="85">
                  <c:v>0.103121</c:v>
                </c:pt>
                <c:pt idx="86">
                  <c:v>0.104479</c:v>
                </c:pt>
                <c:pt idx="87">
                  <c:v>0.102136</c:v>
                </c:pt>
                <c:pt idx="88">
                  <c:v>0.11414000000000001</c:v>
                </c:pt>
                <c:pt idx="89">
                  <c:v>0.11153200000000001</c:v>
                </c:pt>
                <c:pt idx="90">
                  <c:v>0.119244</c:v>
                </c:pt>
                <c:pt idx="91">
                  <c:v>0.11874700000000001</c:v>
                </c:pt>
                <c:pt idx="92">
                  <c:v>0.119093</c:v>
                </c:pt>
                <c:pt idx="93">
                  <c:v>0.139927</c:v>
                </c:pt>
                <c:pt idx="94">
                  <c:v>0.13885800000000001</c:v>
                </c:pt>
                <c:pt idx="95">
                  <c:v>0.13189899999999999</c:v>
                </c:pt>
                <c:pt idx="96">
                  <c:v>0.138351</c:v>
                </c:pt>
                <c:pt idx="97">
                  <c:v>0.14361399999999999</c:v>
                </c:pt>
                <c:pt idx="98">
                  <c:v>0.14302599999999999</c:v>
                </c:pt>
                <c:pt idx="99">
                  <c:v>0.15010100000000001</c:v>
                </c:pt>
                <c:pt idx="100">
                  <c:v>0.144481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6-9343-B740-1D3B894D432C}"/>
            </c:ext>
          </c:extLst>
        </c:ser>
        <c:ser>
          <c:idx val="1"/>
          <c:order val="2"/>
          <c:tx>
            <c:strRef>
              <c:f>'gemini_delta-trend'!$D$2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-4.803E-3</c:v>
                </c:pt>
                <c:pt idx="2">
                  <c:v>-7.8149999999999997E-2</c:v>
                </c:pt>
                <c:pt idx="3">
                  <c:v>-0.101579</c:v>
                </c:pt>
                <c:pt idx="4">
                  <c:v>-0.10130699999999999</c:v>
                </c:pt>
                <c:pt idx="5">
                  <c:v>-0.102967</c:v>
                </c:pt>
                <c:pt idx="6">
                  <c:v>-9.3126E-2</c:v>
                </c:pt>
                <c:pt idx="7">
                  <c:v>-7.0021E-2</c:v>
                </c:pt>
                <c:pt idx="8">
                  <c:v>-2.1638000000000001E-2</c:v>
                </c:pt>
                <c:pt idx="9">
                  <c:v>7.2630000000000004E-3</c:v>
                </c:pt>
                <c:pt idx="10">
                  <c:v>5.2011000000000002E-2</c:v>
                </c:pt>
                <c:pt idx="11">
                  <c:v>8.1920000000000007E-2</c:v>
                </c:pt>
                <c:pt idx="12">
                  <c:v>9.3369999999999995E-2</c:v>
                </c:pt>
                <c:pt idx="13">
                  <c:v>0.11937399999999999</c:v>
                </c:pt>
                <c:pt idx="14">
                  <c:v>0.11715100000000001</c:v>
                </c:pt>
                <c:pt idx="15">
                  <c:v>0.107317</c:v>
                </c:pt>
                <c:pt idx="16">
                  <c:v>6.0928999999999997E-2</c:v>
                </c:pt>
                <c:pt idx="17">
                  <c:v>5.7343999999999999E-2</c:v>
                </c:pt>
                <c:pt idx="18">
                  <c:v>6.5431000000000003E-2</c:v>
                </c:pt>
                <c:pt idx="19">
                  <c:v>7.0870000000000002E-2</c:v>
                </c:pt>
                <c:pt idx="20">
                  <c:v>7.3110999999999995E-2</c:v>
                </c:pt>
                <c:pt idx="21">
                  <c:v>8.3552000000000001E-2</c:v>
                </c:pt>
                <c:pt idx="22">
                  <c:v>8.9236999999999997E-2</c:v>
                </c:pt>
                <c:pt idx="23">
                  <c:v>8.5004999999999997E-2</c:v>
                </c:pt>
                <c:pt idx="24">
                  <c:v>8.5176000000000002E-2</c:v>
                </c:pt>
                <c:pt idx="25">
                  <c:v>7.7953999999999996E-2</c:v>
                </c:pt>
                <c:pt idx="26">
                  <c:v>9.5363000000000003E-2</c:v>
                </c:pt>
                <c:pt idx="27">
                  <c:v>9.3600000000000003E-2</c:v>
                </c:pt>
                <c:pt idx="28">
                  <c:v>9.8221000000000003E-2</c:v>
                </c:pt>
                <c:pt idx="29">
                  <c:v>0.103215</c:v>
                </c:pt>
                <c:pt idx="30">
                  <c:v>0.107055</c:v>
                </c:pt>
                <c:pt idx="31">
                  <c:v>9.4344999999999998E-2</c:v>
                </c:pt>
                <c:pt idx="32">
                  <c:v>8.9855000000000004E-2</c:v>
                </c:pt>
                <c:pt idx="33">
                  <c:v>9.9889000000000006E-2</c:v>
                </c:pt>
                <c:pt idx="34">
                  <c:v>0.116218</c:v>
                </c:pt>
                <c:pt idx="35">
                  <c:v>0.119977</c:v>
                </c:pt>
                <c:pt idx="36">
                  <c:v>0.14210200000000001</c:v>
                </c:pt>
                <c:pt idx="37">
                  <c:v>0.14691000000000001</c:v>
                </c:pt>
                <c:pt idx="38">
                  <c:v>9.7638000000000003E-2</c:v>
                </c:pt>
                <c:pt idx="39">
                  <c:v>0.117033</c:v>
                </c:pt>
                <c:pt idx="40">
                  <c:v>9.7961999999999994E-2</c:v>
                </c:pt>
                <c:pt idx="41">
                  <c:v>0.11007599999999999</c:v>
                </c:pt>
                <c:pt idx="42">
                  <c:v>0.127084</c:v>
                </c:pt>
                <c:pt idx="43">
                  <c:v>0.138213</c:v>
                </c:pt>
                <c:pt idx="44">
                  <c:v>0.14437800000000001</c:v>
                </c:pt>
                <c:pt idx="45">
                  <c:v>0.174398</c:v>
                </c:pt>
                <c:pt idx="46">
                  <c:v>0.19942099999999999</c:v>
                </c:pt>
                <c:pt idx="47">
                  <c:v>0.205458</c:v>
                </c:pt>
                <c:pt idx="48">
                  <c:v>0.21524499999999999</c:v>
                </c:pt>
                <c:pt idx="49">
                  <c:v>0.22585</c:v>
                </c:pt>
                <c:pt idx="50">
                  <c:v>0.22712399999999999</c:v>
                </c:pt>
                <c:pt idx="51">
                  <c:v>0.221557</c:v>
                </c:pt>
                <c:pt idx="52">
                  <c:v>0.22303999999999999</c:v>
                </c:pt>
                <c:pt idx="53">
                  <c:v>0.236848</c:v>
                </c:pt>
                <c:pt idx="54">
                  <c:v>0.23577500000000001</c:v>
                </c:pt>
                <c:pt idx="55">
                  <c:v>0.21692400000000001</c:v>
                </c:pt>
                <c:pt idx="56">
                  <c:v>0.23219699999999999</c:v>
                </c:pt>
                <c:pt idx="57">
                  <c:v>0.23466600000000001</c:v>
                </c:pt>
                <c:pt idx="58">
                  <c:v>0.243421</c:v>
                </c:pt>
                <c:pt idx="59">
                  <c:v>0.25467000000000001</c:v>
                </c:pt>
                <c:pt idx="60">
                  <c:v>0.272063</c:v>
                </c:pt>
                <c:pt idx="61">
                  <c:v>0.26959300000000003</c:v>
                </c:pt>
                <c:pt idx="62">
                  <c:v>0.275121</c:v>
                </c:pt>
                <c:pt idx="63">
                  <c:v>0.26417099999999999</c:v>
                </c:pt>
                <c:pt idx="64">
                  <c:v>0.27312500000000001</c:v>
                </c:pt>
                <c:pt idx="65">
                  <c:v>0.27927999999999997</c:v>
                </c:pt>
                <c:pt idx="66">
                  <c:v>0.28265400000000002</c:v>
                </c:pt>
                <c:pt idx="67">
                  <c:v>0.29516599999999998</c:v>
                </c:pt>
                <c:pt idx="68">
                  <c:v>0.29501100000000002</c:v>
                </c:pt>
                <c:pt idx="69">
                  <c:v>0.29803299999999999</c:v>
                </c:pt>
                <c:pt idx="70">
                  <c:v>0.28484599999999999</c:v>
                </c:pt>
                <c:pt idx="71">
                  <c:v>0.29089500000000001</c:v>
                </c:pt>
                <c:pt idx="72">
                  <c:v>0.28994399999999998</c:v>
                </c:pt>
                <c:pt idx="73">
                  <c:v>0.31479400000000002</c:v>
                </c:pt>
                <c:pt idx="74">
                  <c:v>0.31606200000000001</c:v>
                </c:pt>
                <c:pt idx="75">
                  <c:v>0.30999100000000002</c:v>
                </c:pt>
                <c:pt idx="76">
                  <c:v>0.34929399999999999</c:v>
                </c:pt>
                <c:pt idx="77">
                  <c:v>0.31940299999999999</c:v>
                </c:pt>
                <c:pt idx="78">
                  <c:v>0.34456100000000001</c:v>
                </c:pt>
                <c:pt idx="79">
                  <c:v>0.293236</c:v>
                </c:pt>
                <c:pt idx="80">
                  <c:v>0.34345300000000001</c:v>
                </c:pt>
                <c:pt idx="81">
                  <c:v>0.35148400000000002</c:v>
                </c:pt>
                <c:pt idx="82">
                  <c:v>0.34575499999999998</c:v>
                </c:pt>
                <c:pt idx="83">
                  <c:v>0.34848400000000002</c:v>
                </c:pt>
                <c:pt idx="84">
                  <c:v>0.35584399999999999</c:v>
                </c:pt>
                <c:pt idx="85">
                  <c:v>0.35264200000000001</c:v>
                </c:pt>
                <c:pt idx="86">
                  <c:v>0.37177300000000002</c:v>
                </c:pt>
                <c:pt idx="87">
                  <c:v>0.36229299999999998</c:v>
                </c:pt>
                <c:pt idx="88">
                  <c:v>0.36906800000000001</c:v>
                </c:pt>
                <c:pt idx="89">
                  <c:v>0.38678200000000001</c:v>
                </c:pt>
                <c:pt idx="90">
                  <c:v>0.39526600000000001</c:v>
                </c:pt>
                <c:pt idx="91">
                  <c:v>0.38856600000000002</c:v>
                </c:pt>
                <c:pt idx="92">
                  <c:v>0.39358399999999999</c:v>
                </c:pt>
                <c:pt idx="93">
                  <c:v>0.40661799999999998</c:v>
                </c:pt>
                <c:pt idx="94">
                  <c:v>0.40584300000000001</c:v>
                </c:pt>
                <c:pt idx="95">
                  <c:v>0.39471099999999998</c:v>
                </c:pt>
                <c:pt idx="96">
                  <c:v>0.40411399999999997</c:v>
                </c:pt>
                <c:pt idx="97">
                  <c:v>0.40925299999999998</c:v>
                </c:pt>
                <c:pt idx="98">
                  <c:v>0.38297700000000001</c:v>
                </c:pt>
                <c:pt idx="99">
                  <c:v>0.38300899999999999</c:v>
                </c:pt>
                <c:pt idx="100">
                  <c:v>0.376863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26-9343-B740-1D3B894D432C}"/>
            </c:ext>
          </c:extLst>
        </c:ser>
        <c:ser>
          <c:idx val="2"/>
          <c:order val="3"/>
          <c:tx>
            <c:strRef>
              <c:f>'gemini_delta-trend'!$E$2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'gemini_delta-trend'!$E$3:$E$104</c:f>
              <c:numCache>
                <c:formatCode>General</c:formatCode>
                <c:ptCount val="102"/>
                <c:pt idx="0">
                  <c:v>0</c:v>
                </c:pt>
                <c:pt idx="1">
                  <c:v>-4.3019000000000002E-2</c:v>
                </c:pt>
                <c:pt idx="2">
                  <c:v>-9.6965999999999997E-2</c:v>
                </c:pt>
                <c:pt idx="3">
                  <c:v>-0.11494799999999999</c:v>
                </c:pt>
                <c:pt idx="4">
                  <c:v>-0.110362</c:v>
                </c:pt>
                <c:pt idx="5">
                  <c:v>-0.109315</c:v>
                </c:pt>
                <c:pt idx="6">
                  <c:v>-9.4569E-2</c:v>
                </c:pt>
                <c:pt idx="7">
                  <c:v>-7.7064999999999995E-2</c:v>
                </c:pt>
                <c:pt idx="8">
                  <c:v>-5.7390999999999998E-2</c:v>
                </c:pt>
                <c:pt idx="9">
                  <c:v>-2.2020999999999999E-2</c:v>
                </c:pt>
                <c:pt idx="10">
                  <c:v>2.7306E-2</c:v>
                </c:pt>
                <c:pt idx="11">
                  <c:v>2.5611999999999999E-2</c:v>
                </c:pt>
                <c:pt idx="12">
                  <c:v>3.6653999999999999E-2</c:v>
                </c:pt>
                <c:pt idx="13">
                  <c:v>4.7232000000000003E-2</c:v>
                </c:pt>
                <c:pt idx="14">
                  <c:v>4.1708000000000002E-2</c:v>
                </c:pt>
                <c:pt idx="15">
                  <c:v>3.8080000000000003E-2</c:v>
                </c:pt>
                <c:pt idx="16">
                  <c:v>2.7820000000000001E-2</c:v>
                </c:pt>
                <c:pt idx="17">
                  <c:v>3.7959E-2</c:v>
                </c:pt>
                <c:pt idx="18">
                  <c:v>4.1279000000000003E-2</c:v>
                </c:pt>
                <c:pt idx="19">
                  <c:v>6.2700000000000006E-2</c:v>
                </c:pt>
                <c:pt idx="20">
                  <c:v>6.2873999999999999E-2</c:v>
                </c:pt>
                <c:pt idx="21">
                  <c:v>6.5837000000000007E-2</c:v>
                </c:pt>
                <c:pt idx="22">
                  <c:v>8.2188999999999998E-2</c:v>
                </c:pt>
                <c:pt idx="23">
                  <c:v>8.8548000000000002E-2</c:v>
                </c:pt>
                <c:pt idx="24">
                  <c:v>8.2888000000000003E-2</c:v>
                </c:pt>
                <c:pt idx="25">
                  <c:v>8.6364999999999997E-2</c:v>
                </c:pt>
                <c:pt idx="26">
                  <c:v>8.9907000000000001E-2</c:v>
                </c:pt>
                <c:pt idx="27">
                  <c:v>9.5082E-2</c:v>
                </c:pt>
                <c:pt idx="28">
                  <c:v>0.100816</c:v>
                </c:pt>
                <c:pt idx="29">
                  <c:v>9.9625000000000005E-2</c:v>
                </c:pt>
                <c:pt idx="30">
                  <c:v>0.10352699999999999</c:v>
                </c:pt>
                <c:pt idx="31">
                  <c:v>9.1053999999999996E-2</c:v>
                </c:pt>
                <c:pt idx="32">
                  <c:v>8.5011000000000003E-2</c:v>
                </c:pt>
                <c:pt idx="33">
                  <c:v>0.11061</c:v>
                </c:pt>
                <c:pt idx="34">
                  <c:v>0.11949799999999999</c:v>
                </c:pt>
                <c:pt idx="35">
                  <c:v>0.13738</c:v>
                </c:pt>
                <c:pt idx="36">
                  <c:v>0.13473199999999999</c:v>
                </c:pt>
                <c:pt idx="37">
                  <c:v>0.13197800000000001</c:v>
                </c:pt>
                <c:pt idx="38">
                  <c:v>0.20039499999999999</c:v>
                </c:pt>
                <c:pt idx="39">
                  <c:v>0.22359499999999999</c:v>
                </c:pt>
                <c:pt idx="40">
                  <c:v>0.20178599999999999</c:v>
                </c:pt>
                <c:pt idx="41">
                  <c:v>0.18662400000000001</c:v>
                </c:pt>
                <c:pt idx="42">
                  <c:v>0.20794499999999999</c:v>
                </c:pt>
                <c:pt idx="43">
                  <c:v>0.23521800000000001</c:v>
                </c:pt>
                <c:pt idx="44">
                  <c:v>0.240676</c:v>
                </c:pt>
                <c:pt idx="45">
                  <c:v>0.205621</c:v>
                </c:pt>
                <c:pt idx="46">
                  <c:v>0.22227</c:v>
                </c:pt>
                <c:pt idx="47">
                  <c:v>0.21787100000000001</c:v>
                </c:pt>
                <c:pt idx="48">
                  <c:v>0.218921</c:v>
                </c:pt>
                <c:pt idx="49">
                  <c:v>0.22004899999999999</c:v>
                </c:pt>
                <c:pt idx="50">
                  <c:v>0.21779200000000001</c:v>
                </c:pt>
                <c:pt idx="51">
                  <c:v>0.21768399999999999</c:v>
                </c:pt>
                <c:pt idx="52">
                  <c:v>0.25066699999999997</c:v>
                </c:pt>
                <c:pt idx="53">
                  <c:v>0.28407900000000003</c:v>
                </c:pt>
                <c:pt idx="54">
                  <c:v>0.28481200000000001</c:v>
                </c:pt>
                <c:pt idx="55">
                  <c:v>0.28401399999999999</c:v>
                </c:pt>
                <c:pt idx="56">
                  <c:v>0.30848700000000001</c:v>
                </c:pt>
                <c:pt idx="57">
                  <c:v>0.31883099999999998</c:v>
                </c:pt>
                <c:pt idx="58">
                  <c:v>0.321774</c:v>
                </c:pt>
                <c:pt idx="59">
                  <c:v>0.34723700000000002</c:v>
                </c:pt>
                <c:pt idx="60">
                  <c:v>0.37437100000000001</c:v>
                </c:pt>
                <c:pt idx="61">
                  <c:v>0.38029499999999999</c:v>
                </c:pt>
                <c:pt idx="62">
                  <c:v>0.37986399999999998</c:v>
                </c:pt>
                <c:pt idx="63">
                  <c:v>0.37597700000000001</c:v>
                </c:pt>
                <c:pt idx="64">
                  <c:v>0.37821300000000002</c:v>
                </c:pt>
                <c:pt idx="65">
                  <c:v>0.35309000000000001</c:v>
                </c:pt>
                <c:pt idx="66">
                  <c:v>0.36710399999999999</c:v>
                </c:pt>
                <c:pt idx="67">
                  <c:v>0.36657499999999998</c:v>
                </c:pt>
                <c:pt idx="68">
                  <c:v>0.35942600000000002</c:v>
                </c:pt>
                <c:pt idx="69">
                  <c:v>0.362784</c:v>
                </c:pt>
                <c:pt idx="70">
                  <c:v>0.35134799999999999</c:v>
                </c:pt>
                <c:pt idx="71">
                  <c:v>0.37413800000000003</c:v>
                </c:pt>
                <c:pt idx="72">
                  <c:v>0.35513</c:v>
                </c:pt>
                <c:pt idx="73">
                  <c:v>0.38974900000000001</c:v>
                </c:pt>
                <c:pt idx="74">
                  <c:v>0.36355799999999999</c:v>
                </c:pt>
                <c:pt idx="75">
                  <c:v>0.37597900000000001</c:v>
                </c:pt>
                <c:pt idx="76">
                  <c:v>0.40586899999999998</c:v>
                </c:pt>
                <c:pt idx="77">
                  <c:v>0.38116699999999998</c:v>
                </c:pt>
                <c:pt idx="78">
                  <c:v>0.39125799999999999</c:v>
                </c:pt>
                <c:pt idx="79">
                  <c:v>0.279808</c:v>
                </c:pt>
                <c:pt idx="80">
                  <c:v>0.32259300000000002</c:v>
                </c:pt>
                <c:pt idx="81">
                  <c:v>0.32846900000000001</c:v>
                </c:pt>
                <c:pt idx="82">
                  <c:v>0.32537199999999999</c:v>
                </c:pt>
                <c:pt idx="83">
                  <c:v>0.30838199999999999</c:v>
                </c:pt>
                <c:pt idx="84">
                  <c:v>0.32091399999999998</c:v>
                </c:pt>
                <c:pt idx="85">
                  <c:v>0.303948</c:v>
                </c:pt>
                <c:pt idx="86">
                  <c:v>0.32974599999999998</c:v>
                </c:pt>
                <c:pt idx="87">
                  <c:v>0.32776</c:v>
                </c:pt>
                <c:pt idx="88">
                  <c:v>0.32809500000000003</c:v>
                </c:pt>
                <c:pt idx="89">
                  <c:v>0.32174900000000001</c:v>
                </c:pt>
                <c:pt idx="90">
                  <c:v>0.33953899999999998</c:v>
                </c:pt>
                <c:pt idx="91">
                  <c:v>0.34110099999999999</c:v>
                </c:pt>
                <c:pt idx="92">
                  <c:v>0.33590399999999998</c:v>
                </c:pt>
                <c:pt idx="93">
                  <c:v>0.34911700000000001</c:v>
                </c:pt>
                <c:pt idx="94">
                  <c:v>0.35438900000000001</c:v>
                </c:pt>
                <c:pt idx="95">
                  <c:v>0.35019400000000001</c:v>
                </c:pt>
                <c:pt idx="96">
                  <c:v>0.35638399999999998</c:v>
                </c:pt>
                <c:pt idx="97">
                  <c:v>0.36750500000000003</c:v>
                </c:pt>
                <c:pt idx="98">
                  <c:v>0.34936200000000001</c:v>
                </c:pt>
                <c:pt idx="99">
                  <c:v>0.35172999999999999</c:v>
                </c:pt>
                <c:pt idx="100">
                  <c:v>0.34220800000000001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26-9343-B740-1D3B894D432C}"/>
            </c:ext>
          </c:extLst>
        </c:ser>
        <c:ser>
          <c:idx val="3"/>
          <c:order val="4"/>
          <c:tx>
            <c:strRef>
              <c:f>'gemini_delta-trend'!$F$2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-7.2971999999999995E-2</c:v>
                </c:pt>
                <c:pt idx="2">
                  <c:v>-0.113084</c:v>
                </c:pt>
                <c:pt idx="3">
                  <c:v>-0.16247400000000001</c:v>
                </c:pt>
                <c:pt idx="4">
                  <c:v>-0.193882</c:v>
                </c:pt>
                <c:pt idx="5">
                  <c:v>-0.20161599999999999</c:v>
                </c:pt>
                <c:pt idx="6">
                  <c:v>-0.207092</c:v>
                </c:pt>
                <c:pt idx="7">
                  <c:v>-0.21219299999999999</c:v>
                </c:pt>
                <c:pt idx="8">
                  <c:v>-0.218666</c:v>
                </c:pt>
                <c:pt idx="9">
                  <c:v>-0.236961</c:v>
                </c:pt>
                <c:pt idx="10">
                  <c:v>-0.266789</c:v>
                </c:pt>
                <c:pt idx="11">
                  <c:v>-0.28633900000000001</c:v>
                </c:pt>
                <c:pt idx="12">
                  <c:v>-0.29375099999999998</c:v>
                </c:pt>
                <c:pt idx="13">
                  <c:v>-0.29422199999999998</c:v>
                </c:pt>
                <c:pt idx="14">
                  <c:v>-0.297151</c:v>
                </c:pt>
                <c:pt idx="15">
                  <c:v>-0.30562</c:v>
                </c:pt>
                <c:pt idx="16">
                  <c:v>-0.31481599999999998</c:v>
                </c:pt>
                <c:pt idx="17">
                  <c:v>-0.32980199999999998</c:v>
                </c:pt>
                <c:pt idx="18">
                  <c:v>-0.34658600000000001</c:v>
                </c:pt>
                <c:pt idx="19">
                  <c:v>-0.34898800000000002</c:v>
                </c:pt>
                <c:pt idx="20">
                  <c:v>-0.35278500000000002</c:v>
                </c:pt>
                <c:pt idx="21">
                  <c:v>-0.35486600000000001</c:v>
                </c:pt>
                <c:pt idx="22">
                  <c:v>-0.35625400000000002</c:v>
                </c:pt>
                <c:pt idx="23">
                  <c:v>-0.35719200000000001</c:v>
                </c:pt>
                <c:pt idx="24">
                  <c:v>-0.36571100000000001</c:v>
                </c:pt>
                <c:pt idx="25">
                  <c:v>-0.37426700000000002</c:v>
                </c:pt>
                <c:pt idx="26">
                  <c:v>-0.374778</c:v>
                </c:pt>
                <c:pt idx="27">
                  <c:v>-0.37573400000000001</c:v>
                </c:pt>
                <c:pt idx="28">
                  <c:v>-0.37881100000000001</c:v>
                </c:pt>
                <c:pt idx="29">
                  <c:v>-0.379608</c:v>
                </c:pt>
                <c:pt idx="30">
                  <c:v>-0.381525</c:v>
                </c:pt>
                <c:pt idx="31">
                  <c:v>-0.38258199999999998</c:v>
                </c:pt>
                <c:pt idx="32">
                  <c:v>-0.392646</c:v>
                </c:pt>
                <c:pt idx="33">
                  <c:v>-0.39827800000000002</c:v>
                </c:pt>
                <c:pt idx="34">
                  <c:v>-0.40667799999999998</c:v>
                </c:pt>
                <c:pt idx="35">
                  <c:v>-0.41418300000000002</c:v>
                </c:pt>
                <c:pt idx="36">
                  <c:v>-0.41503800000000002</c:v>
                </c:pt>
                <c:pt idx="37">
                  <c:v>-0.41644999999999999</c:v>
                </c:pt>
                <c:pt idx="38">
                  <c:v>-0.42281200000000002</c:v>
                </c:pt>
                <c:pt idx="39">
                  <c:v>-0.43225200000000003</c:v>
                </c:pt>
                <c:pt idx="40">
                  <c:v>-0.43006899999999998</c:v>
                </c:pt>
                <c:pt idx="41">
                  <c:v>-0.44571899999999998</c:v>
                </c:pt>
                <c:pt idx="42">
                  <c:v>-0.44939000000000001</c:v>
                </c:pt>
                <c:pt idx="43">
                  <c:v>-0.44901400000000002</c:v>
                </c:pt>
                <c:pt idx="44">
                  <c:v>-0.45430700000000002</c:v>
                </c:pt>
                <c:pt idx="45">
                  <c:v>-0.45498499999999997</c:v>
                </c:pt>
                <c:pt idx="46">
                  <c:v>-0.45854200000000001</c:v>
                </c:pt>
                <c:pt idx="47">
                  <c:v>-0.46533200000000002</c:v>
                </c:pt>
                <c:pt idx="48">
                  <c:v>-0.47117999999999999</c:v>
                </c:pt>
                <c:pt idx="49">
                  <c:v>-0.47297299999999998</c:v>
                </c:pt>
                <c:pt idx="50">
                  <c:v>-0.47410999999999998</c:v>
                </c:pt>
                <c:pt idx="51">
                  <c:v>-0.474325</c:v>
                </c:pt>
                <c:pt idx="52">
                  <c:v>-0.477379</c:v>
                </c:pt>
                <c:pt idx="53">
                  <c:v>-0.48341899999999999</c:v>
                </c:pt>
                <c:pt idx="54">
                  <c:v>-0.48319499999999999</c:v>
                </c:pt>
                <c:pt idx="55">
                  <c:v>-0.480462</c:v>
                </c:pt>
                <c:pt idx="56">
                  <c:v>-0.49348700000000001</c:v>
                </c:pt>
                <c:pt idx="57">
                  <c:v>-0.49435699999999999</c:v>
                </c:pt>
                <c:pt idx="58">
                  <c:v>-0.494973</c:v>
                </c:pt>
                <c:pt idx="59">
                  <c:v>-0.49460700000000002</c:v>
                </c:pt>
                <c:pt idx="60">
                  <c:v>-0.50112900000000005</c:v>
                </c:pt>
                <c:pt idx="61">
                  <c:v>-0.50348300000000001</c:v>
                </c:pt>
                <c:pt idx="62">
                  <c:v>-0.50292700000000001</c:v>
                </c:pt>
                <c:pt idx="63">
                  <c:v>-0.51039999999999996</c:v>
                </c:pt>
                <c:pt idx="64">
                  <c:v>-0.51872600000000002</c:v>
                </c:pt>
                <c:pt idx="65">
                  <c:v>-0.52269900000000002</c:v>
                </c:pt>
                <c:pt idx="66">
                  <c:v>-0.52481999999999995</c:v>
                </c:pt>
                <c:pt idx="67">
                  <c:v>-0.52707800000000005</c:v>
                </c:pt>
                <c:pt idx="68">
                  <c:v>-0.53236700000000003</c:v>
                </c:pt>
                <c:pt idx="69">
                  <c:v>-0.53104499999999999</c:v>
                </c:pt>
                <c:pt idx="70">
                  <c:v>-0.53114300000000003</c:v>
                </c:pt>
                <c:pt idx="71">
                  <c:v>-0.542686</c:v>
                </c:pt>
                <c:pt idx="72">
                  <c:v>-0.54362500000000002</c:v>
                </c:pt>
                <c:pt idx="73">
                  <c:v>-0.54421699999999995</c:v>
                </c:pt>
                <c:pt idx="74">
                  <c:v>-0.53554299999999999</c:v>
                </c:pt>
                <c:pt idx="75">
                  <c:v>-0.56361600000000001</c:v>
                </c:pt>
                <c:pt idx="76">
                  <c:v>-0.565527</c:v>
                </c:pt>
                <c:pt idx="77">
                  <c:v>-0.56144499999999997</c:v>
                </c:pt>
                <c:pt idx="78">
                  <c:v>-0.57044899999999998</c:v>
                </c:pt>
                <c:pt idx="79">
                  <c:v>-0.57787299999999997</c:v>
                </c:pt>
                <c:pt idx="80">
                  <c:v>-0.58107900000000001</c:v>
                </c:pt>
                <c:pt idx="81">
                  <c:v>-0.58047000000000004</c:v>
                </c:pt>
                <c:pt idx="82">
                  <c:v>-0.57948200000000005</c:v>
                </c:pt>
                <c:pt idx="83">
                  <c:v>-0.58505799999999997</c:v>
                </c:pt>
                <c:pt idx="84">
                  <c:v>-0.59004900000000005</c:v>
                </c:pt>
                <c:pt idx="85">
                  <c:v>-0.58795500000000001</c:v>
                </c:pt>
                <c:pt idx="86">
                  <c:v>-0.58878699999999995</c:v>
                </c:pt>
                <c:pt idx="87">
                  <c:v>-0.595549</c:v>
                </c:pt>
                <c:pt idx="88">
                  <c:v>-0.60117200000000004</c:v>
                </c:pt>
                <c:pt idx="89">
                  <c:v>-0.59613499999999997</c:v>
                </c:pt>
                <c:pt idx="90">
                  <c:v>-0.61109400000000003</c:v>
                </c:pt>
                <c:pt idx="91">
                  <c:v>-0.60726199999999997</c:v>
                </c:pt>
                <c:pt idx="92">
                  <c:v>-0.61734599999999995</c:v>
                </c:pt>
                <c:pt idx="93">
                  <c:v>-0.61893900000000002</c:v>
                </c:pt>
                <c:pt idx="94">
                  <c:v>-0.61611099999999996</c:v>
                </c:pt>
                <c:pt idx="95">
                  <c:v>-0.62438499999999997</c:v>
                </c:pt>
                <c:pt idx="96">
                  <c:v>-0.63692499999999996</c:v>
                </c:pt>
                <c:pt idx="97">
                  <c:v>-0.64032900000000004</c:v>
                </c:pt>
                <c:pt idx="98">
                  <c:v>-0.63558000000000003</c:v>
                </c:pt>
                <c:pt idx="99">
                  <c:v>-0.647115</c:v>
                </c:pt>
                <c:pt idx="100">
                  <c:v>-0.64491200000000004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26-9343-B740-1D3B894D4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-2.4181999999999999E-2</c:v>
                </c:pt>
                <c:pt idx="2">
                  <c:v>-2.8265999999999999E-2</c:v>
                </c:pt>
                <c:pt idx="3">
                  <c:v>-4.7220999999999999E-2</c:v>
                </c:pt>
                <c:pt idx="4">
                  <c:v>-5.0155999999999999E-2</c:v>
                </c:pt>
                <c:pt idx="5">
                  <c:v>-6.905E-2</c:v>
                </c:pt>
                <c:pt idx="6">
                  <c:v>-7.4743000000000004E-2</c:v>
                </c:pt>
                <c:pt idx="7">
                  <c:v>-7.7924999999999994E-2</c:v>
                </c:pt>
                <c:pt idx="8">
                  <c:v>-7.9023999999999997E-2</c:v>
                </c:pt>
                <c:pt idx="9">
                  <c:v>-8.2780999999999993E-2</c:v>
                </c:pt>
                <c:pt idx="10">
                  <c:v>-8.4991999999999998E-2</c:v>
                </c:pt>
                <c:pt idx="11">
                  <c:v>-8.6649000000000004E-2</c:v>
                </c:pt>
                <c:pt idx="12">
                  <c:v>-8.9768000000000001E-2</c:v>
                </c:pt>
                <c:pt idx="13">
                  <c:v>-0.104783</c:v>
                </c:pt>
                <c:pt idx="14">
                  <c:v>-0.113233</c:v>
                </c:pt>
                <c:pt idx="15">
                  <c:v>-0.117372</c:v>
                </c:pt>
                <c:pt idx="16">
                  <c:v>-0.121617</c:v>
                </c:pt>
                <c:pt idx="17">
                  <c:v>-0.12912399999999999</c:v>
                </c:pt>
                <c:pt idx="18">
                  <c:v>-0.13442699999999999</c:v>
                </c:pt>
                <c:pt idx="19">
                  <c:v>-0.140461</c:v>
                </c:pt>
                <c:pt idx="20">
                  <c:v>-0.15360099999999999</c:v>
                </c:pt>
                <c:pt idx="21">
                  <c:v>-0.16473099999999999</c:v>
                </c:pt>
                <c:pt idx="22">
                  <c:v>-0.16825999999999999</c:v>
                </c:pt>
                <c:pt idx="23">
                  <c:v>-0.170518</c:v>
                </c:pt>
                <c:pt idx="24">
                  <c:v>-0.17218</c:v>
                </c:pt>
                <c:pt idx="25">
                  <c:v>-0.17253599999999999</c:v>
                </c:pt>
                <c:pt idx="26">
                  <c:v>-0.175729</c:v>
                </c:pt>
                <c:pt idx="27">
                  <c:v>-0.17866799999999999</c:v>
                </c:pt>
                <c:pt idx="28">
                  <c:v>-0.18050099999999999</c:v>
                </c:pt>
                <c:pt idx="29">
                  <c:v>-0.182198</c:v>
                </c:pt>
                <c:pt idx="30">
                  <c:v>-0.19253000000000001</c:v>
                </c:pt>
                <c:pt idx="31">
                  <c:v>-0.20319200000000001</c:v>
                </c:pt>
                <c:pt idx="32">
                  <c:v>-0.206284</c:v>
                </c:pt>
                <c:pt idx="33">
                  <c:v>-0.21050099999999999</c:v>
                </c:pt>
                <c:pt idx="34">
                  <c:v>-0.215421</c:v>
                </c:pt>
                <c:pt idx="35">
                  <c:v>-0.226156</c:v>
                </c:pt>
                <c:pt idx="36">
                  <c:v>-0.23912900000000001</c:v>
                </c:pt>
                <c:pt idx="37">
                  <c:v>-0.24230399999999999</c:v>
                </c:pt>
                <c:pt idx="38">
                  <c:v>-0.243282</c:v>
                </c:pt>
                <c:pt idx="39">
                  <c:v>-0.24426500000000001</c:v>
                </c:pt>
                <c:pt idx="40">
                  <c:v>-0.24445600000000001</c:v>
                </c:pt>
                <c:pt idx="41">
                  <c:v>-0.245037</c:v>
                </c:pt>
                <c:pt idx="42">
                  <c:v>-0.24664</c:v>
                </c:pt>
                <c:pt idx="43">
                  <c:v>-0.24893599999999999</c:v>
                </c:pt>
                <c:pt idx="44">
                  <c:v>-0.25034699999999999</c:v>
                </c:pt>
                <c:pt idx="45">
                  <c:v>-0.25211899999999998</c:v>
                </c:pt>
                <c:pt idx="46">
                  <c:v>-0.25340299999999999</c:v>
                </c:pt>
                <c:pt idx="47">
                  <c:v>-0.25382700000000002</c:v>
                </c:pt>
                <c:pt idx="48">
                  <c:v>-0.25546200000000002</c:v>
                </c:pt>
                <c:pt idx="49">
                  <c:v>-0.25984099999999999</c:v>
                </c:pt>
                <c:pt idx="50">
                  <c:v>-0.26439000000000001</c:v>
                </c:pt>
                <c:pt idx="51">
                  <c:v>-0.266735</c:v>
                </c:pt>
                <c:pt idx="52">
                  <c:v>-0.267291</c:v>
                </c:pt>
                <c:pt idx="53">
                  <c:v>-0.26782299999999998</c:v>
                </c:pt>
                <c:pt idx="54">
                  <c:v>-0.26844400000000002</c:v>
                </c:pt>
                <c:pt idx="55">
                  <c:v>-0.26999000000000001</c:v>
                </c:pt>
                <c:pt idx="56">
                  <c:v>-0.27104600000000001</c:v>
                </c:pt>
                <c:pt idx="57">
                  <c:v>-0.27300200000000002</c:v>
                </c:pt>
                <c:pt idx="58">
                  <c:v>-0.27421899999999999</c:v>
                </c:pt>
                <c:pt idx="59">
                  <c:v>-0.27514699999999997</c:v>
                </c:pt>
                <c:pt idx="60">
                  <c:v>-0.27674799999999999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0C-4449-A35C-1F77B26789FE}"/>
            </c:ext>
          </c:extLst>
        </c:ser>
        <c:ser>
          <c:idx val="4"/>
          <c:order val="1"/>
          <c:tx>
            <c:strRef>
              <c:f>'gemini_delta-trend'!$I$2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6.1899999999999998E-4</c:v>
                </c:pt>
                <c:pt idx="2">
                  <c:v>5.7349999999999996E-3</c:v>
                </c:pt>
                <c:pt idx="3">
                  <c:v>-1.1835999999999999E-2</c:v>
                </c:pt>
                <c:pt idx="4">
                  <c:v>-1.2612999999999999E-2</c:v>
                </c:pt>
                <c:pt idx="5">
                  <c:v>-3.1678999999999999E-2</c:v>
                </c:pt>
                <c:pt idx="6">
                  <c:v>-2.7130999999999999E-2</c:v>
                </c:pt>
                <c:pt idx="7">
                  <c:v>-2.3522999999999999E-2</c:v>
                </c:pt>
                <c:pt idx="8">
                  <c:v>-2.0227999999999999E-2</c:v>
                </c:pt>
                <c:pt idx="9">
                  <c:v>-1.6275000000000001E-2</c:v>
                </c:pt>
                <c:pt idx="10">
                  <c:v>-1.4197E-2</c:v>
                </c:pt>
                <c:pt idx="11">
                  <c:v>-1.0923E-2</c:v>
                </c:pt>
                <c:pt idx="12">
                  <c:v>-9.5289999999999993E-3</c:v>
                </c:pt>
                <c:pt idx="13">
                  <c:v>-9.6970000000000008E-3</c:v>
                </c:pt>
                <c:pt idx="14">
                  <c:v>-4.2100000000000002E-3</c:v>
                </c:pt>
                <c:pt idx="15">
                  <c:v>-1.9189999999999999E-2</c:v>
                </c:pt>
                <c:pt idx="16">
                  <c:v>-1.1671000000000001E-2</c:v>
                </c:pt>
                <c:pt idx="17">
                  <c:v>-1.0598E-2</c:v>
                </c:pt>
                <c:pt idx="18">
                  <c:v>-9.7490000000000007E-3</c:v>
                </c:pt>
                <c:pt idx="19">
                  <c:v>-2.9359999999999998E-3</c:v>
                </c:pt>
                <c:pt idx="20">
                  <c:v>5.6550000000000003E-3</c:v>
                </c:pt>
                <c:pt idx="21">
                  <c:v>1.3863E-2</c:v>
                </c:pt>
                <c:pt idx="22">
                  <c:v>1.6650000000000002E-2</c:v>
                </c:pt>
                <c:pt idx="23">
                  <c:v>1.5216E-2</c:v>
                </c:pt>
                <c:pt idx="24">
                  <c:v>2.8715999999999998E-2</c:v>
                </c:pt>
                <c:pt idx="25">
                  <c:v>3.7191000000000002E-2</c:v>
                </c:pt>
                <c:pt idx="26">
                  <c:v>3.5469000000000001E-2</c:v>
                </c:pt>
                <c:pt idx="27">
                  <c:v>3.5193000000000002E-2</c:v>
                </c:pt>
                <c:pt idx="28">
                  <c:v>5.3962000000000003E-2</c:v>
                </c:pt>
                <c:pt idx="29">
                  <c:v>5.5062E-2</c:v>
                </c:pt>
                <c:pt idx="30">
                  <c:v>4.8724000000000003E-2</c:v>
                </c:pt>
                <c:pt idx="31">
                  <c:v>4.8253999999999998E-2</c:v>
                </c:pt>
                <c:pt idx="32">
                  <c:v>6.6409999999999997E-2</c:v>
                </c:pt>
                <c:pt idx="33">
                  <c:v>7.5954999999999995E-2</c:v>
                </c:pt>
                <c:pt idx="34">
                  <c:v>7.6369000000000006E-2</c:v>
                </c:pt>
                <c:pt idx="35">
                  <c:v>5.7632000000000003E-2</c:v>
                </c:pt>
                <c:pt idx="36">
                  <c:v>6.4848000000000003E-2</c:v>
                </c:pt>
                <c:pt idx="37">
                  <c:v>6.7357E-2</c:v>
                </c:pt>
                <c:pt idx="38">
                  <c:v>6.9264000000000006E-2</c:v>
                </c:pt>
                <c:pt idx="39">
                  <c:v>7.0127999999999996E-2</c:v>
                </c:pt>
                <c:pt idx="40">
                  <c:v>7.1475999999999998E-2</c:v>
                </c:pt>
                <c:pt idx="41">
                  <c:v>8.3555000000000004E-2</c:v>
                </c:pt>
                <c:pt idx="42">
                  <c:v>8.5377999999999996E-2</c:v>
                </c:pt>
                <c:pt idx="43">
                  <c:v>8.5786000000000001E-2</c:v>
                </c:pt>
                <c:pt idx="44">
                  <c:v>8.4866999999999998E-2</c:v>
                </c:pt>
                <c:pt idx="45">
                  <c:v>8.3778000000000005E-2</c:v>
                </c:pt>
                <c:pt idx="46">
                  <c:v>9.5174999999999996E-2</c:v>
                </c:pt>
                <c:pt idx="47">
                  <c:v>0.101812</c:v>
                </c:pt>
                <c:pt idx="48">
                  <c:v>9.6759999999999999E-2</c:v>
                </c:pt>
                <c:pt idx="49">
                  <c:v>0.101546</c:v>
                </c:pt>
                <c:pt idx="50">
                  <c:v>0.103145</c:v>
                </c:pt>
                <c:pt idx="51">
                  <c:v>0.107751</c:v>
                </c:pt>
                <c:pt idx="52">
                  <c:v>0.1113</c:v>
                </c:pt>
                <c:pt idx="53">
                  <c:v>0.11724900000000001</c:v>
                </c:pt>
                <c:pt idx="54">
                  <c:v>0.11987200000000001</c:v>
                </c:pt>
                <c:pt idx="55">
                  <c:v>0.12850700000000001</c:v>
                </c:pt>
                <c:pt idx="56">
                  <c:v>0.13111200000000001</c:v>
                </c:pt>
                <c:pt idx="57">
                  <c:v>0.132992</c:v>
                </c:pt>
                <c:pt idx="58">
                  <c:v>0.13822799999999999</c:v>
                </c:pt>
                <c:pt idx="59">
                  <c:v>0.131242</c:v>
                </c:pt>
                <c:pt idx="60">
                  <c:v>0.13669000000000001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C-4449-A35C-1F77B26789FE}"/>
            </c:ext>
          </c:extLst>
        </c:ser>
        <c:ser>
          <c:idx val="1"/>
          <c:order val="2"/>
          <c:tx>
            <c:strRef>
              <c:f>'gemini_delta-trend'!$J$2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-1.4815999999999999E-2</c:v>
                </c:pt>
                <c:pt idx="2">
                  <c:v>-1.6698999999999999E-2</c:v>
                </c:pt>
                <c:pt idx="3">
                  <c:v>-1.4723E-2</c:v>
                </c:pt>
                <c:pt idx="4">
                  <c:v>-1.1723000000000001E-2</c:v>
                </c:pt>
                <c:pt idx="5">
                  <c:v>-1.0919E-2</c:v>
                </c:pt>
                <c:pt idx="6">
                  <c:v>-7.705E-3</c:v>
                </c:pt>
                <c:pt idx="7">
                  <c:v>-6.5449999999999996E-3</c:v>
                </c:pt>
                <c:pt idx="8">
                  <c:v>2.9060000000000002E-3</c:v>
                </c:pt>
                <c:pt idx="9">
                  <c:v>6.5040000000000002E-3</c:v>
                </c:pt>
                <c:pt idx="10">
                  <c:v>9.6209999999999993E-3</c:v>
                </c:pt>
                <c:pt idx="11">
                  <c:v>1.2833000000000001E-2</c:v>
                </c:pt>
                <c:pt idx="12">
                  <c:v>1.1847999999999999E-2</c:v>
                </c:pt>
                <c:pt idx="13">
                  <c:v>1.2186000000000001E-2</c:v>
                </c:pt>
                <c:pt idx="14">
                  <c:v>1.1258000000000001E-2</c:v>
                </c:pt>
                <c:pt idx="15">
                  <c:v>2.9440000000000001E-2</c:v>
                </c:pt>
                <c:pt idx="16">
                  <c:v>3.9238000000000002E-2</c:v>
                </c:pt>
                <c:pt idx="17">
                  <c:v>4.5067000000000003E-2</c:v>
                </c:pt>
                <c:pt idx="18">
                  <c:v>4.7169999999999997E-2</c:v>
                </c:pt>
                <c:pt idx="19">
                  <c:v>4.7252000000000002E-2</c:v>
                </c:pt>
                <c:pt idx="20">
                  <c:v>4.9758999999999998E-2</c:v>
                </c:pt>
                <c:pt idx="21">
                  <c:v>5.2318999999999997E-2</c:v>
                </c:pt>
                <c:pt idx="22">
                  <c:v>5.2734000000000003E-2</c:v>
                </c:pt>
                <c:pt idx="23">
                  <c:v>5.6362000000000002E-2</c:v>
                </c:pt>
                <c:pt idx="24">
                  <c:v>5.8902000000000003E-2</c:v>
                </c:pt>
                <c:pt idx="25">
                  <c:v>6.0850000000000001E-2</c:v>
                </c:pt>
                <c:pt idx="26">
                  <c:v>6.8454000000000001E-2</c:v>
                </c:pt>
                <c:pt idx="27">
                  <c:v>7.0675000000000002E-2</c:v>
                </c:pt>
                <c:pt idx="28">
                  <c:v>6.3841999999999996E-2</c:v>
                </c:pt>
                <c:pt idx="29">
                  <c:v>6.2058000000000002E-2</c:v>
                </c:pt>
                <c:pt idx="30">
                  <c:v>5.5606999999999997E-2</c:v>
                </c:pt>
                <c:pt idx="31">
                  <c:v>5.8761000000000001E-2</c:v>
                </c:pt>
                <c:pt idx="32">
                  <c:v>6.5439999999999998E-2</c:v>
                </c:pt>
                <c:pt idx="33">
                  <c:v>7.2326000000000001E-2</c:v>
                </c:pt>
                <c:pt idx="34">
                  <c:v>6.6847000000000004E-2</c:v>
                </c:pt>
                <c:pt idx="35">
                  <c:v>4.7466000000000001E-2</c:v>
                </c:pt>
                <c:pt idx="36">
                  <c:v>6.4376000000000003E-2</c:v>
                </c:pt>
                <c:pt idx="37">
                  <c:v>6.5869999999999998E-2</c:v>
                </c:pt>
                <c:pt idx="38">
                  <c:v>6.1294000000000001E-2</c:v>
                </c:pt>
                <c:pt idx="39">
                  <c:v>6.5628000000000006E-2</c:v>
                </c:pt>
                <c:pt idx="40">
                  <c:v>6.8532999999999997E-2</c:v>
                </c:pt>
                <c:pt idx="41">
                  <c:v>7.9562999999999995E-2</c:v>
                </c:pt>
                <c:pt idx="42">
                  <c:v>8.5930000000000006E-2</c:v>
                </c:pt>
                <c:pt idx="43">
                  <c:v>9.1047000000000003E-2</c:v>
                </c:pt>
                <c:pt idx="44">
                  <c:v>8.8623999999999994E-2</c:v>
                </c:pt>
                <c:pt idx="45">
                  <c:v>9.1073000000000001E-2</c:v>
                </c:pt>
                <c:pt idx="46">
                  <c:v>9.2663999999999996E-2</c:v>
                </c:pt>
                <c:pt idx="47">
                  <c:v>0.104034</c:v>
                </c:pt>
                <c:pt idx="48">
                  <c:v>0.10627</c:v>
                </c:pt>
                <c:pt idx="49">
                  <c:v>0.111469</c:v>
                </c:pt>
                <c:pt idx="50">
                  <c:v>0.11569500000000001</c:v>
                </c:pt>
                <c:pt idx="51">
                  <c:v>0.118586</c:v>
                </c:pt>
                <c:pt idx="52">
                  <c:v>0.12957099999999999</c:v>
                </c:pt>
                <c:pt idx="53">
                  <c:v>0.13684399999999999</c:v>
                </c:pt>
                <c:pt idx="54">
                  <c:v>0.147033</c:v>
                </c:pt>
                <c:pt idx="55">
                  <c:v>0.15040500000000001</c:v>
                </c:pt>
                <c:pt idx="56">
                  <c:v>0.153221</c:v>
                </c:pt>
                <c:pt idx="57">
                  <c:v>0.17272499999999999</c:v>
                </c:pt>
                <c:pt idx="58">
                  <c:v>0.17848800000000001</c:v>
                </c:pt>
                <c:pt idx="59">
                  <c:v>0.19411800000000001</c:v>
                </c:pt>
                <c:pt idx="60">
                  <c:v>0.208563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90C-4449-A35C-1F77B26789FE}"/>
            </c:ext>
          </c:extLst>
        </c:ser>
        <c:ser>
          <c:idx val="2"/>
          <c:order val="3"/>
          <c:tx>
            <c:strRef>
              <c:f>'gemini_delta-trend'!$K$2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'gemini_delta-trend'!$K$3:$K$64</c:f>
              <c:numCache>
                <c:formatCode>General</c:formatCode>
                <c:ptCount val="62"/>
                <c:pt idx="0">
                  <c:v>0</c:v>
                </c:pt>
                <c:pt idx="1">
                  <c:v>1.5300000000000001E-4</c:v>
                </c:pt>
                <c:pt idx="2">
                  <c:v>4.8710000000000003E-3</c:v>
                </c:pt>
                <c:pt idx="3">
                  <c:v>4.3680000000000004E-3</c:v>
                </c:pt>
                <c:pt idx="4">
                  <c:v>9.5989999999999999E-3</c:v>
                </c:pt>
                <c:pt idx="5">
                  <c:v>-5.1989999999999996E-3</c:v>
                </c:pt>
                <c:pt idx="6">
                  <c:v>-2.6189999999999998E-3</c:v>
                </c:pt>
                <c:pt idx="7">
                  <c:v>7.2499999999999995E-4</c:v>
                </c:pt>
                <c:pt idx="8">
                  <c:v>1.0817999999999999E-2</c:v>
                </c:pt>
                <c:pt idx="9">
                  <c:v>1.2045999999999999E-2</c:v>
                </c:pt>
                <c:pt idx="10">
                  <c:v>1.5706999999999999E-2</c:v>
                </c:pt>
                <c:pt idx="11">
                  <c:v>1.5741000000000002E-2</c:v>
                </c:pt>
                <c:pt idx="12">
                  <c:v>1.9033000000000001E-2</c:v>
                </c:pt>
                <c:pt idx="13">
                  <c:v>2.5121999999999998E-2</c:v>
                </c:pt>
                <c:pt idx="14">
                  <c:v>2.8879999999999999E-2</c:v>
                </c:pt>
                <c:pt idx="15">
                  <c:v>2.9871000000000002E-2</c:v>
                </c:pt>
                <c:pt idx="16">
                  <c:v>2.8617E-2</c:v>
                </c:pt>
                <c:pt idx="17">
                  <c:v>3.2661999999999997E-2</c:v>
                </c:pt>
                <c:pt idx="18">
                  <c:v>3.7339999999999998E-2</c:v>
                </c:pt>
                <c:pt idx="19">
                  <c:v>3.9907999999999999E-2</c:v>
                </c:pt>
                <c:pt idx="20">
                  <c:v>4.4166999999999998E-2</c:v>
                </c:pt>
                <c:pt idx="21">
                  <c:v>4.4616999999999997E-2</c:v>
                </c:pt>
                <c:pt idx="22">
                  <c:v>3.2965000000000001E-2</c:v>
                </c:pt>
                <c:pt idx="23">
                  <c:v>3.8256999999999999E-2</c:v>
                </c:pt>
                <c:pt idx="24">
                  <c:v>4.4006000000000003E-2</c:v>
                </c:pt>
                <c:pt idx="25">
                  <c:v>5.237E-2</c:v>
                </c:pt>
                <c:pt idx="26">
                  <c:v>5.4751000000000001E-2</c:v>
                </c:pt>
                <c:pt idx="27">
                  <c:v>5.5538999999999998E-2</c:v>
                </c:pt>
                <c:pt idx="28">
                  <c:v>4.5671999999999997E-2</c:v>
                </c:pt>
                <c:pt idx="29">
                  <c:v>5.0411999999999998E-2</c:v>
                </c:pt>
                <c:pt idx="30">
                  <c:v>3.5207000000000002E-2</c:v>
                </c:pt>
                <c:pt idx="31">
                  <c:v>3.0041999999999999E-2</c:v>
                </c:pt>
                <c:pt idx="32">
                  <c:v>2.3727999999999999E-2</c:v>
                </c:pt>
                <c:pt idx="33">
                  <c:v>2.2672999999999999E-2</c:v>
                </c:pt>
                <c:pt idx="34">
                  <c:v>2.6898999999999999E-2</c:v>
                </c:pt>
                <c:pt idx="35">
                  <c:v>8.2170000000000003E-3</c:v>
                </c:pt>
                <c:pt idx="36">
                  <c:v>6.9049999999999997E-3</c:v>
                </c:pt>
                <c:pt idx="37">
                  <c:v>9.8700000000000003E-3</c:v>
                </c:pt>
                <c:pt idx="38">
                  <c:v>1.507E-2</c:v>
                </c:pt>
                <c:pt idx="39">
                  <c:v>2.1468999999999999E-2</c:v>
                </c:pt>
                <c:pt idx="40">
                  <c:v>2.8178000000000002E-2</c:v>
                </c:pt>
                <c:pt idx="41">
                  <c:v>3.1959000000000001E-2</c:v>
                </c:pt>
                <c:pt idx="42">
                  <c:v>3.8425000000000001E-2</c:v>
                </c:pt>
                <c:pt idx="43">
                  <c:v>4.4493999999999999E-2</c:v>
                </c:pt>
                <c:pt idx="44">
                  <c:v>4.6240999999999997E-2</c:v>
                </c:pt>
                <c:pt idx="45">
                  <c:v>5.8290000000000002E-2</c:v>
                </c:pt>
                <c:pt idx="46">
                  <c:v>6.1163000000000002E-2</c:v>
                </c:pt>
                <c:pt idx="47">
                  <c:v>9.0679999999999997E-2</c:v>
                </c:pt>
                <c:pt idx="48">
                  <c:v>0.104005</c:v>
                </c:pt>
                <c:pt idx="49">
                  <c:v>0.112613</c:v>
                </c:pt>
                <c:pt idx="50">
                  <c:v>0.115955</c:v>
                </c:pt>
                <c:pt idx="51">
                  <c:v>0.121838</c:v>
                </c:pt>
                <c:pt idx="52">
                  <c:v>0.147005</c:v>
                </c:pt>
                <c:pt idx="53">
                  <c:v>0.15657599999999999</c:v>
                </c:pt>
                <c:pt idx="54">
                  <c:v>0.16114300000000001</c:v>
                </c:pt>
                <c:pt idx="55">
                  <c:v>0.17019999999999999</c:v>
                </c:pt>
                <c:pt idx="56">
                  <c:v>0.172291</c:v>
                </c:pt>
                <c:pt idx="57">
                  <c:v>0.174536</c:v>
                </c:pt>
                <c:pt idx="58">
                  <c:v>0.18263799999999999</c:v>
                </c:pt>
                <c:pt idx="59">
                  <c:v>0.134656</c:v>
                </c:pt>
                <c:pt idx="60">
                  <c:v>0.168457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90C-4449-A35C-1F77B26789FE}"/>
            </c:ext>
          </c:extLst>
        </c:ser>
        <c:ser>
          <c:idx val="3"/>
          <c:order val="4"/>
          <c:tx>
            <c:strRef>
              <c:f>'gemini_delta-trend'!$L$2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-4.6600000000000001E-3</c:v>
                </c:pt>
                <c:pt idx="2">
                  <c:v>-5.9839999999999997E-3</c:v>
                </c:pt>
                <c:pt idx="3">
                  <c:v>-1.0423E-2</c:v>
                </c:pt>
                <c:pt idx="4">
                  <c:v>-1.1502999999999999E-2</c:v>
                </c:pt>
                <c:pt idx="5">
                  <c:v>-1.2598E-2</c:v>
                </c:pt>
                <c:pt idx="6">
                  <c:v>-1.5357000000000001E-2</c:v>
                </c:pt>
                <c:pt idx="7">
                  <c:v>-2.0351999999999999E-2</c:v>
                </c:pt>
                <c:pt idx="8">
                  <c:v>-2.1142000000000001E-2</c:v>
                </c:pt>
                <c:pt idx="9">
                  <c:v>-3.7073000000000002E-2</c:v>
                </c:pt>
                <c:pt idx="10">
                  <c:v>-3.9098000000000001E-2</c:v>
                </c:pt>
                <c:pt idx="11">
                  <c:v>-3.9738999999999997E-2</c:v>
                </c:pt>
                <c:pt idx="12">
                  <c:v>-4.2784000000000003E-2</c:v>
                </c:pt>
                <c:pt idx="13">
                  <c:v>-4.7010999999999997E-2</c:v>
                </c:pt>
                <c:pt idx="14">
                  <c:v>-4.7921999999999999E-2</c:v>
                </c:pt>
                <c:pt idx="15">
                  <c:v>-7.6006000000000004E-2</c:v>
                </c:pt>
                <c:pt idx="16">
                  <c:v>-9.7245999999999999E-2</c:v>
                </c:pt>
                <c:pt idx="17">
                  <c:v>-0.110886</c:v>
                </c:pt>
                <c:pt idx="18">
                  <c:v>-0.114941</c:v>
                </c:pt>
                <c:pt idx="19">
                  <c:v>-0.119146</c:v>
                </c:pt>
                <c:pt idx="20">
                  <c:v>-0.121254</c:v>
                </c:pt>
                <c:pt idx="21">
                  <c:v>-0.12239800000000001</c:v>
                </c:pt>
                <c:pt idx="22">
                  <c:v>-0.12282899999999999</c:v>
                </c:pt>
                <c:pt idx="23">
                  <c:v>-0.125336</c:v>
                </c:pt>
                <c:pt idx="24">
                  <c:v>-0.13066900000000001</c:v>
                </c:pt>
                <c:pt idx="25">
                  <c:v>-0.132853</c:v>
                </c:pt>
                <c:pt idx="26">
                  <c:v>-0.139457</c:v>
                </c:pt>
                <c:pt idx="27">
                  <c:v>-0.14329700000000001</c:v>
                </c:pt>
                <c:pt idx="28">
                  <c:v>-0.144982</c:v>
                </c:pt>
                <c:pt idx="29">
                  <c:v>-0.14580499999999999</c:v>
                </c:pt>
                <c:pt idx="30">
                  <c:v>-0.14848900000000001</c:v>
                </c:pt>
                <c:pt idx="31">
                  <c:v>-0.15153</c:v>
                </c:pt>
                <c:pt idx="32">
                  <c:v>-0.15498700000000001</c:v>
                </c:pt>
                <c:pt idx="33">
                  <c:v>-0.17829500000000001</c:v>
                </c:pt>
                <c:pt idx="34">
                  <c:v>-0.19603599999999999</c:v>
                </c:pt>
                <c:pt idx="35">
                  <c:v>-0.19785800000000001</c:v>
                </c:pt>
                <c:pt idx="36">
                  <c:v>-0.20180600000000001</c:v>
                </c:pt>
                <c:pt idx="37">
                  <c:v>-0.20718700000000001</c:v>
                </c:pt>
                <c:pt idx="38">
                  <c:v>-0.210536</c:v>
                </c:pt>
                <c:pt idx="39">
                  <c:v>-0.21115800000000001</c:v>
                </c:pt>
                <c:pt idx="40">
                  <c:v>-0.212897</c:v>
                </c:pt>
                <c:pt idx="41">
                  <c:v>-0.21531400000000001</c:v>
                </c:pt>
                <c:pt idx="42">
                  <c:v>-0.22176999999999999</c:v>
                </c:pt>
                <c:pt idx="43">
                  <c:v>-0.22966900000000001</c:v>
                </c:pt>
                <c:pt idx="44">
                  <c:v>-0.231544</c:v>
                </c:pt>
                <c:pt idx="45">
                  <c:v>-0.23371500000000001</c:v>
                </c:pt>
                <c:pt idx="46">
                  <c:v>-0.23647699999999999</c:v>
                </c:pt>
                <c:pt idx="47">
                  <c:v>-0.23785999999999999</c:v>
                </c:pt>
                <c:pt idx="48">
                  <c:v>-0.238873</c:v>
                </c:pt>
                <c:pt idx="49">
                  <c:v>-0.24183499999999999</c:v>
                </c:pt>
                <c:pt idx="50">
                  <c:v>-0.245064</c:v>
                </c:pt>
                <c:pt idx="51">
                  <c:v>-0.246813</c:v>
                </c:pt>
                <c:pt idx="52">
                  <c:v>-0.246918</c:v>
                </c:pt>
                <c:pt idx="53">
                  <c:v>-0.247253</c:v>
                </c:pt>
                <c:pt idx="54">
                  <c:v>-0.24834700000000001</c:v>
                </c:pt>
                <c:pt idx="55">
                  <c:v>-0.24954100000000001</c:v>
                </c:pt>
                <c:pt idx="56">
                  <c:v>-0.250666</c:v>
                </c:pt>
                <c:pt idx="57">
                  <c:v>-0.25274799999999997</c:v>
                </c:pt>
                <c:pt idx="58">
                  <c:v>-0.25512800000000002</c:v>
                </c:pt>
                <c:pt idx="59">
                  <c:v>-0.25620399999999999</c:v>
                </c:pt>
                <c:pt idx="60">
                  <c:v>-0.25800200000000001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90C-4449-A35C-1F77B267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-0.16297800000000001</c:v>
                </c:pt>
                <c:pt idx="2">
                  <c:v>-0.24582599999999999</c:v>
                </c:pt>
                <c:pt idx="3">
                  <c:v>-0.27609600000000001</c:v>
                </c:pt>
                <c:pt idx="4">
                  <c:v>-0.286939</c:v>
                </c:pt>
                <c:pt idx="5">
                  <c:v>-0.29638500000000001</c:v>
                </c:pt>
                <c:pt idx="6">
                  <c:v>-0.30784</c:v>
                </c:pt>
                <c:pt idx="7">
                  <c:v>-0.32052799999999998</c:v>
                </c:pt>
                <c:pt idx="8">
                  <c:v>-0.33213999999999999</c:v>
                </c:pt>
                <c:pt idx="9">
                  <c:v>-0.34492099999999998</c:v>
                </c:pt>
                <c:pt idx="10">
                  <c:v>-0.40773100000000001</c:v>
                </c:pt>
                <c:pt idx="11">
                  <c:v>-0.47291499999999997</c:v>
                </c:pt>
                <c:pt idx="12">
                  <c:v>-0.482956</c:v>
                </c:pt>
                <c:pt idx="13">
                  <c:v>-0.489203</c:v>
                </c:pt>
                <c:pt idx="14">
                  <c:v>-0.49775900000000001</c:v>
                </c:pt>
                <c:pt idx="15">
                  <c:v>-0.51297099999999995</c:v>
                </c:pt>
                <c:pt idx="16">
                  <c:v>-0.52842999999999996</c:v>
                </c:pt>
                <c:pt idx="17">
                  <c:v>-0.55148399999999997</c:v>
                </c:pt>
                <c:pt idx="18">
                  <c:v>-0.57213999999999998</c:v>
                </c:pt>
                <c:pt idx="19">
                  <c:v>-0.57768299999999995</c:v>
                </c:pt>
                <c:pt idx="20">
                  <c:v>-0.586229</c:v>
                </c:pt>
                <c:pt idx="21">
                  <c:v>-0.59004999999999996</c:v>
                </c:pt>
                <c:pt idx="22">
                  <c:v>-0.592136</c:v>
                </c:pt>
                <c:pt idx="23">
                  <c:v>-0.59439900000000001</c:v>
                </c:pt>
                <c:pt idx="24">
                  <c:v>-0.60275599999999996</c:v>
                </c:pt>
                <c:pt idx="25">
                  <c:v>-0.61558199999999996</c:v>
                </c:pt>
                <c:pt idx="26">
                  <c:v>-0.61974499999999999</c:v>
                </c:pt>
                <c:pt idx="27">
                  <c:v>-0.62192800000000004</c:v>
                </c:pt>
                <c:pt idx="28">
                  <c:v>-0.62377700000000003</c:v>
                </c:pt>
                <c:pt idx="29">
                  <c:v>-0.62402800000000003</c:v>
                </c:pt>
                <c:pt idx="30">
                  <c:v>-0.63039599999999996</c:v>
                </c:pt>
                <c:pt idx="31">
                  <c:v>-0.63286699999999996</c:v>
                </c:pt>
                <c:pt idx="32">
                  <c:v>-0.64764200000000005</c:v>
                </c:pt>
                <c:pt idx="33">
                  <c:v>-0.65469699999999997</c:v>
                </c:pt>
                <c:pt idx="34">
                  <c:v>-0.66105999999999998</c:v>
                </c:pt>
                <c:pt idx="35">
                  <c:v>-0.66744700000000001</c:v>
                </c:pt>
                <c:pt idx="36">
                  <c:v>-0.66813</c:v>
                </c:pt>
                <c:pt idx="37">
                  <c:v>-0.66849000000000003</c:v>
                </c:pt>
                <c:pt idx="38">
                  <c:v>-0.68412300000000004</c:v>
                </c:pt>
                <c:pt idx="39">
                  <c:v>-0.69196800000000003</c:v>
                </c:pt>
                <c:pt idx="40">
                  <c:v>-0.69648500000000002</c:v>
                </c:pt>
                <c:pt idx="41">
                  <c:v>-0.71851799999999999</c:v>
                </c:pt>
                <c:pt idx="42">
                  <c:v>-0.72344799999999998</c:v>
                </c:pt>
                <c:pt idx="43">
                  <c:v>-0.72545700000000002</c:v>
                </c:pt>
                <c:pt idx="44">
                  <c:v>-0.72585999999999995</c:v>
                </c:pt>
                <c:pt idx="45">
                  <c:v>-0.726217</c:v>
                </c:pt>
                <c:pt idx="46">
                  <c:v>-0.73257000000000005</c:v>
                </c:pt>
                <c:pt idx="47">
                  <c:v>-0.733599</c:v>
                </c:pt>
                <c:pt idx="48">
                  <c:v>-0.75048599999999999</c:v>
                </c:pt>
                <c:pt idx="49">
                  <c:v>-0.75039599999999995</c:v>
                </c:pt>
                <c:pt idx="50">
                  <c:v>-0.75644599999999995</c:v>
                </c:pt>
                <c:pt idx="51">
                  <c:v>-0.75809199999999999</c:v>
                </c:pt>
                <c:pt idx="52">
                  <c:v>-0.75717800000000002</c:v>
                </c:pt>
                <c:pt idx="53">
                  <c:v>-0.76407499999999995</c:v>
                </c:pt>
                <c:pt idx="54">
                  <c:v>-0.76304300000000003</c:v>
                </c:pt>
                <c:pt idx="55">
                  <c:v>-0.76319899999999996</c:v>
                </c:pt>
                <c:pt idx="56">
                  <c:v>-0.77988299999999999</c:v>
                </c:pt>
                <c:pt idx="57">
                  <c:v>-0.77977300000000005</c:v>
                </c:pt>
                <c:pt idx="58">
                  <c:v>-0.78341400000000005</c:v>
                </c:pt>
                <c:pt idx="59">
                  <c:v>-0.78402099999999997</c:v>
                </c:pt>
                <c:pt idx="60">
                  <c:v>-0.78947299999999998</c:v>
                </c:pt>
                <c:pt idx="61">
                  <c:v>-0.79353099999999999</c:v>
                </c:pt>
                <c:pt idx="62">
                  <c:v>-0.79550600000000005</c:v>
                </c:pt>
                <c:pt idx="63">
                  <c:v>-0.79772900000000002</c:v>
                </c:pt>
                <c:pt idx="64">
                  <c:v>-0.80438900000000002</c:v>
                </c:pt>
                <c:pt idx="65">
                  <c:v>-0.81750900000000004</c:v>
                </c:pt>
                <c:pt idx="66">
                  <c:v>-0.82034200000000002</c:v>
                </c:pt>
                <c:pt idx="67">
                  <c:v>-0.82038199999999994</c:v>
                </c:pt>
                <c:pt idx="68">
                  <c:v>-0.82617399999999996</c:v>
                </c:pt>
                <c:pt idx="69">
                  <c:v>-0.82249700000000003</c:v>
                </c:pt>
                <c:pt idx="70">
                  <c:v>-0.82440800000000003</c:v>
                </c:pt>
                <c:pt idx="71">
                  <c:v>-0.84248699999999999</c:v>
                </c:pt>
                <c:pt idx="72">
                  <c:v>-0.84248500000000004</c:v>
                </c:pt>
                <c:pt idx="73">
                  <c:v>-0.84431199999999995</c:v>
                </c:pt>
                <c:pt idx="74">
                  <c:v>-0.84618099999999996</c:v>
                </c:pt>
                <c:pt idx="75">
                  <c:v>-0.83724200000000004</c:v>
                </c:pt>
                <c:pt idx="76">
                  <c:v>-0.86990199999999995</c:v>
                </c:pt>
                <c:pt idx="77">
                  <c:v>-0.86634800000000001</c:v>
                </c:pt>
                <c:pt idx="78">
                  <c:v>-0.87327399999999999</c:v>
                </c:pt>
                <c:pt idx="79">
                  <c:v>-0.88244500000000003</c:v>
                </c:pt>
                <c:pt idx="80">
                  <c:v>-0.88395599999999996</c:v>
                </c:pt>
                <c:pt idx="81">
                  <c:v>-0.886741</c:v>
                </c:pt>
                <c:pt idx="82">
                  <c:v>-0.88530500000000001</c:v>
                </c:pt>
                <c:pt idx="83">
                  <c:v>-0.88930900000000002</c:v>
                </c:pt>
                <c:pt idx="84">
                  <c:v>-0.90041499999999997</c:v>
                </c:pt>
                <c:pt idx="85">
                  <c:v>-0.90325800000000001</c:v>
                </c:pt>
                <c:pt idx="86">
                  <c:v>-0.89852100000000001</c:v>
                </c:pt>
                <c:pt idx="87">
                  <c:v>-0.89550700000000005</c:v>
                </c:pt>
                <c:pt idx="88">
                  <c:v>-0.92108000000000001</c:v>
                </c:pt>
                <c:pt idx="89">
                  <c:v>-0.91811699999999996</c:v>
                </c:pt>
                <c:pt idx="90">
                  <c:v>-0.930419</c:v>
                </c:pt>
                <c:pt idx="91">
                  <c:v>-0.91947900000000005</c:v>
                </c:pt>
                <c:pt idx="92">
                  <c:v>-0.94284400000000002</c:v>
                </c:pt>
                <c:pt idx="93">
                  <c:v>-0.94842400000000004</c:v>
                </c:pt>
                <c:pt idx="94">
                  <c:v>-0.94402699999999995</c:v>
                </c:pt>
                <c:pt idx="95">
                  <c:v>-0.95042300000000002</c:v>
                </c:pt>
                <c:pt idx="96">
                  <c:v>-0.96353200000000006</c:v>
                </c:pt>
                <c:pt idx="97">
                  <c:v>-0.96969899999999998</c:v>
                </c:pt>
                <c:pt idx="98">
                  <c:v>-0.96162300000000001</c:v>
                </c:pt>
                <c:pt idx="99">
                  <c:v>-0.97634399999999999</c:v>
                </c:pt>
                <c:pt idx="100">
                  <c:v>-0.96533599999999997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72-404C-9955-13B3DCE5DF29}"/>
            </c:ext>
          </c:extLst>
        </c:ser>
        <c:ser>
          <c:idx val="4"/>
          <c:order val="1"/>
          <c:tx>
            <c:strRef>
              <c:f>'gemini_delta-trend'!$O$2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-9.9307000000000006E-2</c:v>
                </c:pt>
                <c:pt idx="2">
                  <c:v>-0.173869</c:v>
                </c:pt>
                <c:pt idx="3">
                  <c:v>-0.20075200000000001</c:v>
                </c:pt>
                <c:pt idx="4">
                  <c:v>-0.20866699999999999</c:v>
                </c:pt>
                <c:pt idx="5">
                  <c:v>-0.21884400000000001</c:v>
                </c:pt>
                <c:pt idx="6">
                  <c:v>-0.21610399999999999</c:v>
                </c:pt>
                <c:pt idx="7">
                  <c:v>-0.23777999999999999</c:v>
                </c:pt>
                <c:pt idx="8">
                  <c:v>-0.23601900000000001</c:v>
                </c:pt>
                <c:pt idx="9">
                  <c:v>-0.25044699999999998</c:v>
                </c:pt>
                <c:pt idx="10">
                  <c:v>-0.35729699999999998</c:v>
                </c:pt>
                <c:pt idx="11">
                  <c:v>-0.362599</c:v>
                </c:pt>
                <c:pt idx="12">
                  <c:v>-0.38847100000000001</c:v>
                </c:pt>
                <c:pt idx="13">
                  <c:v>-0.40465600000000002</c:v>
                </c:pt>
                <c:pt idx="14">
                  <c:v>-0.41593000000000002</c:v>
                </c:pt>
                <c:pt idx="15">
                  <c:v>-0.433006</c:v>
                </c:pt>
                <c:pt idx="16">
                  <c:v>-0.45334999999999998</c:v>
                </c:pt>
                <c:pt idx="17">
                  <c:v>-0.46279599999999999</c:v>
                </c:pt>
                <c:pt idx="18">
                  <c:v>-0.49012699999999998</c:v>
                </c:pt>
                <c:pt idx="19">
                  <c:v>-0.46679700000000002</c:v>
                </c:pt>
                <c:pt idx="20">
                  <c:v>-0.49234699999999998</c:v>
                </c:pt>
                <c:pt idx="21">
                  <c:v>-0.48829899999999998</c:v>
                </c:pt>
                <c:pt idx="22">
                  <c:v>-0.48472199999999999</c:v>
                </c:pt>
                <c:pt idx="23">
                  <c:v>-0.49791800000000003</c:v>
                </c:pt>
                <c:pt idx="24">
                  <c:v>-0.50880700000000001</c:v>
                </c:pt>
                <c:pt idx="25">
                  <c:v>-0.51807499999999995</c:v>
                </c:pt>
                <c:pt idx="26">
                  <c:v>-0.51309899999999997</c:v>
                </c:pt>
                <c:pt idx="27">
                  <c:v>-0.51534100000000005</c:v>
                </c:pt>
                <c:pt idx="28">
                  <c:v>-0.51350700000000005</c:v>
                </c:pt>
                <c:pt idx="29">
                  <c:v>-0.50463899999999995</c:v>
                </c:pt>
                <c:pt idx="30">
                  <c:v>-0.50835300000000005</c:v>
                </c:pt>
                <c:pt idx="31">
                  <c:v>-0.52330600000000005</c:v>
                </c:pt>
                <c:pt idx="32">
                  <c:v>-0.53795800000000005</c:v>
                </c:pt>
                <c:pt idx="33">
                  <c:v>-0.54788499999999996</c:v>
                </c:pt>
                <c:pt idx="34">
                  <c:v>-0.55284699999999998</c:v>
                </c:pt>
                <c:pt idx="35">
                  <c:v>-0.52400999999999998</c:v>
                </c:pt>
                <c:pt idx="36">
                  <c:v>-0.48958699999999999</c:v>
                </c:pt>
                <c:pt idx="37">
                  <c:v>-0.50522100000000003</c:v>
                </c:pt>
                <c:pt idx="38">
                  <c:v>-0.46477000000000002</c:v>
                </c:pt>
                <c:pt idx="39">
                  <c:v>-0.50674600000000003</c:v>
                </c:pt>
                <c:pt idx="40">
                  <c:v>-0.52012899999999995</c:v>
                </c:pt>
                <c:pt idx="41">
                  <c:v>-0.56191899999999995</c:v>
                </c:pt>
                <c:pt idx="42">
                  <c:v>-0.63694899999999999</c:v>
                </c:pt>
                <c:pt idx="43">
                  <c:v>-0.64041199999999998</c:v>
                </c:pt>
                <c:pt idx="44">
                  <c:v>-0.65079299999999995</c:v>
                </c:pt>
                <c:pt idx="45">
                  <c:v>-0.62543899999999997</c:v>
                </c:pt>
                <c:pt idx="46">
                  <c:v>-0.66006100000000001</c:v>
                </c:pt>
                <c:pt idx="47">
                  <c:v>-0.64410199999999995</c:v>
                </c:pt>
                <c:pt idx="48">
                  <c:v>-0.66257600000000005</c:v>
                </c:pt>
                <c:pt idx="49">
                  <c:v>-0.66310500000000006</c:v>
                </c:pt>
                <c:pt idx="50">
                  <c:v>-0.67803999999999998</c:v>
                </c:pt>
                <c:pt idx="51">
                  <c:v>-0.67049000000000003</c:v>
                </c:pt>
                <c:pt idx="52">
                  <c:v>-0.67255299999999996</c:v>
                </c:pt>
                <c:pt idx="53">
                  <c:v>-0.68476499999999996</c:v>
                </c:pt>
                <c:pt idx="54">
                  <c:v>-0.67613199999999996</c:v>
                </c:pt>
                <c:pt idx="55">
                  <c:v>-0.68628699999999998</c:v>
                </c:pt>
                <c:pt idx="56">
                  <c:v>-0.68811699999999998</c:v>
                </c:pt>
                <c:pt idx="57">
                  <c:v>-0.69000799999999995</c:v>
                </c:pt>
                <c:pt idx="58">
                  <c:v>-0.67173300000000002</c:v>
                </c:pt>
                <c:pt idx="59">
                  <c:v>-0.67518999999999996</c:v>
                </c:pt>
                <c:pt idx="60">
                  <c:v>-0.72119200000000006</c:v>
                </c:pt>
                <c:pt idx="61">
                  <c:v>-0.72933400000000004</c:v>
                </c:pt>
                <c:pt idx="62">
                  <c:v>-0.724074</c:v>
                </c:pt>
                <c:pt idx="63">
                  <c:v>-0.72787000000000002</c:v>
                </c:pt>
                <c:pt idx="64">
                  <c:v>-0.73428099999999996</c:v>
                </c:pt>
                <c:pt idx="65">
                  <c:v>-0.73586600000000002</c:v>
                </c:pt>
                <c:pt idx="66">
                  <c:v>-0.73515200000000003</c:v>
                </c:pt>
                <c:pt idx="67">
                  <c:v>-0.74421199999999998</c:v>
                </c:pt>
                <c:pt idx="68">
                  <c:v>-0.74343800000000004</c:v>
                </c:pt>
                <c:pt idx="69">
                  <c:v>-0.750031</c:v>
                </c:pt>
                <c:pt idx="70">
                  <c:v>-0.75302500000000006</c:v>
                </c:pt>
                <c:pt idx="71">
                  <c:v>-0.75255099999999997</c:v>
                </c:pt>
                <c:pt idx="72">
                  <c:v>-0.71839900000000001</c:v>
                </c:pt>
                <c:pt idx="73">
                  <c:v>-0.76349900000000004</c:v>
                </c:pt>
                <c:pt idx="74">
                  <c:v>-0.77768199999999998</c:v>
                </c:pt>
                <c:pt idx="75">
                  <c:v>-0.76714199999999999</c:v>
                </c:pt>
                <c:pt idx="76">
                  <c:v>-0.760046</c:v>
                </c:pt>
                <c:pt idx="77">
                  <c:v>-0.77440799999999999</c:v>
                </c:pt>
                <c:pt idx="78">
                  <c:v>-0.76912999999999998</c:v>
                </c:pt>
                <c:pt idx="79">
                  <c:v>-0.80436200000000002</c:v>
                </c:pt>
                <c:pt idx="80">
                  <c:v>-0.78378800000000004</c:v>
                </c:pt>
                <c:pt idx="81">
                  <c:v>-0.78738799999999998</c:v>
                </c:pt>
                <c:pt idx="82">
                  <c:v>-0.80367100000000002</c:v>
                </c:pt>
                <c:pt idx="83">
                  <c:v>-0.79139400000000004</c:v>
                </c:pt>
                <c:pt idx="84">
                  <c:v>-0.80696999999999997</c:v>
                </c:pt>
                <c:pt idx="85">
                  <c:v>-0.73008899999999999</c:v>
                </c:pt>
                <c:pt idx="86">
                  <c:v>-0.77736099999999997</c:v>
                </c:pt>
                <c:pt idx="87">
                  <c:v>-0.76844999999999997</c:v>
                </c:pt>
                <c:pt idx="88">
                  <c:v>-0.79658099999999998</c:v>
                </c:pt>
                <c:pt idx="89">
                  <c:v>-0.82223400000000002</c:v>
                </c:pt>
                <c:pt idx="90">
                  <c:v>-0.80335000000000001</c:v>
                </c:pt>
                <c:pt idx="91">
                  <c:v>-0.80967900000000004</c:v>
                </c:pt>
                <c:pt idx="92">
                  <c:v>-0.81601400000000002</c:v>
                </c:pt>
                <c:pt idx="93">
                  <c:v>-0.78371599999999997</c:v>
                </c:pt>
                <c:pt idx="94">
                  <c:v>-0.8276</c:v>
                </c:pt>
                <c:pt idx="95">
                  <c:v>-0.82120700000000002</c:v>
                </c:pt>
                <c:pt idx="96">
                  <c:v>-0.83645199999999997</c:v>
                </c:pt>
                <c:pt idx="97">
                  <c:v>-0.84242600000000001</c:v>
                </c:pt>
                <c:pt idx="98">
                  <c:v>-0.83081300000000002</c:v>
                </c:pt>
                <c:pt idx="99">
                  <c:v>-0.86101300000000003</c:v>
                </c:pt>
                <c:pt idx="100">
                  <c:v>-0.85173100000000002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2-404C-9955-13B3DCE5DF29}"/>
            </c:ext>
          </c:extLst>
        </c:ser>
        <c:ser>
          <c:idx val="1"/>
          <c:order val="2"/>
          <c:tx>
            <c:strRef>
              <c:f>'gemini_delta-trend'!$P$2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-0.120939</c:v>
                </c:pt>
                <c:pt idx="3">
                  <c:v>-0.24698300000000001</c:v>
                </c:pt>
                <c:pt idx="4">
                  <c:v>-0.28446399999999999</c:v>
                </c:pt>
                <c:pt idx="5">
                  <c:v>-0.28740500000000002</c:v>
                </c:pt>
                <c:pt idx="6">
                  <c:v>-0.30526599999999998</c:v>
                </c:pt>
                <c:pt idx="7">
                  <c:v>-0.298651</c:v>
                </c:pt>
                <c:pt idx="8">
                  <c:v>-0.294437</c:v>
                </c:pt>
                <c:pt idx="9">
                  <c:v>-0.28421400000000002</c:v>
                </c:pt>
                <c:pt idx="10">
                  <c:v>-0.28894799999999998</c:v>
                </c:pt>
                <c:pt idx="11">
                  <c:v>-0.33011800000000002</c:v>
                </c:pt>
                <c:pt idx="12">
                  <c:v>-0.31475900000000001</c:v>
                </c:pt>
                <c:pt idx="13">
                  <c:v>-0.29758299999999999</c:v>
                </c:pt>
                <c:pt idx="14">
                  <c:v>-0.323882</c:v>
                </c:pt>
                <c:pt idx="15">
                  <c:v>-0.33624599999999999</c:v>
                </c:pt>
                <c:pt idx="16">
                  <c:v>-0.34664499999999998</c:v>
                </c:pt>
                <c:pt idx="17">
                  <c:v>-0.375718</c:v>
                </c:pt>
                <c:pt idx="18">
                  <c:v>-0.39700400000000002</c:v>
                </c:pt>
                <c:pt idx="19">
                  <c:v>-0.37015300000000001</c:v>
                </c:pt>
                <c:pt idx="20">
                  <c:v>-0.394289</c:v>
                </c:pt>
                <c:pt idx="21">
                  <c:v>-0.391486</c:v>
                </c:pt>
                <c:pt idx="22">
                  <c:v>-0.38776500000000003</c:v>
                </c:pt>
                <c:pt idx="23">
                  <c:v>-0.395397</c:v>
                </c:pt>
                <c:pt idx="24">
                  <c:v>-0.41220699999999999</c:v>
                </c:pt>
                <c:pt idx="25">
                  <c:v>-0.42371199999999998</c:v>
                </c:pt>
                <c:pt idx="26">
                  <c:v>-0.413441</c:v>
                </c:pt>
                <c:pt idx="27">
                  <c:v>-0.41661999999999999</c:v>
                </c:pt>
                <c:pt idx="28">
                  <c:v>-0.41638199999999997</c:v>
                </c:pt>
                <c:pt idx="29">
                  <c:v>-0.41530600000000001</c:v>
                </c:pt>
                <c:pt idx="30">
                  <c:v>-0.41766199999999998</c:v>
                </c:pt>
                <c:pt idx="31">
                  <c:v>-0.43512000000000001</c:v>
                </c:pt>
                <c:pt idx="32">
                  <c:v>-0.44930300000000001</c:v>
                </c:pt>
                <c:pt idx="33">
                  <c:v>-0.425792</c:v>
                </c:pt>
                <c:pt idx="34">
                  <c:v>-0.46304899999999999</c:v>
                </c:pt>
                <c:pt idx="35">
                  <c:v>-0.42434500000000003</c:v>
                </c:pt>
                <c:pt idx="36">
                  <c:v>-0.41745700000000002</c:v>
                </c:pt>
                <c:pt idx="37">
                  <c:v>-0.43302200000000002</c:v>
                </c:pt>
                <c:pt idx="38">
                  <c:v>-0.41041</c:v>
                </c:pt>
                <c:pt idx="39">
                  <c:v>-0.45006000000000002</c:v>
                </c:pt>
                <c:pt idx="40">
                  <c:v>-0.46789999999999998</c:v>
                </c:pt>
                <c:pt idx="41">
                  <c:v>-0.44371100000000002</c:v>
                </c:pt>
                <c:pt idx="42">
                  <c:v>-0.48839700000000003</c:v>
                </c:pt>
                <c:pt idx="43">
                  <c:v>-0.48205100000000001</c:v>
                </c:pt>
                <c:pt idx="44">
                  <c:v>-0.497861</c:v>
                </c:pt>
                <c:pt idx="45">
                  <c:v>-0.49458299999999999</c:v>
                </c:pt>
                <c:pt idx="46">
                  <c:v>-0.50748300000000002</c:v>
                </c:pt>
                <c:pt idx="47">
                  <c:v>-0.52851300000000001</c:v>
                </c:pt>
                <c:pt idx="48">
                  <c:v>-0.54444599999999999</c:v>
                </c:pt>
                <c:pt idx="49">
                  <c:v>-0.546848</c:v>
                </c:pt>
                <c:pt idx="50">
                  <c:v>-0.55696800000000002</c:v>
                </c:pt>
                <c:pt idx="51">
                  <c:v>-0.54993999999999998</c:v>
                </c:pt>
                <c:pt idx="52">
                  <c:v>-0.46020100000000003</c:v>
                </c:pt>
                <c:pt idx="53">
                  <c:v>-0.51325699999999996</c:v>
                </c:pt>
                <c:pt idx="54">
                  <c:v>-0.508301</c:v>
                </c:pt>
                <c:pt idx="55">
                  <c:v>-0.47927399999999998</c:v>
                </c:pt>
                <c:pt idx="56">
                  <c:v>-0.49490400000000001</c:v>
                </c:pt>
                <c:pt idx="57">
                  <c:v>-0.49814900000000001</c:v>
                </c:pt>
                <c:pt idx="58">
                  <c:v>-0.46853499999999998</c:v>
                </c:pt>
                <c:pt idx="59">
                  <c:v>-0.46385900000000002</c:v>
                </c:pt>
                <c:pt idx="60">
                  <c:v>-0.49249399999999999</c:v>
                </c:pt>
                <c:pt idx="61">
                  <c:v>-0.50169900000000001</c:v>
                </c:pt>
                <c:pt idx="62">
                  <c:v>-0.50695400000000002</c:v>
                </c:pt>
                <c:pt idx="63">
                  <c:v>-0.52526200000000001</c:v>
                </c:pt>
                <c:pt idx="64">
                  <c:v>-0.53209200000000001</c:v>
                </c:pt>
                <c:pt idx="65">
                  <c:v>-0.52364200000000005</c:v>
                </c:pt>
                <c:pt idx="66">
                  <c:v>-0.525841</c:v>
                </c:pt>
                <c:pt idx="67">
                  <c:v>-0.53468800000000005</c:v>
                </c:pt>
                <c:pt idx="68">
                  <c:v>-0.52895199999999998</c:v>
                </c:pt>
                <c:pt idx="69">
                  <c:v>-0.52874699999999997</c:v>
                </c:pt>
                <c:pt idx="70">
                  <c:v>-0.53357500000000002</c:v>
                </c:pt>
                <c:pt idx="71">
                  <c:v>-0.498728</c:v>
                </c:pt>
                <c:pt idx="72">
                  <c:v>-0.51679200000000003</c:v>
                </c:pt>
                <c:pt idx="73">
                  <c:v>-0.51666699999999999</c:v>
                </c:pt>
                <c:pt idx="74">
                  <c:v>-0.51375300000000002</c:v>
                </c:pt>
                <c:pt idx="75">
                  <c:v>-0.52901200000000004</c:v>
                </c:pt>
                <c:pt idx="76">
                  <c:v>-0.56897200000000003</c:v>
                </c:pt>
                <c:pt idx="77">
                  <c:v>-0.52920299999999998</c:v>
                </c:pt>
                <c:pt idx="78">
                  <c:v>-0.53162299999999996</c:v>
                </c:pt>
                <c:pt idx="79">
                  <c:v>-0.54319700000000004</c:v>
                </c:pt>
                <c:pt idx="80">
                  <c:v>-0.56284199999999995</c:v>
                </c:pt>
                <c:pt idx="81">
                  <c:v>-0.56717899999999999</c:v>
                </c:pt>
                <c:pt idx="82">
                  <c:v>-0.58873699999999995</c:v>
                </c:pt>
                <c:pt idx="83">
                  <c:v>-0.58560000000000001</c:v>
                </c:pt>
                <c:pt idx="84">
                  <c:v>-0.59406599999999998</c:v>
                </c:pt>
                <c:pt idx="85">
                  <c:v>-0.54777799999999999</c:v>
                </c:pt>
                <c:pt idx="86">
                  <c:v>-0.58204299999999998</c:v>
                </c:pt>
                <c:pt idx="87">
                  <c:v>-0.58754200000000001</c:v>
                </c:pt>
                <c:pt idx="88">
                  <c:v>-0.60289400000000004</c:v>
                </c:pt>
                <c:pt idx="89">
                  <c:v>-0.61526999999999998</c:v>
                </c:pt>
                <c:pt idx="90">
                  <c:v>-0.61626599999999998</c:v>
                </c:pt>
                <c:pt idx="91">
                  <c:v>-0.63444900000000004</c:v>
                </c:pt>
                <c:pt idx="92">
                  <c:v>-0.63899399999999995</c:v>
                </c:pt>
                <c:pt idx="93">
                  <c:v>-0.61651</c:v>
                </c:pt>
                <c:pt idx="94">
                  <c:v>-0.64686699999999997</c:v>
                </c:pt>
                <c:pt idx="95">
                  <c:v>-0.64502099999999996</c:v>
                </c:pt>
                <c:pt idx="96">
                  <c:v>-0.66612800000000005</c:v>
                </c:pt>
                <c:pt idx="97">
                  <c:v>-0.66658799999999996</c:v>
                </c:pt>
                <c:pt idx="98">
                  <c:v>-0.67045100000000002</c:v>
                </c:pt>
                <c:pt idx="99">
                  <c:v>-0.67421699999999996</c:v>
                </c:pt>
                <c:pt idx="100">
                  <c:v>-0.68309600000000004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72-404C-9955-13B3DCE5DF29}"/>
            </c:ext>
          </c:extLst>
        </c:ser>
        <c:ser>
          <c:idx val="2"/>
          <c:order val="3"/>
          <c:tx>
            <c:strRef>
              <c:f>'gemini_delta-trend'!$Q$2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'gemini_delta-trend'!$Q$3:$Q$104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-7.8498999999999999E-2</c:v>
                </c:pt>
                <c:pt idx="3">
                  <c:v>-0.16451099999999999</c:v>
                </c:pt>
                <c:pt idx="4">
                  <c:v>-0.18556600000000001</c:v>
                </c:pt>
                <c:pt idx="5">
                  <c:v>-0.19378600000000001</c:v>
                </c:pt>
                <c:pt idx="6">
                  <c:v>-0.19952900000000001</c:v>
                </c:pt>
                <c:pt idx="7">
                  <c:v>-0.20107900000000001</c:v>
                </c:pt>
                <c:pt idx="8">
                  <c:v>-0.194853</c:v>
                </c:pt>
                <c:pt idx="9">
                  <c:v>-0.17186499999999999</c:v>
                </c:pt>
                <c:pt idx="10">
                  <c:v>-0.185534</c:v>
                </c:pt>
                <c:pt idx="11">
                  <c:v>-0.223249</c:v>
                </c:pt>
                <c:pt idx="12">
                  <c:v>-0.229019</c:v>
                </c:pt>
                <c:pt idx="13">
                  <c:v>-0.232465</c:v>
                </c:pt>
                <c:pt idx="14">
                  <c:v>-0.20979100000000001</c:v>
                </c:pt>
                <c:pt idx="15">
                  <c:v>-0.23098399999999999</c:v>
                </c:pt>
                <c:pt idx="16">
                  <c:v>-0.25353900000000001</c:v>
                </c:pt>
                <c:pt idx="17">
                  <c:v>-0.28313300000000002</c:v>
                </c:pt>
                <c:pt idx="18">
                  <c:v>-0.30088799999999999</c:v>
                </c:pt>
                <c:pt idx="19">
                  <c:v>-0.29649700000000001</c:v>
                </c:pt>
                <c:pt idx="20">
                  <c:v>-0.31769900000000001</c:v>
                </c:pt>
                <c:pt idx="21">
                  <c:v>-0.326013</c:v>
                </c:pt>
                <c:pt idx="22">
                  <c:v>-0.32111400000000001</c:v>
                </c:pt>
                <c:pt idx="23">
                  <c:v>-0.31426300000000001</c:v>
                </c:pt>
                <c:pt idx="24">
                  <c:v>-0.32353500000000002</c:v>
                </c:pt>
                <c:pt idx="25">
                  <c:v>-0.320822</c:v>
                </c:pt>
                <c:pt idx="26">
                  <c:v>-0.32227600000000001</c:v>
                </c:pt>
                <c:pt idx="27">
                  <c:v>-0.318799</c:v>
                </c:pt>
                <c:pt idx="28">
                  <c:v>-0.31800099999999998</c:v>
                </c:pt>
                <c:pt idx="29">
                  <c:v>-0.32087900000000003</c:v>
                </c:pt>
                <c:pt idx="30">
                  <c:v>-0.32471</c:v>
                </c:pt>
                <c:pt idx="31">
                  <c:v>-0.34485199999999999</c:v>
                </c:pt>
                <c:pt idx="32">
                  <c:v>-0.35936499999999999</c:v>
                </c:pt>
                <c:pt idx="33">
                  <c:v>-0.365284</c:v>
                </c:pt>
                <c:pt idx="34">
                  <c:v>-0.374581</c:v>
                </c:pt>
                <c:pt idx="35">
                  <c:v>-0.377743</c:v>
                </c:pt>
                <c:pt idx="36">
                  <c:v>-0.36093199999999998</c:v>
                </c:pt>
                <c:pt idx="37">
                  <c:v>-0.39829500000000001</c:v>
                </c:pt>
                <c:pt idx="38">
                  <c:v>-0.31917800000000002</c:v>
                </c:pt>
                <c:pt idx="39">
                  <c:v>-0.34983300000000001</c:v>
                </c:pt>
                <c:pt idx="40">
                  <c:v>-0.37297999999999998</c:v>
                </c:pt>
                <c:pt idx="41">
                  <c:v>-0.406138</c:v>
                </c:pt>
                <c:pt idx="42">
                  <c:v>-0.43859500000000001</c:v>
                </c:pt>
                <c:pt idx="43">
                  <c:v>-0.446413</c:v>
                </c:pt>
                <c:pt idx="44">
                  <c:v>-0.45927000000000001</c:v>
                </c:pt>
                <c:pt idx="45">
                  <c:v>-0.46997299999999997</c:v>
                </c:pt>
                <c:pt idx="46">
                  <c:v>-0.46315400000000001</c:v>
                </c:pt>
                <c:pt idx="47">
                  <c:v>-0.46966000000000002</c:v>
                </c:pt>
                <c:pt idx="48">
                  <c:v>-0.48436600000000002</c:v>
                </c:pt>
                <c:pt idx="49">
                  <c:v>-0.490199</c:v>
                </c:pt>
                <c:pt idx="50">
                  <c:v>-0.494232</c:v>
                </c:pt>
                <c:pt idx="51">
                  <c:v>-0.49060799999999999</c:v>
                </c:pt>
                <c:pt idx="52">
                  <c:v>-0.445023</c:v>
                </c:pt>
                <c:pt idx="53">
                  <c:v>-0.50156900000000004</c:v>
                </c:pt>
                <c:pt idx="54">
                  <c:v>-0.49575900000000001</c:v>
                </c:pt>
                <c:pt idx="55">
                  <c:v>-0.50544800000000001</c:v>
                </c:pt>
                <c:pt idx="56">
                  <c:v>-0.53606699999999996</c:v>
                </c:pt>
                <c:pt idx="57">
                  <c:v>-0.53442699999999999</c:v>
                </c:pt>
                <c:pt idx="58">
                  <c:v>-0.44791399999999998</c:v>
                </c:pt>
                <c:pt idx="59">
                  <c:v>-0.44846399999999997</c:v>
                </c:pt>
                <c:pt idx="60">
                  <c:v>-0.46038299999999999</c:v>
                </c:pt>
                <c:pt idx="61">
                  <c:v>-0.46406900000000001</c:v>
                </c:pt>
                <c:pt idx="62">
                  <c:v>-0.45733000000000001</c:v>
                </c:pt>
                <c:pt idx="63">
                  <c:v>-0.46957599999999999</c:v>
                </c:pt>
                <c:pt idx="64">
                  <c:v>-0.47460999999999998</c:v>
                </c:pt>
                <c:pt idx="65">
                  <c:v>-0.46516299999999999</c:v>
                </c:pt>
                <c:pt idx="66">
                  <c:v>-0.46942299999999998</c:v>
                </c:pt>
                <c:pt idx="67">
                  <c:v>-0.48031200000000002</c:v>
                </c:pt>
                <c:pt idx="68">
                  <c:v>-0.488593</c:v>
                </c:pt>
                <c:pt idx="69">
                  <c:v>-0.49166900000000002</c:v>
                </c:pt>
                <c:pt idx="70">
                  <c:v>-0.49380800000000002</c:v>
                </c:pt>
                <c:pt idx="71">
                  <c:v>-0.43026599999999998</c:v>
                </c:pt>
                <c:pt idx="72">
                  <c:v>-0.48586699999999999</c:v>
                </c:pt>
                <c:pt idx="73">
                  <c:v>-0.36067700000000003</c:v>
                </c:pt>
                <c:pt idx="74">
                  <c:v>-0.39000499999999999</c:v>
                </c:pt>
                <c:pt idx="75">
                  <c:v>-0.40539500000000001</c:v>
                </c:pt>
                <c:pt idx="76">
                  <c:v>-0.42828100000000002</c:v>
                </c:pt>
                <c:pt idx="77">
                  <c:v>-0.42840099999999998</c:v>
                </c:pt>
                <c:pt idx="78">
                  <c:v>-0.45747399999999999</c:v>
                </c:pt>
                <c:pt idx="79">
                  <c:v>-0.482458</c:v>
                </c:pt>
                <c:pt idx="80">
                  <c:v>-0.46714600000000001</c:v>
                </c:pt>
                <c:pt idx="81">
                  <c:v>-0.47046399999999999</c:v>
                </c:pt>
                <c:pt idx="82">
                  <c:v>-0.48250199999999999</c:v>
                </c:pt>
                <c:pt idx="83">
                  <c:v>-0.47866500000000001</c:v>
                </c:pt>
                <c:pt idx="84">
                  <c:v>-0.48581200000000002</c:v>
                </c:pt>
                <c:pt idx="85">
                  <c:v>-0.46376400000000001</c:v>
                </c:pt>
                <c:pt idx="86">
                  <c:v>-0.50180400000000003</c:v>
                </c:pt>
                <c:pt idx="87">
                  <c:v>-0.50976100000000002</c:v>
                </c:pt>
                <c:pt idx="88">
                  <c:v>-0.51072899999999999</c:v>
                </c:pt>
                <c:pt idx="89">
                  <c:v>-0.52863199999999999</c:v>
                </c:pt>
                <c:pt idx="90">
                  <c:v>-0.527362</c:v>
                </c:pt>
                <c:pt idx="91">
                  <c:v>-0.53938399999999997</c:v>
                </c:pt>
                <c:pt idx="92">
                  <c:v>-0.55040900000000004</c:v>
                </c:pt>
                <c:pt idx="93">
                  <c:v>-0.50388500000000003</c:v>
                </c:pt>
                <c:pt idx="94">
                  <c:v>-0.51858599999999999</c:v>
                </c:pt>
                <c:pt idx="95">
                  <c:v>-0.51567600000000002</c:v>
                </c:pt>
                <c:pt idx="96">
                  <c:v>-0.52969699999999997</c:v>
                </c:pt>
                <c:pt idx="97">
                  <c:v>-0.52750200000000003</c:v>
                </c:pt>
                <c:pt idx="98">
                  <c:v>-0.53233399999999997</c:v>
                </c:pt>
                <c:pt idx="99">
                  <c:v>-0.54558399999999996</c:v>
                </c:pt>
                <c:pt idx="100">
                  <c:v>-0.54631700000000005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F72-404C-9955-13B3DCE5DF29}"/>
            </c:ext>
          </c:extLst>
        </c:ser>
        <c:ser>
          <c:idx val="3"/>
          <c:order val="4"/>
          <c:tx>
            <c:strRef>
              <c:f>'gemini_delta-trend'!$R$2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-1.8009000000000001E-2</c:v>
                </c:pt>
                <c:pt idx="3">
                  <c:v>-0.13525899999999999</c:v>
                </c:pt>
                <c:pt idx="4">
                  <c:v>-0.16104099999999999</c:v>
                </c:pt>
                <c:pt idx="5">
                  <c:v>-0.168965</c:v>
                </c:pt>
                <c:pt idx="6">
                  <c:v>-0.17733099999999999</c:v>
                </c:pt>
                <c:pt idx="7">
                  <c:v>-0.19097</c:v>
                </c:pt>
                <c:pt idx="8">
                  <c:v>-0.19428599999999999</c:v>
                </c:pt>
                <c:pt idx="9">
                  <c:v>-0.20729</c:v>
                </c:pt>
                <c:pt idx="10">
                  <c:v>-0.29347299999999998</c:v>
                </c:pt>
                <c:pt idx="11">
                  <c:v>-0.34630100000000003</c:v>
                </c:pt>
                <c:pt idx="12">
                  <c:v>-0.35424800000000001</c:v>
                </c:pt>
                <c:pt idx="13">
                  <c:v>-0.35560399999999998</c:v>
                </c:pt>
                <c:pt idx="14">
                  <c:v>-0.36507400000000001</c:v>
                </c:pt>
                <c:pt idx="15">
                  <c:v>-0.37881500000000001</c:v>
                </c:pt>
                <c:pt idx="16">
                  <c:v>-0.39791300000000002</c:v>
                </c:pt>
                <c:pt idx="17">
                  <c:v>-0.429921</c:v>
                </c:pt>
                <c:pt idx="18">
                  <c:v>-0.45526</c:v>
                </c:pt>
                <c:pt idx="19">
                  <c:v>-0.45780700000000002</c:v>
                </c:pt>
                <c:pt idx="20">
                  <c:v>-0.45935500000000001</c:v>
                </c:pt>
                <c:pt idx="21">
                  <c:v>-0.46277200000000002</c:v>
                </c:pt>
                <c:pt idx="22">
                  <c:v>-0.46503100000000003</c:v>
                </c:pt>
                <c:pt idx="23">
                  <c:v>-0.47089300000000001</c:v>
                </c:pt>
                <c:pt idx="24">
                  <c:v>-0.48467700000000002</c:v>
                </c:pt>
                <c:pt idx="25">
                  <c:v>-0.49332199999999998</c:v>
                </c:pt>
                <c:pt idx="26">
                  <c:v>-0.49385499999999999</c:v>
                </c:pt>
                <c:pt idx="27">
                  <c:v>-0.49511100000000002</c:v>
                </c:pt>
                <c:pt idx="28">
                  <c:v>-0.49888900000000003</c:v>
                </c:pt>
                <c:pt idx="29">
                  <c:v>-0.50471699999999997</c:v>
                </c:pt>
                <c:pt idx="30">
                  <c:v>-0.507579</c:v>
                </c:pt>
                <c:pt idx="31">
                  <c:v>-0.51539100000000004</c:v>
                </c:pt>
                <c:pt idx="32">
                  <c:v>-0.52995599999999998</c:v>
                </c:pt>
                <c:pt idx="33">
                  <c:v>-0.53806600000000004</c:v>
                </c:pt>
                <c:pt idx="34">
                  <c:v>-0.54793499999999995</c:v>
                </c:pt>
                <c:pt idx="35">
                  <c:v>-0.55931799999999998</c:v>
                </c:pt>
                <c:pt idx="36">
                  <c:v>-0.56135000000000002</c:v>
                </c:pt>
                <c:pt idx="37">
                  <c:v>-0.56518500000000005</c:v>
                </c:pt>
                <c:pt idx="38">
                  <c:v>-0.57203700000000002</c:v>
                </c:pt>
                <c:pt idx="39">
                  <c:v>-0.58968600000000004</c:v>
                </c:pt>
                <c:pt idx="40">
                  <c:v>-0.60023400000000005</c:v>
                </c:pt>
                <c:pt idx="41">
                  <c:v>-0.62029400000000001</c:v>
                </c:pt>
                <c:pt idx="42">
                  <c:v>-0.62496200000000002</c:v>
                </c:pt>
                <c:pt idx="43">
                  <c:v>-0.62587700000000002</c:v>
                </c:pt>
                <c:pt idx="44">
                  <c:v>-0.62612699999999999</c:v>
                </c:pt>
                <c:pt idx="45">
                  <c:v>-0.63060099999999997</c:v>
                </c:pt>
                <c:pt idx="46">
                  <c:v>-0.63245099999999999</c:v>
                </c:pt>
                <c:pt idx="47">
                  <c:v>-0.63872600000000002</c:v>
                </c:pt>
                <c:pt idx="48">
                  <c:v>-0.65365600000000001</c:v>
                </c:pt>
                <c:pt idx="49">
                  <c:v>-0.656057</c:v>
                </c:pt>
                <c:pt idx="50">
                  <c:v>-0.66080099999999997</c:v>
                </c:pt>
                <c:pt idx="51">
                  <c:v>-0.66207700000000003</c:v>
                </c:pt>
                <c:pt idx="52">
                  <c:v>-0.66661300000000001</c:v>
                </c:pt>
                <c:pt idx="53">
                  <c:v>-0.67633900000000002</c:v>
                </c:pt>
                <c:pt idx="54">
                  <c:v>-0.67625800000000003</c:v>
                </c:pt>
                <c:pt idx="55">
                  <c:v>-0.67431600000000003</c:v>
                </c:pt>
                <c:pt idx="56">
                  <c:v>-0.69751799999999997</c:v>
                </c:pt>
                <c:pt idx="57">
                  <c:v>-0.70415899999999998</c:v>
                </c:pt>
                <c:pt idx="58">
                  <c:v>-0.70573600000000003</c:v>
                </c:pt>
                <c:pt idx="59">
                  <c:v>-0.70694000000000001</c:v>
                </c:pt>
                <c:pt idx="60">
                  <c:v>-0.71557400000000004</c:v>
                </c:pt>
                <c:pt idx="61">
                  <c:v>-0.718144</c:v>
                </c:pt>
                <c:pt idx="62">
                  <c:v>-0.72244200000000003</c:v>
                </c:pt>
                <c:pt idx="63">
                  <c:v>-0.724217</c:v>
                </c:pt>
                <c:pt idx="64">
                  <c:v>-0.73489400000000005</c:v>
                </c:pt>
                <c:pt idx="65">
                  <c:v>-0.76285999999999998</c:v>
                </c:pt>
                <c:pt idx="66">
                  <c:v>-0.77117400000000003</c:v>
                </c:pt>
                <c:pt idx="67">
                  <c:v>-0.77307400000000004</c:v>
                </c:pt>
                <c:pt idx="68">
                  <c:v>-0.77986900000000003</c:v>
                </c:pt>
                <c:pt idx="69">
                  <c:v>-0.77954500000000004</c:v>
                </c:pt>
                <c:pt idx="70">
                  <c:v>-0.77705000000000002</c:v>
                </c:pt>
                <c:pt idx="71">
                  <c:v>-0.79009300000000005</c:v>
                </c:pt>
                <c:pt idx="72">
                  <c:v>-0.79177299999999995</c:v>
                </c:pt>
                <c:pt idx="73">
                  <c:v>-0.792319</c:v>
                </c:pt>
                <c:pt idx="74">
                  <c:v>-0.79396199999999995</c:v>
                </c:pt>
                <c:pt idx="75">
                  <c:v>-0.79803299999999999</c:v>
                </c:pt>
                <c:pt idx="76">
                  <c:v>-0.800122</c:v>
                </c:pt>
                <c:pt idx="77">
                  <c:v>-0.79260399999999998</c:v>
                </c:pt>
                <c:pt idx="78">
                  <c:v>-0.81621200000000005</c:v>
                </c:pt>
                <c:pt idx="79">
                  <c:v>-0.82610700000000004</c:v>
                </c:pt>
                <c:pt idx="80">
                  <c:v>-0.82288499999999998</c:v>
                </c:pt>
                <c:pt idx="81">
                  <c:v>-0.83368500000000001</c:v>
                </c:pt>
                <c:pt idx="82">
                  <c:v>-0.83218400000000003</c:v>
                </c:pt>
                <c:pt idx="83">
                  <c:v>-0.83844700000000005</c:v>
                </c:pt>
                <c:pt idx="84">
                  <c:v>-0.84558999999999995</c:v>
                </c:pt>
                <c:pt idx="85">
                  <c:v>-0.84591499999999997</c:v>
                </c:pt>
                <c:pt idx="86">
                  <c:v>-0.84774700000000003</c:v>
                </c:pt>
                <c:pt idx="87">
                  <c:v>-0.85247600000000001</c:v>
                </c:pt>
                <c:pt idx="88">
                  <c:v>-0.85761900000000002</c:v>
                </c:pt>
                <c:pt idx="89">
                  <c:v>-0.86119299999999999</c:v>
                </c:pt>
                <c:pt idx="90">
                  <c:v>-0.87098299999999995</c:v>
                </c:pt>
                <c:pt idx="91">
                  <c:v>-0.86532799999999999</c:v>
                </c:pt>
                <c:pt idx="92">
                  <c:v>-0.87881799999999999</c:v>
                </c:pt>
                <c:pt idx="93">
                  <c:v>-0.88364200000000004</c:v>
                </c:pt>
                <c:pt idx="94">
                  <c:v>-0.875305</c:v>
                </c:pt>
                <c:pt idx="95">
                  <c:v>-0.88373900000000005</c:v>
                </c:pt>
                <c:pt idx="96">
                  <c:v>-0.90153899999999998</c:v>
                </c:pt>
                <c:pt idx="97">
                  <c:v>-0.90561000000000003</c:v>
                </c:pt>
                <c:pt idx="98">
                  <c:v>-0.89309700000000003</c:v>
                </c:pt>
                <c:pt idx="99">
                  <c:v>-0.91797399999999996</c:v>
                </c:pt>
                <c:pt idx="100">
                  <c:v>-0.91516299999999995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F72-404C-9955-13B3DCE5D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-3.0155999999999999E-2</c:v>
                </c:pt>
                <c:pt idx="2">
                  <c:v>-3.5296000000000001E-2</c:v>
                </c:pt>
                <c:pt idx="3">
                  <c:v>-7.0091000000000001E-2</c:v>
                </c:pt>
                <c:pt idx="4">
                  <c:v>-7.5004000000000001E-2</c:v>
                </c:pt>
                <c:pt idx="5">
                  <c:v>-0.114264</c:v>
                </c:pt>
                <c:pt idx="6">
                  <c:v>-0.12564400000000001</c:v>
                </c:pt>
                <c:pt idx="7">
                  <c:v>-0.133354</c:v>
                </c:pt>
                <c:pt idx="8">
                  <c:v>-0.145677</c:v>
                </c:pt>
                <c:pt idx="9">
                  <c:v>-0.15487899999999999</c:v>
                </c:pt>
                <c:pt idx="10">
                  <c:v>-0.159521</c:v>
                </c:pt>
                <c:pt idx="11">
                  <c:v>-0.16021299999999999</c:v>
                </c:pt>
                <c:pt idx="12">
                  <c:v>-0.165463</c:v>
                </c:pt>
                <c:pt idx="13">
                  <c:v>-0.192354</c:v>
                </c:pt>
                <c:pt idx="14">
                  <c:v>-0.203404</c:v>
                </c:pt>
                <c:pt idx="15">
                  <c:v>-0.20901400000000001</c:v>
                </c:pt>
                <c:pt idx="16">
                  <c:v>-0.21564700000000001</c:v>
                </c:pt>
                <c:pt idx="17">
                  <c:v>-0.22789899999999999</c:v>
                </c:pt>
                <c:pt idx="18">
                  <c:v>-0.233458</c:v>
                </c:pt>
                <c:pt idx="19">
                  <c:v>-0.24118000000000001</c:v>
                </c:pt>
                <c:pt idx="20">
                  <c:v>-0.25962200000000002</c:v>
                </c:pt>
                <c:pt idx="21">
                  <c:v>-0.26831199999999999</c:v>
                </c:pt>
                <c:pt idx="22">
                  <c:v>-0.26980500000000002</c:v>
                </c:pt>
                <c:pt idx="23">
                  <c:v>-0.27346599999999999</c:v>
                </c:pt>
                <c:pt idx="24">
                  <c:v>-0.285138</c:v>
                </c:pt>
                <c:pt idx="25">
                  <c:v>-0.29225299999999999</c:v>
                </c:pt>
                <c:pt idx="26">
                  <c:v>-0.30003099999999999</c:v>
                </c:pt>
                <c:pt idx="27">
                  <c:v>-0.30596400000000001</c:v>
                </c:pt>
                <c:pt idx="28">
                  <c:v>-0.31095800000000001</c:v>
                </c:pt>
                <c:pt idx="29">
                  <c:v>-0.31419200000000003</c:v>
                </c:pt>
                <c:pt idx="30">
                  <c:v>-0.32980599999999999</c:v>
                </c:pt>
                <c:pt idx="31">
                  <c:v>-0.34392899999999998</c:v>
                </c:pt>
                <c:pt idx="32">
                  <c:v>-0.34807500000000002</c:v>
                </c:pt>
                <c:pt idx="33">
                  <c:v>-0.35228799999999999</c:v>
                </c:pt>
                <c:pt idx="34">
                  <c:v>-0.36438799999999999</c:v>
                </c:pt>
                <c:pt idx="35">
                  <c:v>-0.38800000000000001</c:v>
                </c:pt>
                <c:pt idx="36">
                  <c:v>-0.40697</c:v>
                </c:pt>
                <c:pt idx="37">
                  <c:v>-0.41555199999999998</c:v>
                </c:pt>
                <c:pt idx="38">
                  <c:v>-0.42227599999999998</c:v>
                </c:pt>
                <c:pt idx="39">
                  <c:v>-0.42408400000000002</c:v>
                </c:pt>
                <c:pt idx="40">
                  <c:v>-0.42805700000000002</c:v>
                </c:pt>
                <c:pt idx="41">
                  <c:v>-0.43346099999999999</c:v>
                </c:pt>
                <c:pt idx="42">
                  <c:v>-0.43663000000000002</c:v>
                </c:pt>
                <c:pt idx="43">
                  <c:v>-0.44144800000000001</c:v>
                </c:pt>
                <c:pt idx="44">
                  <c:v>-0.44354500000000002</c:v>
                </c:pt>
                <c:pt idx="45">
                  <c:v>-0.44722600000000001</c:v>
                </c:pt>
                <c:pt idx="46">
                  <c:v>-0.45061800000000002</c:v>
                </c:pt>
                <c:pt idx="47">
                  <c:v>-0.450631</c:v>
                </c:pt>
                <c:pt idx="48">
                  <c:v>-0.45363900000000001</c:v>
                </c:pt>
                <c:pt idx="49">
                  <c:v>-0.460061</c:v>
                </c:pt>
                <c:pt idx="50">
                  <c:v>-0.46479700000000002</c:v>
                </c:pt>
                <c:pt idx="51">
                  <c:v>-0.468586</c:v>
                </c:pt>
                <c:pt idx="52">
                  <c:v>-0.46995300000000001</c:v>
                </c:pt>
                <c:pt idx="53">
                  <c:v>-0.471026</c:v>
                </c:pt>
                <c:pt idx="54">
                  <c:v>-0.47239500000000001</c:v>
                </c:pt>
                <c:pt idx="55">
                  <c:v>-0.47506300000000001</c:v>
                </c:pt>
                <c:pt idx="56">
                  <c:v>-0.47673199999999999</c:v>
                </c:pt>
                <c:pt idx="57">
                  <c:v>-0.48085099999999997</c:v>
                </c:pt>
                <c:pt idx="58">
                  <c:v>-0.48441099999999998</c:v>
                </c:pt>
                <c:pt idx="59">
                  <c:v>-0.48574000000000001</c:v>
                </c:pt>
                <c:pt idx="60">
                  <c:v>-0.48918099999999998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74-364D-9F9A-1465266E87FE}"/>
            </c:ext>
          </c:extLst>
        </c:ser>
        <c:ser>
          <c:idx val="4"/>
          <c:order val="1"/>
          <c:tx>
            <c:strRef>
              <c:f>'gemini_delta-trend'!$U$2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-3.5369999999999999E-2</c:v>
                </c:pt>
                <c:pt idx="2">
                  <c:v>-3.9633000000000002E-2</c:v>
                </c:pt>
                <c:pt idx="3">
                  <c:v>-6.8113000000000007E-2</c:v>
                </c:pt>
                <c:pt idx="4">
                  <c:v>-7.1115999999999999E-2</c:v>
                </c:pt>
                <c:pt idx="5">
                  <c:v>-9.7751000000000005E-2</c:v>
                </c:pt>
                <c:pt idx="6">
                  <c:v>-0.101927</c:v>
                </c:pt>
                <c:pt idx="7">
                  <c:v>-0.106923</c:v>
                </c:pt>
                <c:pt idx="8">
                  <c:v>-0.110668</c:v>
                </c:pt>
                <c:pt idx="9">
                  <c:v>-0.113396</c:v>
                </c:pt>
                <c:pt idx="10">
                  <c:v>-0.105892</c:v>
                </c:pt>
                <c:pt idx="11">
                  <c:v>-0.107075</c:v>
                </c:pt>
                <c:pt idx="12">
                  <c:v>-0.112155</c:v>
                </c:pt>
                <c:pt idx="13">
                  <c:v>-0.13697200000000001</c:v>
                </c:pt>
                <c:pt idx="14">
                  <c:v>-0.165021</c:v>
                </c:pt>
                <c:pt idx="15">
                  <c:v>-0.16991200000000001</c:v>
                </c:pt>
                <c:pt idx="16">
                  <c:v>-0.175346</c:v>
                </c:pt>
                <c:pt idx="17">
                  <c:v>-0.18368999999999999</c:v>
                </c:pt>
                <c:pt idx="18">
                  <c:v>-0.18665899999999999</c:v>
                </c:pt>
                <c:pt idx="19">
                  <c:v>-0.19007299999999999</c:v>
                </c:pt>
                <c:pt idx="20">
                  <c:v>-0.18528800000000001</c:v>
                </c:pt>
                <c:pt idx="21">
                  <c:v>-0.187057</c:v>
                </c:pt>
                <c:pt idx="22">
                  <c:v>-0.18908</c:v>
                </c:pt>
                <c:pt idx="23">
                  <c:v>-0.19232199999999999</c:v>
                </c:pt>
                <c:pt idx="24">
                  <c:v>-0.20346800000000001</c:v>
                </c:pt>
                <c:pt idx="25">
                  <c:v>-0.20651600000000001</c:v>
                </c:pt>
                <c:pt idx="26">
                  <c:v>-0.20463200000000001</c:v>
                </c:pt>
                <c:pt idx="27">
                  <c:v>-0.20785000000000001</c:v>
                </c:pt>
                <c:pt idx="28">
                  <c:v>-0.207951</c:v>
                </c:pt>
                <c:pt idx="29">
                  <c:v>-0.214172</c:v>
                </c:pt>
                <c:pt idx="30">
                  <c:v>-0.221134</c:v>
                </c:pt>
                <c:pt idx="31">
                  <c:v>-0.22246099999999999</c:v>
                </c:pt>
                <c:pt idx="32">
                  <c:v>-0.217918</c:v>
                </c:pt>
                <c:pt idx="33">
                  <c:v>-0.22720199999999999</c:v>
                </c:pt>
                <c:pt idx="34">
                  <c:v>-0.21859400000000001</c:v>
                </c:pt>
                <c:pt idx="35">
                  <c:v>-0.24204700000000001</c:v>
                </c:pt>
                <c:pt idx="36">
                  <c:v>-0.25209199999999998</c:v>
                </c:pt>
                <c:pt idx="37">
                  <c:v>-0.25834299999999999</c:v>
                </c:pt>
                <c:pt idx="38">
                  <c:v>-0.25822600000000001</c:v>
                </c:pt>
                <c:pt idx="39">
                  <c:v>-0.25175700000000001</c:v>
                </c:pt>
                <c:pt idx="40">
                  <c:v>-0.25220500000000001</c:v>
                </c:pt>
                <c:pt idx="41">
                  <c:v>-0.24340400000000001</c:v>
                </c:pt>
                <c:pt idx="42">
                  <c:v>-0.25531599999999999</c:v>
                </c:pt>
                <c:pt idx="43">
                  <c:v>-0.260158</c:v>
                </c:pt>
                <c:pt idx="44">
                  <c:v>-0.26528299999999999</c:v>
                </c:pt>
                <c:pt idx="45">
                  <c:v>-0.26576300000000003</c:v>
                </c:pt>
                <c:pt idx="46">
                  <c:v>-0.26734000000000002</c:v>
                </c:pt>
                <c:pt idx="47">
                  <c:v>-0.25837599999999999</c:v>
                </c:pt>
                <c:pt idx="48">
                  <c:v>-0.26568700000000001</c:v>
                </c:pt>
                <c:pt idx="49">
                  <c:v>-0.26956200000000002</c:v>
                </c:pt>
                <c:pt idx="50">
                  <c:v>-0.26858100000000001</c:v>
                </c:pt>
                <c:pt idx="51">
                  <c:v>-0.26401400000000003</c:v>
                </c:pt>
                <c:pt idx="52">
                  <c:v>-0.26636900000000002</c:v>
                </c:pt>
                <c:pt idx="53">
                  <c:v>-0.25629800000000003</c:v>
                </c:pt>
                <c:pt idx="54">
                  <c:v>-0.23596900000000001</c:v>
                </c:pt>
                <c:pt idx="55">
                  <c:v>-0.23474500000000001</c:v>
                </c:pt>
                <c:pt idx="56">
                  <c:v>-0.23430999999999999</c:v>
                </c:pt>
                <c:pt idx="57">
                  <c:v>-0.23386999999999999</c:v>
                </c:pt>
                <c:pt idx="58">
                  <c:v>-0.236876</c:v>
                </c:pt>
                <c:pt idx="59">
                  <c:v>-0.23308499999999999</c:v>
                </c:pt>
                <c:pt idx="60">
                  <c:v>-0.25151000000000001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4-364D-9F9A-1465266E87FE}"/>
            </c:ext>
          </c:extLst>
        </c:ser>
        <c:ser>
          <c:idx val="1"/>
          <c:order val="2"/>
          <c:tx>
            <c:strRef>
              <c:f>'gemini_delta-trend'!$V$2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-4.19E-2</c:v>
                </c:pt>
                <c:pt idx="2">
                  <c:v>-4.2265999999999998E-2</c:v>
                </c:pt>
                <c:pt idx="3">
                  <c:v>-3.8725000000000002E-2</c:v>
                </c:pt>
                <c:pt idx="4">
                  <c:v>-3.9488000000000002E-2</c:v>
                </c:pt>
                <c:pt idx="5">
                  <c:v>-5.9166000000000003E-2</c:v>
                </c:pt>
                <c:pt idx="6">
                  <c:v>-5.8630000000000002E-2</c:v>
                </c:pt>
                <c:pt idx="7">
                  <c:v>-6.0517000000000001E-2</c:v>
                </c:pt>
                <c:pt idx="8">
                  <c:v>-6.9990999999999998E-2</c:v>
                </c:pt>
                <c:pt idx="9">
                  <c:v>-7.177E-2</c:v>
                </c:pt>
                <c:pt idx="10">
                  <c:v>-6.7209000000000005E-2</c:v>
                </c:pt>
                <c:pt idx="11">
                  <c:v>-6.9757E-2</c:v>
                </c:pt>
                <c:pt idx="12">
                  <c:v>-6.8753999999999996E-2</c:v>
                </c:pt>
                <c:pt idx="13">
                  <c:v>-6.7653000000000005E-2</c:v>
                </c:pt>
                <c:pt idx="14">
                  <c:v>-6.6767000000000007E-2</c:v>
                </c:pt>
                <c:pt idx="15">
                  <c:v>-7.2658E-2</c:v>
                </c:pt>
                <c:pt idx="16">
                  <c:v>-8.5171999999999998E-2</c:v>
                </c:pt>
                <c:pt idx="17">
                  <c:v>-0.101419</c:v>
                </c:pt>
                <c:pt idx="18">
                  <c:v>-0.10563699999999999</c:v>
                </c:pt>
                <c:pt idx="19">
                  <c:v>-0.106402</c:v>
                </c:pt>
                <c:pt idx="20">
                  <c:v>-0.102371</c:v>
                </c:pt>
                <c:pt idx="21">
                  <c:v>-9.6178E-2</c:v>
                </c:pt>
                <c:pt idx="22">
                  <c:v>-9.9423999999999998E-2</c:v>
                </c:pt>
                <c:pt idx="23">
                  <c:v>-9.2701000000000006E-2</c:v>
                </c:pt>
                <c:pt idx="24">
                  <c:v>-8.3373000000000003E-2</c:v>
                </c:pt>
                <c:pt idx="25">
                  <c:v>-7.7883999999999995E-2</c:v>
                </c:pt>
                <c:pt idx="26">
                  <c:v>-7.3271000000000003E-2</c:v>
                </c:pt>
                <c:pt idx="27">
                  <c:v>-7.1479000000000001E-2</c:v>
                </c:pt>
                <c:pt idx="28">
                  <c:v>-7.5213000000000002E-2</c:v>
                </c:pt>
                <c:pt idx="29">
                  <c:v>-5.9492999999999997E-2</c:v>
                </c:pt>
                <c:pt idx="30">
                  <c:v>-6.6934999999999995E-2</c:v>
                </c:pt>
                <c:pt idx="31">
                  <c:v>-6.6461000000000006E-2</c:v>
                </c:pt>
                <c:pt idx="32">
                  <c:v>-5.2382999999999999E-2</c:v>
                </c:pt>
                <c:pt idx="33">
                  <c:v>-5.9431999999999999E-2</c:v>
                </c:pt>
                <c:pt idx="34">
                  <c:v>-6.1582999999999999E-2</c:v>
                </c:pt>
                <c:pt idx="35">
                  <c:v>-7.3326000000000002E-2</c:v>
                </c:pt>
                <c:pt idx="36">
                  <c:v>-7.5098999999999999E-2</c:v>
                </c:pt>
                <c:pt idx="37">
                  <c:v>-8.4984000000000004E-2</c:v>
                </c:pt>
                <c:pt idx="38">
                  <c:v>-9.4370999999999997E-2</c:v>
                </c:pt>
                <c:pt idx="39">
                  <c:v>-0.101908</c:v>
                </c:pt>
                <c:pt idx="40">
                  <c:v>-0.111535</c:v>
                </c:pt>
                <c:pt idx="41">
                  <c:v>-0.11916499999999999</c:v>
                </c:pt>
                <c:pt idx="42">
                  <c:v>-0.12493600000000001</c:v>
                </c:pt>
                <c:pt idx="43">
                  <c:v>-0.124445</c:v>
                </c:pt>
                <c:pt idx="44">
                  <c:v>-0.126861</c:v>
                </c:pt>
                <c:pt idx="45">
                  <c:v>-0.126585</c:v>
                </c:pt>
                <c:pt idx="46">
                  <c:v>-0.12776899999999999</c:v>
                </c:pt>
                <c:pt idx="47">
                  <c:v>-0.119837</c:v>
                </c:pt>
                <c:pt idx="48">
                  <c:v>-0.11990199999999999</c:v>
                </c:pt>
                <c:pt idx="49">
                  <c:v>-0.123056</c:v>
                </c:pt>
                <c:pt idx="50">
                  <c:v>-0.116062</c:v>
                </c:pt>
                <c:pt idx="51">
                  <c:v>-0.11594500000000001</c:v>
                </c:pt>
                <c:pt idx="52">
                  <c:v>-0.116355</c:v>
                </c:pt>
                <c:pt idx="53">
                  <c:v>-0.110578</c:v>
                </c:pt>
                <c:pt idx="54">
                  <c:v>-0.10628799999999999</c:v>
                </c:pt>
                <c:pt idx="55">
                  <c:v>-0.10413</c:v>
                </c:pt>
                <c:pt idx="56">
                  <c:v>-0.101808</c:v>
                </c:pt>
                <c:pt idx="57">
                  <c:v>-0.100317</c:v>
                </c:pt>
                <c:pt idx="58">
                  <c:v>-9.9975999999999995E-2</c:v>
                </c:pt>
                <c:pt idx="59">
                  <c:v>-7.1015999999999996E-2</c:v>
                </c:pt>
                <c:pt idx="60">
                  <c:v>-7.3568999999999996E-2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74-364D-9F9A-1465266E87FE}"/>
            </c:ext>
          </c:extLst>
        </c:ser>
        <c:ser>
          <c:idx val="2"/>
          <c:order val="3"/>
          <c:tx>
            <c:strRef>
              <c:f>'gemini_delta-trend'!$W$2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'gemini_delta-trend'!$W$3:$W$64</c:f>
              <c:numCache>
                <c:formatCode>General</c:formatCode>
                <c:ptCount val="62"/>
                <c:pt idx="0">
                  <c:v>0</c:v>
                </c:pt>
                <c:pt idx="1">
                  <c:v>1.3600000000000001E-3</c:v>
                </c:pt>
                <c:pt idx="2">
                  <c:v>2.1789999999999999E-3</c:v>
                </c:pt>
                <c:pt idx="3">
                  <c:v>-4.6025000000000003E-2</c:v>
                </c:pt>
                <c:pt idx="4">
                  <c:v>-5.3395999999999999E-2</c:v>
                </c:pt>
                <c:pt idx="5">
                  <c:v>-7.9710000000000003E-2</c:v>
                </c:pt>
                <c:pt idx="6">
                  <c:v>-7.8761999999999999E-2</c:v>
                </c:pt>
                <c:pt idx="7">
                  <c:v>-7.6077000000000006E-2</c:v>
                </c:pt>
                <c:pt idx="8">
                  <c:v>-7.3809E-2</c:v>
                </c:pt>
                <c:pt idx="9">
                  <c:v>-7.4578000000000005E-2</c:v>
                </c:pt>
                <c:pt idx="10">
                  <c:v>-6.7867999999999998E-2</c:v>
                </c:pt>
                <c:pt idx="11">
                  <c:v>-6.7989999999999995E-2</c:v>
                </c:pt>
                <c:pt idx="12">
                  <c:v>-6.7058999999999994E-2</c:v>
                </c:pt>
                <c:pt idx="13">
                  <c:v>-9.4985E-2</c:v>
                </c:pt>
                <c:pt idx="14">
                  <c:v>-9.4437999999999994E-2</c:v>
                </c:pt>
                <c:pt idx="15">
                  <c:v>-8.6209999999999995E-2</c:v>
                </c:pt>
                <c:pt idx="16">
                  <c:v>-9.0708999999999998E-2</c:v>
                </c:pt>
                <c:pt idx="17">
                  <c:v>-0.106929</c:v>
                </c:pt>
                <c:pt idx="18">
                  <c:v>-0.111799</c:v>
                </c:pt>
                <c:pt idx="19">
                  <c:v>-0.119217</c:v>
                </c:pt>
                <c:pt idx="20">
                  <c:v>-0.15329799999999999</c:v>
                </c:pt>
                <c:pt idx="21">
                  <c:v>-0.15226500000000001</c:v>
                </c:pt>
                <c:pt idx="22">
                  <c:v>-0.145565</c:v>
                </c:pt>
                <c:pt idx="23">
                  <c:v>-0.144952</c:v>
                </c:pt>
                <c:pt idx="24">
                  <c:v>-0.144591</c:v>
                </c:pt>
                <c:pt idx="25">
                  <c:v>-0.13899900000000001</c:v>
                </c:pt>
                <c:pt idx="26">
                  <c:v>-0.1464</c:v>
                </c:pt>
                <c:pt idx="27">
                  <c:v>-0.14543800000000001</c:v>
                </c:pt>
                <c:pt idx="28">
                  <c:v>-0.142655</c:v>
                </c:pt>
                <c:pt idx="29">
                  <c:v>-0.14460899999999999</c:v>
                </c:pt>
                <c:pt idx="30">
                  <c:v>-0.14260800000000001</c:v>
                </c:pt>
                <c:pt idx="31">
                  <c:v>-0.13845099999999999</c:v>
                </c:pt>
                <c:pt idx="32">
                  <c:v>-0.125473</c:v>
                </c:pt>
                <c:pt idx="33">
                  <c:v>-0.13825200000000001</c:v>
                </c:pt>
                <c:pt idx="34">
                  <c:v>-0.14094100000000001</c:v>
                </c:pt>
                <c:pt idx="35">
                  <c:v>-0.173457</c:v>
                </c:pt>
                <c:pt idx="36">
                  <c:v>-0.18124499999999999</c:v>
                </c:pt>
                <c:pt idx="37">
                  <c:v>-0.183007</c:v>
                </c:pt>
                <c:pt idx="38">
                  <c:v>-0.170848</c:v>
                </c:pt>
                <c:pt idx="39">
                  <c:v>-0.168213</c:v>
                </c:pt>
                <c:pt idx="40">
                  <c:v>-0.16771</c:v>
                </c:pt>
                <c:pt idx="41">
                  <c:v>-0.16289500000000001</c:v>
                </c:pt>
                <c:pt idx="42">
                  <c:v>-0.166329</c:v>
                </c:pt>
                <c:pt idx="43">
                  <c:v>-0.16928699999999999</c:v>
                </c:pt>
                <c:pt idx="44">
                  <c:v>-0.17155599999999999</c:v>
                </c:pt>
                <c:pt idx="45">
                  <c:v>-0.18771299999999999</c:v>
                </c:pt>
                <c:pt idx="46">
                  <c:v>-0.19316900000000001</c:v>
                </c:pt>
                <c:pt idx="47">
                  <c:v>-0.188916</c:v>
                </c:pt>
                <c:pt idx="48">
                  <c:v>-0.17321800000000001</c:v>
                </c:pt>
                <c:pt idx="49">
                  <c:v>-0.16939599999999999</c:v>
                </c:pt>
                <c:pt idx="50">
                  <c:v>-0.16536200000000001</c:v>
                </c:pt>
                <c:pt idx="51">
                  <c:v>-0.15819</c:v>
                </c:pt>
                <c:pt idx="52">
                  <c:v>-0.15639800000000001</c:v>
                </c:pt>
                <c:pt idx="53">
                  <c:v>-0.154254</c:v>
                </c:pt>
                <c:pt idx="54">
                  <c:v>-0.14874999999999999</c:v>
                </c:pt>
                <c:pt idx="55">
                  <c:v>-0.144039</c:v>
                </c:pt>
                <c:pt idx="56">
                  <c:v>-0.141483</c:v>
                </c:pt>
                <c:pt idx="57">
                  <c:v>-0.139706</c:v>
                </c:pt>
                <c:pt idx="58">
                  <c:v>-0.13758799999999999</c:v>
                </c:pt>
                <c:pt idx="59">
                  <c:v>-0.13287599999999999</c:v>
                </c:pt>
                <c:pt idx="60">
                  <c:v>-0.14432600000000001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374-364D-9F9A-1465266E87FE}"/>
            </c:ext>
          </c:extLst>
        </c:ser>
        <c:ser>
          <c:idx val="3"/>
          <c:order val="4"/>
          <c:tx>
            <c:strRef>
              <c:f>'gemini_delta-trend'!$X$2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-7.8879999999999992E-3</c:v>
                </c:pt>
                <c:pt idx="2">
                  <c:v>-1.1604E-2</c:v>
                </c:pt>
                <c:pt idx="3">
                  <c:v>-2.0471E-2</c:v>
                </c:pt>
                <c:pt idx="4">
                  <c:v>-2.2873999999999999E-2</c:v>
                </c:pt>
                <c:pt idx="5">
                  <c:v>-2.9302999999999999E-2</c:v>
                </c:pt>
                <c:pt idx="6">
                  <c:v>-3.4251999999999998E-2</c:v>
                </c:pt>
                <c:pt idx="7">
                  <c:v>-4.2308999999999999E-2</c:v>
                </c:pt>
                <c:pt idx="8">
                  <c:v>-4.7989999999999998E-2</c:v>
                </c:pt>
                <c:pt idx="9">
                  <c:v>-7.5964000000000004E-2</c:v>
                </c:pt>
                <c:pt idx="10">
                  <c:v>-7.979E-2</c:v>
                </c:pt>
                <c:pt idx="11">
                  <c:v>-7.9920000000000005E-2</c:v>
                </c:pt>
                <c:pt idx="12">
                  <c:v>-8.0893000000000007E-2</c:v>
                </c:pt>
                <c:pt idx="13">
                  <c:v>-8.6301000000000003E-2</c:v>
                </c:pt>
                <c:pt idx="14">
                  <c:v>-9.7370999999999999E-2</c:v>
                </c:pt>
                <c:pt idx="15">
                  <c:v>-0.11755400000000001</c:v>
                </c:pt>
                <c:pt idx="16">
                  <c:v>-0.14114199999999999</c:v>
                </c:pt>
                <c:pt idx="17">
                  <c:v>-0.16322300000000001</c:v>
                </c:pt>
                <c:pt idx="18">
                  <c:v>-0.17177899999999999</c:v>
                </c:pt>
                <c:pt idx="19">
                  <c:v>-0.189549</c:v>
                </c:pt>
                <c:pt idx="20">
                  <c:v>-0.195131</c:v>
                </c:pt>
                <c:pt idx="21">
                  <c:v>-0.19702700000000001</c:v>
                </c:pt>
                <c:pt idx="22">
                  <c:v>-0.197547</c:v>
                </c:pt>
                <c:pt idx="23">
                  <c:v>-0.197794</c:v>
                </c:pt>
                <c:pt idx="24">
                  <c:v>-0.20988699999999999</c:v>
                </c:pt>
                <c:pt idx="25">
                  <c:v>-0.21371899999999999</c:v>
                </c:pt>
                <c:pt idx="26">
                  <c:v>-0.21443699999999999</c:v>
                </c:pt>
                <c:pt idx="27">
                  <c:v>-0.215783</c:v>
                </c:pt>
                <c:pt idx="28">
                  <c:v>-0.21943399999999999</c:v>
                </c:pt>
                <c:pt idx="29">
                  <c:v>-0.22095600000000001</c:v>
                </c:pt>
                <c:pt idx="30">
                  <c:v>-0.222692</c:v>
                </c:pt>
                <c:pt idx="31">
                  <c:v>-0.227164</c:v>
                </c:pt>
                <c:pt idx="32">
                  <c:v>-0.235841</c:v>
                </c:pt>
                <c:pt idx="33">
                  <c:v>-0.28648600000000002</c:v>
                </c:pt>
                <c:pt idx="34">
                  <c:v>-0.31484299999999998</c:v>
                </c:pt>
                <c:pt idx="35">
                  <c:v>-0.31833</c:v>
                </c:pt>
                <c:pt idx="36">
                  <c:v>-0.32130199999999998</c:v>
                </c:pt>
                <c:pt idx="37">
                  <c:v>-0.329428</c:v>
                </c:pt>
                <c:pt idx="38">
                  <c:v>-0.33568100000000001</c:v>
                </c:pt>
                <c:pt idx="39">
                  <c:v>-0.33891300000000002</c:v>
                </c:pt>
                <c:pt idx="40">
                  <c:v>-0.34255200000000002</c:v>
                </c:pt>
                <c:pt idx="41">
                  <c:v>-0.34707300000000002</c:v>
                </c:pt>
                <c:pt idx="42">
                  <c:v>-0.35329700000000003</c:v>
                </c:pt>
                <c:pt idx="43">
                  <c:v>-0.358153</c:v>
                </c:pt>
                <c:pt idx="44">
                  <c:v>-0.36092200000000002</c:v>
                </c:pt>
                <c:pt idx="45">
                  <c:v>-0.36284</c:v>
                </c:pt>
                <c:pt idx="46">
                  <c:v>-0.36816300000000002</c:v>
                </c:pt>
                <c:pt idx="47">
                  <c:v>-0.37228699999999998</c:v>
                </c:pt>
                <c:pt idx="48">
                  <c:v>-0.37517899999999998</c:v>
                </c:pt>
                <c:pt idx="49">
                  <c:v>-0.38084200000000001</c:v>
                </c:pt>
                <c:pt idx="50">
                  <c:v>-0.38783400000000001</c:v>
                </c:pt>
                <c:pt idx="51">
                  <c:v>-0.39255699999999999</c:v>
                </c:pt>
                <c:pt idx="52">
                  <c:v>-0.39318199999999998</c:v>
                </c:pt>
                <c:pt idx="53">
                  <c:v>-0.39453700000000003</c:v>
                </c:pt>
                <c:pt idx="54">
                  <c:v>-0.39701399999999998</c:v>
                </c:pt>
                <c:pt idx="55">
                  <c:v>-0.39860899999999999</c:v>
                </c:pt>
                <c:pt idx="56">
                  <c:v>-0.40081600000000001</c:v>
                </c:pt>
                <c:pt idx="57">
                  <c:v>-0.40521400000000002</c:v>
                </c:pt>
                <c:pt idx="58">
                  <c:v>-0.40993200000000002</c:v>
                </c:pt>
                <c:pt idx="59">
                  <c:v>-0.41210599999999997</c:v>
                </c:pt>
                <c:pt idx="60">
                  <c:v>-0.41546899999999998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374-364D-9F9A-1465266E8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'deepseek-chat_metrics'!$J$34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'deepseek-chat_metrics'!$J$35:$J$38</c:f>
              <c:numCache>
                <c:formatCode>0.0000</c:formatCode>
                <c:ptCount val="4"/>
                <c:pt idx="0">
                  <c:v>0.162436</c:v>
                </c:pt>
                <c:pt idx="1">
                  <c:v>9.6419000000000005E-2</c:v>
                </c:pt>
                <c:pt idx="2">
                  <c:v>-0.44068400000000002</c:v>
                </c:pt>
                <c:pt idx="3">
                  <c:v>-0.17890400000000001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3-3F4B-BD4B-DD4463D06F04}"/>
            </c:ext>
          </c:extLst>
        </c:ser>
        <c:ser>
          <c:idx val="4"/>
          <c:order val="1"/>
          <c:tx>
            <c:strRef>
              <c:f>'deepseek-chat_metrics'!$K$34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'deepseek-chat_metrics'!$K$35:$K$38</c:f>
              <c:numCache>
                <c:formatCode>0.0000</c:formatCode>
                <c:ptCount val="4"/>
                <c:pt idx="0">
                  <c:v>0.63500100000000004</c:v>
                </c:pt>
                <c:pt idx="1">
                  <c:v>0.42116999999999999</c:v>
                </c:pt>
                <c:pt idx="2">
                  <c:v>6.9775000000000004E-2</c:v>
                </c:pt>
                <c:pt idx="3">
                  <c:v>0.215975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3-3F4B-BD4B-DD4463D06F04}"/>
            </c:ext>
          </c:extLst>
        </c:ser>
        <c:ser>
          <c:idx val="1"/>
          <c:order val="2"/>
          <c:tx>
            <c:strRef>
              <c:f>'deepseek-chat_metrics'!$L$34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'deepseek-chat_metrics'!$L$35:$L$38</c:f>
              <c:numCache>
                <c:formatCode>0.0000</c:formatCode>
                <c:ptCount val="4"/>
                <c:pt idx="0">
                  <c:v>1.184159</c:v>
                </c:pt>
                <c:pt idx="1">
                  <c:v>0.60755499999999996</c:v>
                </c:pt>
                <c:pt idx="2">
                  <c:v>0.52893100000000004</c:v>
                </c:pt>
                <c:pt idx="3">
                  <c:v>0.33307300000000001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3-3F4B-BD4B-DD4463D06F04}"/>
            </c:ext>
          </c:extLst>
        </c:ser>
        <c:ser>
          <c:idx val="3"/>
          <c:order val="3"/>
          <c:tx>
            <c:strRef>
              <c:f>'deepseek-chat_metrics'!$N$34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'deepseek-chat_metrics'!$N$35:$N$38</c:f>
              <c:numCache>
                <c:formatCode>0.0000</c:formatCode>
                <c:ptCount val="4"/>
                <c:pt idx="0">
                  <c:v>0.82058500000000001</c:v>
                </c:pt>
                <c:pt idx="1">
                  <c:v>0.44041599999999997</c:v>
                </c:pt>
                <c:pt idx="2">
                  <c:v>0.25089499999999998</c:v>
                </c:pt>
                <c:pt idx="3">
                  <c:v>4.7010999999999997E-2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A3-3F4B-BD4B-DD4463D06F04}"/>
            </c:ext>
          </c:extLst>
        </c:ser>
        <c:ser>
          <c:idx val="2"/>
          <c:order val="4"/>
          <c:tx>
            <c:strRef>
              <c:f>'deepseek-chat_metrics'!$M$34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A3-3F4B-BD4B-DD4463D06F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'deepseek-chat_metrics'!$M$35:$M$38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F4A3-3F4B-BD4B-DD4463D0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'deepseek-reasoner_metrics'!$J$34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'deepseek-reasoner_metrics'!$J$35:$J$38</c:f>
              <c:numCache>
                <c:formatCode>0.0000</c:formatCode>
                <c:ptCount val="4"/>
                <c:pt idx="0">
                  <c:v>1.0812029999999999</c:v>
                </c:pt>
                <c:pt idx="1">
                  <c:v>1.3165</c:v>
                </c:pt>
                <c:pt idx="2">
                  <c:v>0.47660799999999998</c:v>
                </c:pt>
                <c:pt idx="3">
                  <c:v>-1.096581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C-4D42-BEED-24445DE69D57}"/>
            </c:ext>
          </c:extLst>
        </c:ser>
        <c:ser>
          <c:idx val="4"/>
          <c:order val="1"/>
          <c:tx>
            <c:strRef>
              <c:f>'deepseek-reasoner_metrics'!$K$34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'deepseek-reasoner_metrics'!$K$35:$K$38</c:f>
              <c:numCache>
                <c:formatCode>0.0000</c:formatCode>
                <c:ptCount val="4"/>
                <c:pt idx="0">
                  <c:v>1.2033579999999999</c:v>
                </c:pt>
                <c:pt idx="1">
                  <c:v>0.71219900000000003</c:v>
                </c:pt>
                <c:pt idx="2">
                  <c:v>0.31539499999999998</c:v>
                </c:pt>
                <c:pt idx="3">
                  <c:v>-0.99313499999999999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C-4D42-BEED-24445DE69D57}"/>
            </c:ext>
          </c:extLst>
        </c:ser>
        <c:ser>
          <c:idx val="1"/>
          <c:order val="2"/>
          <c:tx>
            <c:strRef>
              <c:f>'deepseek-reasoner_metrics'!$L$34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'deepseek-reasoner_metrics'!$L$35:$L$38</c:f>
              <c:numCache>
                <c:formatCode>0.0000</c:formatCode>
                <c:ptCount val="4"/>
                <c:pt idx="0">
                  <c:v>1.3069539999999999</c:v>
                </c:pt>
                <c:pt idx="1">
                  <c:v>1.119977</c:v>
                </c:pt>
                <c:pt idx="2">
                  <c:v>0.121992</c:v>
                </c:pt>
                <c:pt idx="3">
                  <c:v>1.2594730000000001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3C-4D42-BEED-24445DE69D57}"/>
            </c:ext>
          </c:extLst>
        </c:ser>
        <c:ser>
          <c:idx val="3"/>
          <c:order val="3"/>
          <c:tx>
            <c:strRef>
              <c:f>'deepseek-reasoner_metrics'!$N$34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'deepseek-reasoner_metrics'!$N$35:$N$38</c:f>
              <c:numCache>
                <c:formatCode>0.0000</c:formatCode>
                <c:ptCount val="4"/>
                <c:pt idx="0">
                  <c:v>1.1247419999999999</c:v>
                </c:pt>
                <c:pt idx="1">
                  <c:v>0.82689500000000005</c:v>
                </c:pt>
                <c:pt idx="2">
                  <c:v>0.103294</c:v>
                </c:pt>
                <c:pt idx="3">
                  <c:v>0.13750299999999999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3C-4D42-BEED-24445DE69D57}"/>
            </c:ext>
          </c:extLst>
        </c:ser>
        <c:ser>
          <c:idx val="2"/>
          <c:order val="4"/>
          <c:tx>
            <c:strRef>
              <c:f>'deepseek-reasoner_metrics'!$M$34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C-4D42-BEED-24445DE69D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'deepseek-reasoner_metrics'!$M$35:$M$38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FB3C-4D42-BEED-24445DE69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gpt_metrics!$J$34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gpt_metrics!$J$35:$J$38</c:f>
              <c:numCache>
                <c:formatCode>0.0000</c:formatCode>
                <c:ptCount val="4"/>
                <c:pt idx="0">
                  <c:v>-0.63621700000000003</c:v>
                </c:pt>
                <c:pt idx="1">
                  <c:v>-0.12123299999999999</c:v>
                </c:pt>
                <c:pt idx="2">
                  <c:v>-1.1682490000000001</c:v>
                </c:pt>
                <c:pt idx="3">
                  <c:v>-0.40472200000000003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1-C841-9CA8-8F4061748D1F}"/>
            </c:ext>
          </c:extLst>
        </c:ser>
        <c:ser>
          <c:idx val="4"/>
          <c:order val="1"/>
          <c:tx>
            <c:strRef>
              <c:f>gpt_metrics!$K$34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gpt_metrics!$K$35:$K$38</c:f>
              <c:numCache>
                <c:formatCode>0.0000</c:formatCode>
                <c:ptCount val="4"/>
                <c:pt idx="0">
                  <c:v>-6.9587999999999997E-2</c:v>
                </c:pt>
                <c:pt idx="1">
                  <c:v>8.4541000000000005E-2</c:v>
                </c:pt>
                <c:pt idx="2">
                  <c:v>-1.10232</c:v>
                </c:pt>
                <c:pt idx="3">
                  <c:v>-0.33034000000000002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1-C841-9CA8-8F4061748D1F}"/>
            </c:ext>
          </c:extLst>
        </c:ser>
        <c:ser>
          <c:idx val="1"/>
          <c:order val="2"/>
          <c:tx>
            <c:strRef>
              <c:f>gpt_metrics!$L$34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gpt_metrics!$L$35:$L$38</c:f>
              <c:numCache>
                <c:formatCode>0.0000</c:formatCode>
                <c:ptCount val="4"/>
                <c:pt idx="0">
                  <c:v>0.21617</c:v>
                </c:pt>
                <c:pt idx="1">
                  <c:v>0.216919</c:v>
                </c:pt>
                <c:pt idx="2">
                  <c:v>-0.82979400000000003</c:v>
                </c:pt>
                <c:pt idx="3">
                  <c:v>-0.162244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31-C841-9CA8-8F4061748D1F}"/>
            </c:ext>
          </c:extLst>
        </c:ser>
        <c:ser>
          <c:idx val="2"/>
          <c:order val="3"/>
          <c:tx>
            <c:strRef>
              <c:f>gpt_metrics!$M$34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31-C841-9CA8-8F4061748D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gpt_metrics!$M$35:$M$38</c:f>
              <c:numCache>
                <c:formatCode>0.0000</c:formatCode>
                <c:ptCount val="4"/>
                <c:pt idx="0">
                  <c:v>0.64480199999999999</c:v>
                </c:pt>
                <c:pt idx="1">
                  <c:v>1.2256020000000001</c:v>
                </c:pt>
                <c:pt idx="2">
                  <c:v>-0.80690899999999999</c:v>
                </c:pt>
                <c:pt idx="3">
                  <c:v>0.218504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31-C841-9CA8-8F4061748D1F}"/>
            </c:ext>
          </c:extLst>
        </c:ser>
        <c:ser>
          <c:idx val="3"/>
          <c:order val="4"/>
          <c:tx>
            <c:strRef>
              <c:f>gpt_metrics!$N$34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gpt_metrics!$I$35:$I$38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gpt_metrics!$N$35:$N$38</c:f>
              <c:numCache>
                <c:formatCode>0.0000</c:formatCode>
                <c:ptCount val="4"/>
                <c:pt idx="0">
                  <c:v>-0.65888199999999997</c:v>
                </c:pt>
                <c:pt idx="1">
                  <c:v>-8.7847999999999996E-2</c:v>
                </c:pt>
                <c:pt idx="2">
                  <c:v>-1.104663</c:v>
                </c:pt>
                <c:pt idx="3">
                  <c:v>-0.39962799999999998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31-C841-9CA8-8F4061748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-7.0520000000000001E-3</c:v>
                </c:pt>
                <c:pt idx="2">
                  <c:v>-1.2291E-2</c:v>
                </c:pt>
                <c:pt idx="3">
                  <c:v>-2.2422999999999998E-2</c:v>
                </c:pt>
                <c:pt idx="4">
                  <c:v>-3.1123000000000001E-2</c:v>
                </c:pt>
                <c:pt idx="5">
                  <c:v>-3.6815000000000001E-2</c:v>
                </c:pt>
                <c:pt idx="6">
                  <c:v>-4.7058999999999997E-2</c:v>
                </c:pt>
                <c:pt idx="7">
                  <c:v>-4.7681000000000001E-2</c:v>
                </c:pt>
                <c:pt idx="8">
                  <c:v>-2.9097999999999999E-2</c:v>
                </c:pt>
                <c:pt idx="9">
                  <c:v>-3.4410000000000003E-2</c:v>
                </c:pt>
                <c:pt idx="10">
                  <c:v>-7.6438999999999993E-2</c:v>
                </c:pt>
                <c:pt idx="11">
                  <c:v>-9.1869999999999993E-2</c:v>
                </c:pt>
                <c:pt idx="12">
                  <c:v>-8.8586999999999999E-2</c:v>
                </c:pt>
                <c:pt idx="13">
                  <c:v>-9.2279E-2</c:v>
                </c:pt>
                <c:pt idx="14">
                  <c:v>-9.8380999999999996E-2</c:v>
                </c:pt>
                <c:pt idx="15">
                  <c:v>-0.10999100000000001</c:v>
                </c:pt>
                <c:pt idx="16">
                  <c:v>-0.12612499999999999</c:v>
                </c:pt>
                <c:pt idx="17">
                  <c:v>-0.13206899999999999</c:v>
                </c:pt>
                <c:pt idx="18">
                  <c:v>-0.142203</c:v>
                </c:pt>
                <c:pt idx="19">
                  <c:v>-0.150198</c:v>
                </c:pt>
                <c:pt idx="20">
                  <c:v>-0.16265499999999999</c:v>
                </c:pt>
                <c:pt idx="21">
                  <c:v>-0.16550100000000001</c:v>
                </c:pt>
                <c:pt idx="22">
                  <c:v>-0.16795399999999999</c:v>
                </c:pt>
                <c:pt idx="23">
                  <c:v>-0.16903899999999999</c:v>
                </c:pt>
                <c:pt idx="24">
                  <c:v>-0.17469299999999999</c:v>
                </c:pt>
                <c:pt idx="25">
                  <c:v>-0.18169199999999999</c:v>
                </c:pt>
                <c:pt idx="26">
                  <c:v>-0.18351400000000001</c:v>
                </c:pt>
                <c:pt idx="27">
                  <c:v>-0.18842900000000001</c:v>
                </c:pt>
                <c:pt idx="28">
                  <c:v>-0.19315199999999999</c:v>
                </c:pt>
                <c:pt idx="29">
                  <c:v>-0.19778399999999999</c:v>
                </c:pt>
                <c:pt idx="30">
                  <c:v>-0.20032</c:v>
                </c:pt>
                <c:pt idx="31">
                  <c:v>-0.207589</c:v>
                </c:pt>
                <c:pt idx="32">
                  <c:v>-0.22323799999999999</c:v>
                </c:pt>
                <c:pt idx="33">
                  <c:v>-0.23053799999999999</c:v>
                </c:pt>
                <c:pt idx="34">
                  <c:v>-0.23095399999999999</c:v>
                </c:pt>
                <c:pt idx="35">
                  <c:v>-0.23224400000000001</c:v>
                </c:pt>
                <c:pt idx="36">
                  <c:v>-0.23829</c:v>
                </c:pt>
                <c:pt idx="37">
                  <c:v>-0.24157899999999999</c:v>
                </c:pt>
                <c:pt idx="38">
                  <c:v>-0.244339</c:v>
                </c:pt>
                <c:pt idx="39">
                  <c:v>-0.25019599999999997</c:v>
                </c:pt>
                <c:pt idx="40">
                  <c:v>-0.26334200000000002</c:v>
                </c:pt>
                <c:pt idx="41">
                  <c:v>-0.273283</c:v>
                </c:pt>
                <c:pt idx="42">
                  <c:v>-0.27764899999999998</c:v>
                </c:pt>
                <c:pt idx="43">
                  <c:v>-0.28048200000000001</c:v>
                </c:pt>
                <c:pt idx="44">
                  <c:v>-0.28049299999999999</c:v>
                </c:pt>
                <c:pt idx="45">
                  <c:v>-0.28450300000000001</c:v>
                </c:pt>
                <c:pt idx="46">
                  <c:v>-0.28868300000000002</c:v>
                </c:pt>
                <c:pt idx="47">
                  <c:v>-0.29620999999999997</c:v>
                </c:pt>
                <c:pt idx="48">
                  <c:v>-0.30202200000000001</c:v>
                </c:pt>
                <c:pt idx="49">
                  <c:v>-0.307029</c:v>
                </c:pt>
                <c:pt idx="50">
                  <c:v>-0.31669999999999998</c:v>
                </c:pt>
                <c:pt idx="51">
                  <c:v>-0.31929600000000002</c:v>
                </c:pt>
                <c:pt idx="52">
                  <c:v>-0.32494699999999999</c:v>
                </c:pt>
                <c:pt idx="53">
                  <c:v>-0.33687400000000001</c:v>
                </c:pt>
                <c:pt idx="54">
                  <c:v>-0.34012500000000001</c:v>
                </c:pt>
                <c:pt idx="55">
                  <c:v>-0.34717900000000002</c:v>
                </c:pt>
                <c:pt idx="56">
                  <c:v>-0.35692400000000002</c:v>
                </c:pt>
                <c:pt idx="57">
                  <c:v>-0.39018700000000001</c:v>
                </c:pt>
                <c:pt idx="58">
                  <c:v>-0.40405000000000002</c:v>
                </c:pt>
                <c:pt idx="59">
                  <c:v>-0.409134</c:v>
                </c:pt>
                <c:pt idx="60">
                  <c:v>-0.428149</c:v>
                </c:pt>
                <c:pt idx="61">
                  <c:v>-0.44175399999999998</c:v>
                </c:pt>
                <c:pt idx="62">
                  <c:v>-0.43745299999999998</c:v>
                </c:pt>
                <c:pt idx="63">
                  <c:v>-0.45815</c:v>
                </c:pt>
                <c:pt idx="64">
                  <c:v>-0.46174599999999999</c:v>
                </c:pt>
                <c:pt idx="65">
                  <c:v>-0.473246</c:v>
                </c:pt>
                <c:pt idx="66">
                  <c:v>-0.47869899999999999</c:v>
                </c:pt>
                <c:pt idx="67">
                  <c:v>-0.48391600000000001</c:v>
                </c:pt>
                <c:pt idx="68">
                  <c:v>-0.48582700000000001</c:v>
                </c:pt>
                <c:pt idx="69">
                  <c:v>-0.48110799999999998</c:v>
                </c:pt>
                <c:pt idx="70">
                  <c:v>-0.49836900000000001</c:v>
                </c:pt>
                <c:pt idx="71">
                  <c:v>-0.5111</c:v>
                </c:pt>
                <c:pt idx="72">
                  <c:v>-0.516934</c:v>
                </c:pt>
                <c:pt idx="73">
                  <c:v>-0.52703800000000001</c:v>
                </c:pt>
                <c:pt idx="74">
                  <c:v>-0.51617999999999997</c:v>
                </c:pt>
                <c:pt idx="75">
                  <c:v>-0.56554599999999999</c:v>
                </c:pt>
                <c:pt idx="76">
                  <c:v>-0.579515</c:v>
                </c:pt>
                <c:pt idx="77">
                  <c:v>-0.579453</c:v>
                </c:pt>
                <c:pt idx="78">
                  <c:v>-0.56903899999999996</c:v>
                </c:pt>
                <c:pt idx="79">
                  <c:v>-0.528366</c:v>
                </c:pt>
                <c:pt idx="80">
                  <c:v>-0.55744899999999997</c:v>
                </c:pt>
                <c:pt idx="81">
                  <c:v>-0.53135600000000005</c:v>
                </c:pt>
                <c:pt idx="82">
                  <c:v>-0.55629200000000001</c:v>
                </c:pt>
                <c:pt idx="83">
                  <c:v>-0.53253499999999998</c:v>
                </c:pt>
                <c:pt idx="84">
                  <c:v>-0.55162699999999998</c:v>
                </c:pt>
                <c:pt idx="85">
                  <c:v>-0.54917700000000003</c:v>
                </c:pt>
                <c:pt idx="86">
                  <c:v>-0.576963</c:v>
                </c:pt>
                <c:pt idx="87">
                  <c:v>-0.58078700000000005</c:v>
                </c:pt>
                <c:pt idx="88">
                  <c:v>-0.59518300000000002</c:v>
                </c:pt>
                <c:pt idx="89">
                  <c:v>-0.57799599999999995</c:v>
                </c:pt>
                <c:pt idx="90">
                  <c:v>-0.57972699999999999</c:v>
                </c:pt>
                <c:pt idx="91">
                  <c:v>-0.60439900000000002</c:v>
                </c:pt>
                <c:pt idx="92">
                  <c:v>-0.60814299999999999</c:v>
                </c:pt>
                <c:pt idx="93">
                  <c:v>-0.61302999999999996</c:v>
                </c:pt>
                <c:pt idx="94">
                  <c:v>-0.61558999999999997</c:v>
                </c:pt>
                <c:pt idx="95">
                  <c:v>-0.624054</c:v>
                </c:pt>
                <c:pt idx="96">
                  <c:v>-0.62823899999999999</c:v>
                </c:pt>
                <c:pt idx="97">
                  <c:v>-0.63127</c:v>
                </c:pt>
                <c:pt idx="98">
                  <c:v>-0.63309499999999996</c:v>
                </c:pt>
                <c:pt idx="99">
                  <c:v>-0.63656599999999997</c:v>
                </c:pt>
                <c:pt idx="100">
                  <c:v>-0.63621700000000003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4F-2142-805F-F9C447CEF83D}"/>
            </c:ext>
          </c:extLst>
        </c:ser>
        <c:ser>
          <c:idx val="4"/>
          <c:order val="1"/>
          <c:tx>
            <c:strRef>
              <c:f>'gpt_delta-trend'!$C$2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-1.24E-3</c:v>
                </c:pt>
                <c:pt idx="2">
                  <c:v>9.4289999999999999E-3</c:v>
                </c:pt>
                <c:pt idx="3">
                  <c:v>-4.1780000000000003E-3</c:v>
                </c:pt>
                <c:pt idx="4">
                  <c:v>-2.63E-4</c:v>
                </c:pt>
                <c:pt idx="5">
                  <c:v>1.0652999999999999E-2</c:v>
                </c:pt>
                <c:pt idx="6">
                  <c:v>2.2572999999999999E-2</c:v>
                </c:pt>
                <c:pt idx="7">
                  <c:v>4.6851999999999998E-2</c:v>
                </c:pt>
                <c:pt idx="8">
                  <c:v>6.2899999999999998E-2</c:v>
                </c:pt>
                <c:pt idx="9">
                  <c:v>7.5422000000000003E-2</c:v>
                </c:pt>
                <c:pt idx="10">
                  <c:v>4.9259999999999998E-2</c:v>
                </c:pt>
                <c:pt idx="11">
                  <c:v>5.0130000000000001E-2</c:v>
                </c:pt>
                <c:pt idx="12">
                  <c:v>5.2822000000000001E-2</c:v>
                </c:pt>
                <c:pt idx="13">
                  <c:v>5.5319E-2</c:v>
                </c:pt>
                <c:pt idx="14">
                  <c:v>5.3724000000000001E-2</c:v>
                </c:pt>
                <c:pt idx="15">
                  <c:v>4.9458000000000002E-2</c:v>
                </c:pt>
                <c:pt idx="16">
                  <c:v>2.9665E-2</c:v>
                </c:pt>
                <c:pt idx="17">
                  <c:v>3.3072999999999998E-2</c:v>
                </c:pt>
                <c:pt idx="18">
                  <c:v>4.7358999999999998E-2</c:v>
                </c:pt>
                <c:pt idx="19">
                  <c:v>4.6422999999999999E-2</c:v>
                </c:pt>
                <c:pt idx="20">
                  <c:v>3.2426000000000003E-2</c:v>
                </c:pt>
                <c:pt idx="21">
                  <c:v>3.4605999999999998E-2</c:v>
                </c:pt>
                <c:pt idx="22">
                  <c:v>3.6671000000000002E-2</c:v>
                </c:pt>
                <c:pt idx="23">
                  <c:v>3.1123000000000001E-2</c:v>
                </c:pt>
                <c:pt idx="24">
                  <c:v>2.3855999999999999E-2</c:v>
                </c:pt>
                <c:pt idx="25">
                  <c:v>2.1940000000000001E-2</c:v>
                </c:pt>
                <c:pt idx="26">
                  <c:v>2.2766000000000002E-2</c:v>
                </c:pt>
                <c:pt idx="27">
                  <c:v>2.0341000000000001E-2</c:v>
                </c:pt>
                <c:pt idx="28">
                  <c:v>2.0351999999999999E-2</c:v>
                </c:pt>
                <c:pt idx="29">
                  <c:v>2.1987E-2</c:v>
                </c:pt>
                <c:pt idx="30">
                  <c:v>2.7689999999999999E-2</c:v>
                </c:pt>
                <c:pt idx="31">
                  <c:v>2.0271999999999998E-2</c:v>
                </c:pt>
                <c:pt idx="32">
                  <c:v>1.5945999999999998E-2</c:v>
                </c:pt>
                <c:pt idx="33">
                  <c:v>4.7730000000000003E-3</c:v>
                </c:pt>
                <c:pt idx="34">
                  <c:v>1.9840000000000001E-3</c:v>
                </c:pt>
                <c:pt idx="35">
                  <c:v>-1.5334E-2</c:v>
                </c:pt>
                <c:pt idx="36">
                  <c:v>-1.0130999999999999E-2</c:v>
                </c:pt>
                <c:pt idx="37">
                  <c:v>-1.8440999999999999E-2</c:v>
                </c:pt>
                <c:pt idx="38">
                  <c:v>-2.2005E-2</c:v>
                </c:pt>
                <c:pt idx="39">
                  <c:v>-2.5253000000000001E-2</c:v>
                </c:pt>
                <c:pt idx="40">
                  <c:v>-2.8268000000000001E-2</c:v>
                </c:pt>
                <c:pt idx="41">
                  <c:v>-3.3568000000000001E-2</c:v>
                </c:pt>
                <c:pt idx="42">
                  <c:v>-3.3924999999999997E-2</c:v>
                </c:pt>
                <c:pt idx="43">
                  <c:v>-3.2298E-2</c:v>
                </c:pt>
                <c:pt idx="44">
                  <c:v>-3.4278000000000003E-2</c:v>
                </c:pt>
                <c:pt idx="45">
                  <c:v>-3.8177999999999997E-2</c:v>
                </c:pt>
                <c:pt idx="46">
                  <c:v>-4.2592999999999999E-2</c:v>
                </c:pt>
                <c:pt idx="47">
                  <c:v>-4.9798000000000002E-2</c:v>
                </c:pt>
                <c:pt idx="48">
                  <c:v>-4.7536000000000002E-2</c:v>
                </c:pt>
                <c:pt idx="49">
                  <c:v>-6.4014000000000001E-2</c:v>
                </c:pt>
                <c:pt idx="50">
                  <c:v>-7.3248999999999995E-2</c:v>
                </c:pt>
                <c:pt idx="51">
                  <c:v>-5.0776000000000002E-2</c:v>
                </c:pt>
                <c:pt idx="52">
                  <c:v>-3.1932000000000002E-2</c:v>
                </c:pt>
                <c:pt idx="53">
                  <c:v>-3.5943000000000003E-2</c:v>
                </c:pt>
                <c:pt idx="54">
                  <c:v>-3.4993000000000003E-2</c:v>
                </c:pt>
                <c:pt idx="55">
                  <c:v>-4.9715000000000002E-2</c:v>
                </c:pt>
                <c:pt idx="56">
                  <c:v>-4.3893000000000001E-2</c:v>
                </c:pt>
                <c:pt idx="57">
                  <c:v>-3.9562E-2</c:v>
                </c:pt>
                <c:pt idx="58">
                  <c:v>-1.7876E-2</c:v>
                </c:pt>
                <c:pt idx="59">
                  <c:v>-2.1676999999999998E-2</c:v>
                </c:pt>
                <c:pt idx="60">
                  <c:v>-2.5366E-2</c:v>
                </c:pt>
                <c:pt idx="61">
                  <c:v>-2.9083999999999999E-2</c:v>
                </c:pt>
                <c:pt idx="62">
                  <c:v>-2.4955999999999999E-2</c:v>
                </c:pt>
                <c:pt idx="63">
                  <c:v>-2.5340000000000001E-2</c:v>
                </c:pt>
                <c:pt idx="64">
                  <c:v>-2.9149999999999999E-2</c:v>
                </c:pt>
                <c:pt idx="65">
                  <c:v>-3.3975999999999999E-2</c:v>
                </c:pt>
                <c:pt idx="66">
                  <c:v>-3.3661000000000003E-2</c:v>
                </c:pt>
                <c:pt idx="67">
                  <c:v>-3.7985999999999999E-2</c:v>
                </c:pt>
                <c:pt idx="68">
                  <c:v>-3.7893999999999997E-2</c:v>
                </c:pt>
                <c:pt idx="69">
                  <c:v>-4.3997000000000001E-2</c:v>
                </c:pt>
                <c:pt idx="70">
                  <c:v>-5.1857E-2</c:v>
                </c:pt>
                <c:pt idx="71">
                  <c:v>-4.3201999999999997E-2</c:v>
                </c:pt>
                <c:pt idx="72">
                  <c:v>-4.8425999999999997E-2</c:v>
                </c:pt>
                <c:pt idx="73">
                  <c:v>-4.6047999999999999E-2</c:v>
                </c:pt>
                <c:pt idx="74">
                  <c:v>-3.9551000000000003E-2</c:v>
                </c:pt>
                <c:pt idx="75">
                  <c:v>-4.6469000000000003E-2</c:v>
                </c:pt>
                <c:pt idx="76">
                  <c:v>-4.3707999999999997E-2</c:v>
                </c:pt>
                <c:pt idx="77">
                  <c:v>-3.8220999999999998E-2</c:v>
                </c:pt>
                <c:pt idx="78">
                  <c:v>-4.1660000000000003E-2</c:v>
                </c:pt>
                <c:pt idx="79">
                  <c:v>-1.3675E-2</c:v>
                </c:pt>
                <c:pt idx="80">
                  <c:v>-8.541E-3</c:v>
                </c:pt>
                <c:pt idx="81">
                  <c:v>8.7930000000000005E-3</c:v>
                </c:pt>
                <c:pt idx="82">
                  <c:v>8.2999999999999998E-5</c:v>
                </c:pt>
                <c:pt idx="83">
                  <c:v>-7.43E-3</c:v>
                </c:pt>
                <c:pt idx="84">
                  <c:v>-9.6919999999999992E-3</c:v>
                </c:pt>
                <c:pt idx="85">
                  <c:v>-2.2603000000000002E-2</c:v>
                </c:pt>
                <c:pt idx="86">
                  <c:v>-2.4555E-2</c:v>
                </c:pt>
                <c:pt idx="87">
                  <c:v>-2.3845999999999999E-2</c:v>
                </c:pt>
                <c:pt idx="88">
                  <c:v>-1.2684000000000001E-2</c:v>
                </c:pt>
                <c:pt idx="89">
                  <c:v>-8.8170000000000002E-3</c:v>
                </c:pt>
                <c:pt idx="90">
                  <c:v>-2.6339000000000001E-2</c:v>
                </c:pt>
                <c:pt idx="91">
                  <c:v>-3.0064E-2</c:v>
                </c:pt>
                <c:pt idx="92">
                  <c:v>-3.3260999999999999E-2</c:v>
                </c:pt>
                <c:pt idx="93">
                  <c:v>-2.5793E-2</c:v>
                </c:pt>
                <c:pt idx="94">
                  <c:v>-3.1919000000000003E-2</c:v>
                </c:pt>
                <c:pt idx="95">
                  <c:v>-5.2558000000000001E-2</c:v>
                </c:pt>
                <c:pt idx="96">
                  <c:v>-5.6292000000000002E-2</c:v>
                </c:pt>
                <c:pt idx="97">
                  <c:v>-5.4543000000000001E-2</c:v>
                </c:pt>
                <c:pt idx="98">
                  <c:v>-6.2447000000000003E-2</c:v>
                </c:pt>
                <c:pt idx="99">
                  <c:v>-6.5541000000000002E-2</c:v>
                </c:pt>
                <c:pt idx="100">
                  <c:v>-6.9587999999999997E-2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4F-2142-805F-F9C447CEF83D}"/>
            </c:ext>
          </c:extLst>
        </c:ser>
        <c:ser>
          <c:idx val="1"/>
          <c:order val="2"/>
          <c:tx>
            <c:strRef>
              <c:f>'gpt_delta-trend'!$D$2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-1.1637E-2</c:v>
                </c:pt>
                <c:pt idx="2">
                  <c:v>1.2215E-2</c:v>
                </c:pt>
                <c:pt idx="3">
                  <c:v>1.7527999999999998E-2</c:v>
                </c:pt>
                <c:pt idx="4">
                  <c:v>1.2034E-2</c:v>
                </c:pt>
                <c:pt idx="5">
                  <c:v>3.1413999999999997E-2</c:v>
                </c:pt>
                <c:pt idx="6">
                  <c:v>4.6698999999999997E-2</c:v>
                </c:pt>
                <c:pt idx="7">
                  <c:v>6.6404000000000005E-2</c:v>
                </c:pt>
                <c:pt idx="8">
                  <c:v>7.0305999999999993E-2</c:v>
                </c:pt>
                <c:pt idx="9">
                  <c:v>8.0559000000000006E-2</c:v>
                </c:pt>
                <c:pt idx="10">
                  <c:v>6.5502000000000005E-2</c:v>
                </c:pt>
                <c:pt idx="11">
                  <c:v>6.9342000000000001E-2</c:v>
                </c:pt>
                <c:pt idx="12">
                  <c:v>7.4526999999999996E-2</c:v>
                </c:pt>
                <c:pt idx="13">
                  <c:v>0.109627</c:v>
                </c:pt>
                <c:pt idx="14">
                  <c:v>0.119599</c:v>
                </c:pt>
                <c:pt idx="15">
                  <c:v>0.14033000000000001</c:v>
                </c:pt>
                <c:pt idx="16">
                  <c:v>0.122976</c:v>
                </c:pt>
                <c:pt idx="17">
                  <c:v>0.13050600000000001</c:v>
                </c:pt>
                <c:pt idx="18">
                  <c:v>0.12903800000000001</c:v>
                </c:pt>
                <c:pt idx="19">
                  <c:v>0.16117999999999999</c:v>
                </c:pt>
                <c:pt idx="20">
                  <c:v>0.15046300000000001</c:v>
                </c:pt>
                <c:pt idx="21">
                  <c:v>0.158974</c:v>
                </c:pt>
                <c:pt idx="22">
                  <c:v>0.15257100000000001</c:v>
                </c:pt>
                <c:pt idx="23">
                  <c:v>0.152557</c:v>
                </c:pt>
                <c:pt idx="24">
                  <c:v>0.139292</c:v>
                </c:pt>
                <c:pt idx="25">
                  <c:v>0.14255799999999999</c:v>
                </c:pt>
                <c:pt idx="26">
                  <c:v>0.15001500000000001</c:v>
                </c:pt>
                <c:pt idx="27">
                  <c:v>0.149285</c:v>
                </c:pt>
                <c:pt idx="28">
                  <c:v>0.14699999999999999</c:v>
                </c:pt>
                <c:pt idx="29">
                  <c:v>0.14574500000000001</c:v>
                </c:pt>
                <c:pt idx="30">
                  <c:v>0.14624599999999999</c:v>
                </c:pt>
                <c:pt idx="31">
                  <c:v>0.123025</c:v>
                </c:pt>
                <c:pt idx="32">
                  <c:v>0.12990399999999999</c:v>
                </c:pt>
                <c:pt idx="33">
                  <c:v>0.100248</c:v>
                </c:pt>
                <c:pt idx="34">
                  <c:v>0.10652399999999999</c:v>
                </c:pt>
                <c:pt idx="35">
                  <c:v>9.4353999999999993E-2</c:v>
                </c:pt>
                <c:pt idx="36">
                  <c:v>0.102483</c:v>
                </c:pt>
                <c:pt idx="37">
                  <c:v>9.4463000000000005E-2</c:v>
                </c:pt>
                <c:pt idx="38">
                  <c:v>9.4092999999999996E-2</c:v>
                </c:pt>
                <c:pt idx="39">
                  <c:v>9.6724000000000004E-2</c:v>
                </c:pt>
                <c:pt idx="40">
                  <c:v>0.106617</c:v>
                </c:pt>
                <c:pt idx="41">
                  <c:v>0.103898</c:v>
                </c:pt>
                <c:pt idx="42">
                  <c:v>0.109226</c:v>
                </c:pt>
                <c:pt idx="43">
                  <c:v>0.127611</c:v>
                </c:pt>
                <c:pt idx="44">
                  <c:v>0.12969900000000001</c:v>
                </c:pt>
                <c:pt idx="45">
                  <c:v>0.12731100000000001</c:v>
                </c:pt>
                <c:pt idx="46">
                  <c:v>0.12171899999999999</c:v>
                </c:pt>
                <c:pt idx="47">
                  <c:v>0.115286</c:v>
                </c:pt>
                <c:pt idx="48">
                  <c:v>0.117897</c:v>
                </c:pt>
                <c:pt idx="49">
                  <c:v>0.119709</c:v>
                </c:pt>
                <c:pt idx="50">
                  <c:v>0.119183</c:v>
                </c:pt>
                <c:pt idx="51">
                  <c:v>0.117185</c:v>
                </c:pt>
                <c:pt idx="52">
                  <c:v>0.108472</c:v>
                </c:pt>
                <c:pt idx="53">
                  <c:v>0.11328299999999999</c:v>
                </c:pt>
                <c:pt idx="54">
                  <c:v>0.116243</c:v>
                </c:pt>
                <c:pt idx="55">
                  <c:v>0.136042</c:v>
                </c:pt>
                <c:pt idx="56">
                  <c:v>0.13079199999999999</c:v>
                </c:pt>
                <c:pt idx="57">
                  <c:v>0.12694900000000001</c:v>
                </c:pt>
                <c:pt idx="58">
                  <c:v>0.13905999999999999</c:v>
                </c:pt>
                <c:pt idx="59">
                  <c:v>0.14049900000000001</c:v>
                </c:pt>
                <c:pt idx="60">
                  <c:v>0.13502</c:v>
                </c:pt>
                <c:pt idx="61">
                  <c:v>0.14659700000000001</c:v>
                </c:pt>
                <c:pt idx="62">
                  <c:v>0.133269</c:v>
                </c:pt>
                <c:pt idx="63">
                  <c:v>0.14343800000000001</c:v>
                </c:pt>
                <c:pt idx="64">
                  <c:v>0.13886499999999999</c:v>
                </c:pt>
                <c:pt idx="65">
                  <c:v>0.141843</c:v>
                </c:pt>
                <c:pt idx="66">
                  <c:v>0.13755899999999999</c:v>
                </c:pt>
                <c:pt idx="67">
                  <c:v>0.125862</c:v>
                </c:pt>
                <c:pt idx="68">
                  <c:v>0.13219500000000001</c:v>
                </c:pt>
                <c:pt idx="69">
                  <c:v>0.12979299999999999</c:v>
                </c:pt>
                <c:pt idx="70">
                  <c:v>0.125529</c:v>
                </c:pt>
                <c:pt idx="71">
                  <c:v>0.13444999999999999</c:v>
                </c:pt>
                <c:pt idx="72">
                  <c:v>0.147754</c:v>
                </c:pt>
                <c:pt idx="73">
                  <c:v>0.15820999999999999</c:v>
                </c:pt>
                <c:pt idx="74">
                  <c:v>0.15006</c:v>
                </c:pt>
                <c:pt idx="75">
                  <c:v>0.18001900000000001</c:v>
                </c:pt>
                <c:pt idx="76">
                  <c:v>0.19143199999999999</c:v>
                </c:pt>
                <c:pt idx="77">
                  <c:v>0.19395499999999999</c:v>
                </c:pt>
                <c:pt idx="78">
                  <c:v>0.18751899999999999</c:v>
                </c:pt>
                <c:pt idx="79">
                  <c:v>0.19862299999999999</c:v>
                </c:pt>
                <c:pt idx="80">
                  <c:v>0.21582299999999999</c:v>
                </c:pt>
                <c:pt idx="81">
                  <c:v>0.23053100000000001</c:v>
                </c:pt>
                <c:pt idx="82">
                  <c:v>0.233379</c:v>
                </c:pt>
                <c:pt idx="83">
                  <c:v>0.22000800000000001</c:v>
                </c:pt>
                <c:pt idx="84">
                  <c:v>0.22701099999999999</c:v>
                </c:pt>
                <c:pt idx="85">
                  <c:v>0.2084</c:v>
                </c:pt>
                <c:pt idx="86">
                  <c:v>0.216282</c:v>
                </c:pt>
                <c:pt idx="87">
                  <c:v>0.217893</c:v>
                </c:pt>
                <c:pt idx="88">
                  <c:v>0.24627199999999999</c:v>
                </c:pt>
                <c:pt idx="89">
                  <c:v>0.249699</c:v>
                </c:pt>
                <c:pt idx="90">
                  <c:v>0.22913600000000001</c:v>
                </c:pt>
                <c:pt idx="91">
                  <c:v>0.239506</c:v>
                </c:pt>
                <c:pt idx="92">
                  <c:v>0.23149600000000001</c:v>
                </c:pt>
                <c:pt idx="93">
                  <c:v>0.24496899999999999</c:v>
                </c:pt>
                <c:pt idx="94">
                  <c:v>0.24191799999999999</c:v>
                </c:pt>
                <c:pt idx="95">
                  <c:v>0.23647299999999999</c:v>
                </c:pt>
                <c:pt idx="96">
                  <c:v>0.23425099999999999</c:v>
                </c:pt>
                <c:pt idx="97">
                  <c:v>0.23454900000000001</c:v>
                </c:pt>
                <c:pt idx="98">
                  <c:v>0.223972</c:v>
                </c:pt>
                <c:pt idx="99">
                  <c:v>0.23002900000000001</c:v>
                </c:pt>
                <c:pt idx="100">
                  <c:v>0.21617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4F-2142-805F-F9C447CEF83D}"/>
            </c:ext>
          </c:extLst>
        </c:ser>
        <c:ser>
          <c:idx val="2"/>
          <c:order val="3"/>
          <c:tx>
            <c:strRef>
              <c:f>'gpt_delta-trend'!$E$2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'gpt_delta-trend'!$E$3:$E$104</c:f>
              <c:numCache>
                <c:formatCode>General</c:formatCode>
                <c:ptCount val="102"/>
                <c:pt idx="0">
                  <c:v>0</c:v>
                </c:pt>
                <c:pt idx="1">
                  <c:v>-1.374E-3</c:v>
                </c:pt>
                <c:pt idx="2">
                  <c:v>7.0349999999999996E-3</c:v>
                </c:pt>
                <c:pt idx="3">
                  <c:v>3.0006000000000001E-2</c:v>
                </c:pt>
                <c:pt idx="4">
                  <c:v>3.7472999999999999E-2</c:v>
                </c:pt>
                <c:pt idx="5">
                  <c:v>5.1175999999999999E-2</c:v>
                </c:pt>
                <c:pt idx="6">
                  <c:v>6.4715999999999996E-2</c:v>
                </c:pt>
                <c:pt idx="7">
                  <c:v>9.8687999999999998E-2</c:v>
                </c:pt>
                <c:pt idx="8">
                  <c:v>0.115589</c:v>
                </c:pt>
                <c:pt idx="9">
                  <c:v>0.12725500000000001</c:v>
                </c:pt>
                <c:pt idx="10">
                  <c:v>9.6585000000000004E-2</c:v>
                </c:pt>
                <c:pt idx="11">
                  <c:v>0.105115</c:v>
                </c:pt>
                <c:pt idx="12">
                  <c:v>0.125444</c:v>
                </c:pt>
                <c:pt idx="13">
                  <c:v>0.12612100000000001</c:v>
                </c:pt>
                <c:pt idx="14">
                  <c:v>0.122116</c:v>
                </c:pt>
                <c:pt idx="15">
                  <c:v>0.140736</c:v>
                </c:pt>
                <c:pt idx="16">
                  <c:v>0.12587100000000001</c:v>
                </c:pt>
                <c:pt idx="17">
                  <c:v>0.14223</c:v>
                </c:pt>
                <c:pt idx="18">
                  <c:v>0.18520900000000001</c:v>
                </c:pt>
                <c:pt idx="19">
                  <c:v>0.24598700000000001</c:v>
                </c:pt>
                <c:pt idx="20">
                  <c:v>0.24298700000000001</c:v>
                </c:pt>
                <c:pt idx="21">
                  <c:v>0.27637099999999998</c:v>
                </c:pt>
                <c:pt idx="22">
                  <c:v>0.28136499999999998</c:v>
                </c:pt>
                <c:pt idx="23">
                  <c:v>0.27383400000000002</c:v>
                </c:pt>
                <c:pt idx="24">
                  <c:v>0.271702</c:v>
                </c:pt>
                <c:pt idx="25">
                  <c:v>0.27511600000000003</c:v>
                </c:pt>
                <c:pt idx="26">
                  <c:v>0.28917599999999999</c:v>
                </c:pt>
                <c:pt idx="27">
                  <c:v>0.29477700000000001</c:v>
                </c:pt>
                <c:pt idx="28">
                  <c:v>0.28842299999999998</c:v>
                </c:pt>
                <c:pt idx="29">
                  <c:v>0.29561100000000001</c:v>
                </c:pt>
                <c:pt idx="30">
                  <c:v>0.29716700000000001</c:v>
                </c:pt>
                <c:pt idx="31">
                  <c:v>0.28876000000000002</c:v>
                </c:pt>
                <c:pt idx="32">
                  <c:v>0.30979000000000001</c:v>
                </c:pt>
                <c:pt idx="33">
                  <c:v>0.27041799999999999</c:v>
                </c:pt>
                <c:pt idx="34">
                  <c:v>0.28459499999999999</c:v>
                </c:pt>
                <c:pt idx="35">
                  <c:v>0.27108700000000002</c:v>
                </c:pt>
                <c:pt idx="36">
                  <c:v>0.28348499999999999</c:v>
                </c:pt>
                <c:pt idx="37">
                  <c:v>0.27454499999999998</c:v>
                </c:pt>
                <c:pt idx="38">
                  <c:v>0.28199000000000002</c:v>
                </c:pt>
                <c:pt idx="39">
                  <c:v>0.291408</c:v>
                </c:pt>
                <c:pt idx="40">
                  <c:v>0.31329600000000002</c:v>
                </c:pt>
                <c:pt idx="41">
                  <c:v>0.31417200000000001</c:v>
                </c:pt>
                <c:pt idx="42">
                  <c:v>0.30976500000000001</c:v>
                </c:pt>
                <c:pt idx="43">
                  <c:v>0.30383300000000002</c:v>
                </c:pt>
                <c:pt idx="44">
                  <c:v>0.33019399999999999</c:v>
                </c:pt>
                <c:pt idx="45">
                  <c:v>0.33906700000000001</c:v>
                </c:pt>
                <c:pt idx="46">
                  <c:v>0.30179600000000001</c:v>
                </c:pt>
                <c:pt idx="47">
                  <c:v>0.310141</c:v>
                </c:pt>
                <c:pt idx="48">
                  <c:v>0.315332</c:v>
                </c:pt>
                <c:pt idx="49">
                  <c:v>0.31852000000000003</c:v>
                </c:pt>
                <c:pt idx="50">
                  <c:v>0.32228099999999998</c:v>
                </c:pt>
                <c:pt idx="51">
                  <c:v>0.35072799999999998</c:v>
                </c:pt>
                <c:pt idx="52">
                  <c:v>0.29616799999999999</c:v>
                </c:pt>
                <c:pt idx="53">
                  <c:v>0.33698299999999998</c:v>
                </c:pt>
                <c:pt idx="54">
                  <c:v>0.32627800000000001</c:v>
                </c:pt>
                <c:pt idx="55">
                  <c:v>0.32903700000000002</c:v>
                </c:pt>
                <c:pt idx="56">
                  <c:v>0.29027700000000001</c:v>
                </c:pt>
                <c:pt idx="57">
                  <c:v>0.31490099999999999</c:v>
                </c:pt>
                <c:pt idx="58">
                  <c:v>0.31592599999999998</c:v>
                </c:pt>
                <c:pt idx="59">
                  <c:v>0.32020300000000002</c:v>
                </c:pt>
                <c:pt idx="60">
                  <c:v>0.34365800000000002</c:v>
                </c:pt>
                <c:pt idx="61">
                  <c:v>0.35386600000000001</c:v>
                </c:pt>
                <c:pt idx="62">
                  <c:v>0.35081800000000002</c:v>
                </c:pt>
                <c:pt idx="63">
                  <c:v>0.35249999999999998</c:v>
                </c:pt>
                <c:pt idx="64">
                  <c:v>0.37334000000000001</c:v>
                </c:pt>
                <c:pt idx="65">
                  <c:v>0.37986500000000001</c:v>
                </c:pt>
                <c:pt idx="66">
                  <c:v>0.40271000000000001</c:v>
                </c:pt>
                <c:pt idx="67">
                  <c:v>0.40555400000000003</c:v>
                </c:pt>
                <c:pt idx="68">
                  <c:v>0.42366300000000001</c:v>
                </c:pt>
                <c:pt idx="69">
                  <c:v>0.42948199999999997</c:v>
                </c:pt>
                <c:pt idx="70">
                  <c:v>0.461451</c:v>
                </c:pt>
                <c:pt idx="71">
                  <c:v>0.46528199999999997</c:v>
                </c:pt>
                <c:pt idx="72">
                  <c:v>0.40828199999999998</c:v>
                </c:pt>
                <c:pt idx="73">
                  <c:v>0.44181500000000001</c:v>
                </c:pt>
                <c:pt idx="74">
                  <c:v>0.41270499999999999</c:v>
                </c:pt>
                <c:pt idx="75">
                  <c:v>0.46358700000000003</c:v>
                </c:pt>
                <c:pt idx="76">
                  <c:v>0.477244</c:v>
                </c:pt>
                <c:pt idx="77">
                  <c:v>0.48032999999999998</c:v>
                </c:pt>
                <c:pt idx="78">
                  <c:v>0.47008800000000001</c:v>
                </c:pt>
                <c:pt idx="79">
                  <c:v>0.461669</c:v>
                </c:pt>
                <c:pt idx="80">
                  <c:v>0.52017999999999998</c:v>
                </c:pt>
                <c:pt idx="81">
                  <c:v>0.53406600000000004</c:v>
                </c:pt>
                <c:pt idx="82">
                  <c:v>0.50226899999999997</c:v>
                </c:pt>
                <c:pt idx="83">
                  <c:v>0.52320800000000001</c:v>
                </c:pt>
                <c:pt idx="84">
                  <c:v>0.55291699999999999</c:v>
                </c:pt>
                <c:pt idx="85">
                  <c:v>0.53144000000000002</c:v>
                </c:pt>
                <c:pt idx="86">
                  <c:v>0.54763600000000001</c:v>
                </c:pt>
                <c:pt idx="87">
                  <c:v>0.57463799999999998</c:v>
                </c:pt>
                <c:pt idx="88">
                  <c:v>0.59272100000000005</c:v>
                </c:pt>
                <c:pt idx="89">
                  <c:v>0.60869399999999996</c:v>
                </c:pt>
                <c:pt idx="90">
                  <c:v>0.61405500000000002</c:v>
                </c:pt>
                <c:pt idx="91">
                  <c:v>0.60801499999999997</c:v>
                </c:pt>
                <c:pt idx="92">
                  <c:v>0.61709800000000004</c:v>
                </c:pt>
                <c:pt idx="93">
                  <c:v>0.62547600000000003</c:v>
                </c:pt>
                <c:pt idx="94">
                  <c:v>0.61411700000000002</c:v>
                </c:pt>
                <c:pt idx="95">
                  <c:v>0.640463</c:v>
                </c:pt>
                <c:pt idx="96">
                  <c:v>0.62914199999999998</c:v>
                </c:pt>
                <c:pt idx="97">
                  <c:v>0.66372799999999998</c:v>
                </c:pt>
                <c:pt idx="98">
                  <c:v>0.65401399999999998</c:v>
                </c:pt>
                <c:pt idx="99">
                  <c:v>0.67313599999999996</c:v>
                </c:pt>
                <c:pt idx="100">
                  <c:v>0.64480199999999999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4F-2142-805F-F9C447CEF83D}"/>
            </c:ext>
          </c:extLst>
        </c:ser>
        <c:ser>
          <c:idx val="3"/>
          <c:order val="4"/>
          <c:tx>
            <c:strRef>
              <c:f>'gpt_delta-trend'!$F$2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-7.6649999999999999E-3</c:v>
                </c:pt>
                <c:pt idx="2">
                  <c:v>1.0994E-2</c:v>
                </c:pt>
                <c:pt idx="3">
                  <c:v>-1.3988E-2</c:v>
                </c:pt>
                <c:pt idx="4">
                  <c:v>-2.9791000000000002E-2</c:v>
                </c:pt>
                <c:pt idx="5">
                  <c:v>-5.5279000000000002E-2</c:v>
                </c:pt>
                <c:pt idx="6">
                  <c:v>-6.7402000000000004E-2</c:v>
                </c:pt>
                <c:pt idx="7">
                  <c:v>-7.9104999999999995E-2</c:v>
                </c:pt>
                <c:pt idx="8">
                  <c:v>-8.0208000000000002E-2</c:v>
                </c:pt>
                <c:pt idx="9">
                  <c:v>-9.1425999999999993E-2</c:v>
                </c:pt>
                <c:pt idx="10">
                  <c:v>-0.132772</c:v>
                </c:pt>
                <c:pt idx="11">
                  <c:v>-0.155385</c:v>
                </c:pt>
                <c:pt idx="12">
                  <c:v>-0.16018299999999999</c:v>
                </c:pt>
                <c:pt idx="13">
                  <c:v>-0.163074</c:v>
                </c:pt>
                <c:pt idx="14">
                  <c:v>-0.180122</c:v>
                </c:pt>
                <c:pt idx="15">
                  <c:v>-0.18426799999999999</c:v>
                </c:pt>
                <c:pt idx="16">
                  <c:v>-0.202213</c:v>
                </c:pt>
                <c:pt idx="17">
                  <c:v>-0.21623899999999999</c:v>
                </c:pt>
                <c:pt idx="18">
                  <c:v>-0.22417799999999999</c:v>
                </c:pt>
                <c:pt idx="19">
                  <c:v>-0.23790500000000001</c:v>
                </c:pt>
                <c:pt idx="20">
                  <c:v>-0.25879799999999997</c:v>
                </c:pt>
                <c:pt idx="21">
                  <c:v>-0.266264</c:v>
                </c:pt>
                <c:pt idx="22">
                  <c:v>-0.26133000000000001</c:v>
                </c:pt>
                <c:pt idx="23">
                  <c:v>-0.27352900000000002</c:v>
                </c:pt>
                <c:pt idx="24">
                  <c:v>-0.28514600000000001</c:v>
                </c:pt>
                <c:pt idx="25">
                  <c:v>-0.29306399999999999</c:v>
                </c:pt>
                <c:pt idx="26">
                  <c:v>-0.29627799999999999</c:v>
                </c:pt>
                <c:pt idx="27">
                  <c:v>-0.29918699999999998</c:v>
                </c:pt>
                <c:pt idx="28">
                  <c:v>-0.297786</c:v>
                </c:pt>
                <c:pt idx="29">
                  <c:v>-0.30031999999999998</c:v>
                </c:pt>
                <c:pt idx="30">
                  <c:v>-0.29366199999999998</c:v>
                </c:pt>
                <c:pt idx="31">
                  <c:v>-0.30532700000000002</c:v>
                </c:pt>
                <c:pt idx="32">
                  <c:v>-0.32261699999999999</c:v>
                </c:pt>
                <c:pt idx="33">
                  <c:v>-0.32867499999999999</c:v>
                </c:pt>
                <c:pt idx="34">
                  <c:v>-0.330899</c:v>
                </c:pt>
                <c:pt idx="35">
                  <c:v>-0.33457700000000001</c:v>
                </c:pt>
                <c:pt idx="36">
                  <c:v>-0.34696199999999999</c:v>
                </c:pt>
                <c:pt idx="37">
                  <c:v>-0.355211</c:v>
                </c:pt>
                <c:pt idx="38">
                  <c:v>-0.36504399999999998</c:v>
                </c:pt>
                <c:pt idx="39">
                  <c:v>-0.36529600000000001</c:v>
                </c:pt>
                <c:pt idx="40">
                  <c:v>-0.37657600000000002</c:v>
                </c:pt>
                <c:pt idx="41">
                  <c:v>-0.38673000000000002</c:v>
                </c:pt>
                <c:pt idx="42">
                  <c:v>-0.37787100000000001</c:v>
                </c:pt>
                <c:pt idx="43">
                  <c:v>-0.38108999999999998</c:v>
                </c:pt>
                <c:pt idx="44">
                  <c:v>-0.38736399999999999</c:v>
                </c:pt>
                <c:pt idx="45">
                  <c:v>-0.39197900000000002</c:v>
                </c:pt>
                <c:pt idx="46">
                  <c:v>-0.39638400000000001</c:v>
                </c:pt>
                <c:pt idx="47">
                  <c:v>-0.40276600000000001</c:v>
                </c:pt>
                <c:pt idx="48">
                  <c:v>-0.40945700000000002</c:v>
                </c:pt>
                <c:pt idx="49">
                  <c:v>-0.413993</c:v>
                </c:pt>
                <c:pt idx="50">
                  <c:v>-0.414408</c:v>
                </c:pt>
                <c:pt idx="51">
                  <c:v>-0.41673700000000002</c:v>
                </c:pt>
                <c:pt idx="52">
                  <c:v>-0.42026200000000002</c:v>
                </c:pt>
                <c:pt idx="53">
                  <c:v>-0.429977</c:v>
                </c:pt>
                <c:pt idx="54">
                  <c:v>-0.42770599999999998</c:v>
                </c:pt>
                <c:pt idx="55">
                  <c:v>-0.43591299999999999</c:v>
                </c:pt>
                <c:pt idx="56">
                  <c:v>-0.424037</c:v>
                </c:pt>
                <c:pt idx="57">
                  <c:v>-0.442527</c:v>
                </c:pt>
                <c:pt idx="58">
                  <c:v>-0.45585999999999999</c:v>
                </c:pt>
                <c:pt idx="59">
                  <c:v>-0.43006</c:v>
                </c:pt>
                <c:pt idx="60">
                  <c:v>-0.44896399999999997</c:v>
                </c:pt>
                <c:pt idx="61">
                  <c:v>-0.46033099999999999</c:v>
                </c:pt>
                <c:pt idx="62">
                  <c:v>-0.46114500000000003</c:v>
                </c:pt>
                <c:pt idx="63">
                  <c:v>-0.47804799999999997</c:v>
                </c:pt>
                <c:pt idx="64">
                  <c:v>-0.48047099999999998</c:v>
                </c:pt>
                <c:pt idx="65">
                  <c:v>-0.48844599999999999</c:v>
                </c:pt>
                <c:pt idx="66">
                  <c:v>-0.495311</c:v>
                </c:pt>
                <c:pt idx="67">
                  <c:v>-0.50680599999999998</c:v>
                </c:pt>
                <c:pt idx="68">
                  <c:v>-0.51028700000000005</c:v>
                </c:pt>
                <c:pt idx="69">
                  <c:v>-0.50900299999999998</c:v>
                </c:pt>
                <c:pt idx="70">
                  <c:v>-0.51632900000000004</c:v>
                </c:pt>
                <c:pt idx="71">
                  <c:v>-0.53066899999999995</c:v>
                </c:pt>
                <c:pt idx="72">
                  <c:v>-0.53448399999999996</c:v>
                </c:pt>
                <c:pt idx="73">
                  <c:v>-0.53405899999999995</c:v>
                </c:pt>
                <c:pt idx="74">
                  <c:v>-0.53653399999999996</c:v>
                </c:pt>
                <c:pt idx="75">
                  <c:v>-0.55408000000000002</c:v>
                </c:pt>
                <c:pt idx="76">
                  <c:v>-0.56648600000000005</c:v>
                </c:pt>
                <c:pt idx="77">
                  <c:v>-0.574353</c:v>
                </c:pt>
                <c:pt idx="78">
                  <c:v>-0.55840699999999999</c:v>
                </c:pt>
                <c:pt idx="79">
                  <c:v>-0.51070899999999997</c:v>
                </c:pt>
                <c:pt idx="80">
                  <c:v>-0.53037800000000002</c:v>
                </c:pt>
                <c:pt idx="81">
                  <c:v>-0.56515899999999997</c:v>
                </c:pt>
                <c:pt idx="82">
                  <c:v>-0.58344799999999997</c:v>
                </c:pt>
                <c:pt idx="83">
                  <c:v>-0.59106800000000004</c:v>
                </c:pt>
                <c:pt idx="84">
                  <c:v>-0.594773</c:v>
                </c:pt>
                <c:pt idx="85">
                  <c:v>-0.57749099999999998</c:v>
                </c:pt>
                <c:pt idx="86">
                  <c:v>-0.60035799999999995</c:v>
                </c:pt>
                <c:pt idx="87">
                  <c:v>-0.60131800000000002</c:v>
                </c:pt>
                <c:pt idx="88">
                  <c:v>-0.61096099999999998</c:v>
                </c:pt>
                <c:pt idx="89">
                  <c:v>-0.61631800000000003</c:v>
                </c:pt>
                <c:pt idx="90">
                  <c:v>-0.62262099999999998</c:v>
                </c:pt>
                <c:pt idx="91">
                  <c:v>-0.64354500000000003</c:v>
                </c:pt>
                <c:pt idx="92">
                  <c:v>-0.64471800000000001</c:v>
                </c:pt>
                <c:pt idx="93">
                  <c:v>-0.63893299999999997</c:v>
                </c:pt>
                <c:pt idx="94">
                  <c:v>-0.65803400000000001</c:v>
                </c:pt>
                <c:pt idx="95">
                  <c:v>-0.65356099999999995</c:v>
                </c:pt>
                <c:pt idx="96">
                  <c:v>-0.65806399999999998</c:v>
                </c:pt>
                <c:pt idx="97">
                  <c:v>-0.65870499999999998</c:v>
                </c:pt>
                <c:pt idx="98">
                  <c:v>-0.65953200000000001</c:v>
                </c:pt>
                <c:pt idx="99">
                  <c:v>-0.66933799999999999</c:v>
                </c:pt>
                <c:pt idx="100">
                  <c:v>-0.65888199999999997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4F-2142-805F-F9C447CEF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-2.447E-3</c:v>
                </c:pt>
                <c:pt idx="2">
                  <c:v>-4.4889999999999999E-3</c:v>
                </c:pt>
                <c:pt idx="3">
                  <c:v>-4.7410000000000004E-3</c:v>
                </c:pt>
                <c:pt idx="4">
                  <c:v>-1.9319999999999999E-3</c:v>
                </c:pt>
                <c:pt idx="5">
                  <c:v>-1.6677000000000001E-2</c:v>
                </c:pt>
                <c:pt idx="6">
                  <c:v>-2.0147000000000002E-2</c:v>
                </c:pt>
                <c:pt idx="7">
                  <c:v>-2.2110000000000001E-2</c:v>
                </c:pt>
                <c:pt idx="8">
                  <c:v>-2.128E-2</c:v>
                </c:pt>
                <c:pt idx="9">
                  <c:v>-2.4698000000000001E-2</c:v>
                </c:pt>
                <c:pt idx="10">
                  <c:v>-3.9655999999999997E-2</c:v>
                </c:pt>
                <c:pt idx="11">
                  <c:v>-2.9444000000000001E-2</c:v>
                </c:pt>
                <c:pt idx="12">
                  <c:v>-3.4791999999999997E-2</c:v>
                </c:pt>
                <c:pt idx="13">
                  <c:v>-3.9758000000000002E-2</c:v>
                </c:pt>
                <c:pt idx="14">
                  <c:v>-5.9207999999999997E-2</c:v>
                </c:pt>
                <c:pt idx="15">
                  <c:v>-6.7906999999999995E-2</c:v>
                </c:pt>
                <c:pt idx="16">
                  <c:v>-8.1299999999999997E-2</c:v>
                </c:pt>
                <c:pt idx="17">
                  <c:v>-8.8028999999999996E-2</c:v>
                </c:pt>
                <c:pt idx="18">
                  <c:v>-8.7647000000000003E-2</c:v>
                </c:pt>
                <c:pt idx="19">
                  <c:v>-9.1188000000000005E-2</c:v>
                </c:pt>
                <c:pt idx="20">
                  <c:v>-8.6664000000000005E-2</c:v>
                </c:pt>
                <c:pt idx="21">
                  <c:v>-8.5526000000000005E-2</c:v>
                </c:pt>
                <c:pt idx="22">
                  <c:v>-8.6763000000000007E-2</c:v>
                </c:pt>
                <c:pt idx="23">
                  <c:v>-8.9274000000000006E-2</c:v>
                </c:pt>
                <c:pt idx="24">
                  <c:v>-8.5604E-2</c:v>
                </c:pt>
                <c:pt idx="25">
                  <c:v>-8.7654999999999997E-2</c:v>
                </c:pt>
                <c:pt idx="26">
                  <c:v>-9.2130000000000004E-2</c:v>
                </c:pt>
                <c:pt idx="27">
                  <c:v>-9.8706000000000002E-2</c:v>
                </c:pt>
                <c:pt idx="28">
                  <c:v>-9.8656999999999995E-2</c:v>
                </c:pt>
                <c:pt idx="29">
                  <c:v>-0.101143</c:v>
                </c:pt>
                <c:pt idx="30">
                  <c:v>-9.6068000000000001E-2</c:v>
                </c:pt>
                <c:pt idx="31">
                  <c:v>-9.4061000000000006E-2</c:v>
                </c:pt>
                <c:pt idx="32">
                  <c:v>-9.6291000000000002E-2</c:v>
                </c:pt>
                <c:pt idx="33">
                  <c:v>-9.5322000000000004E-2</c:v>
                </c:pt>
                <c:pt idx="34">
                  <c:v>-0.10377699999999999</c:v>
                </c:pt>
                <c:pt idx="35">
                  <c:v>-0.114983</c:v>
                </c:pt>
                <c:pt idx="36">
                  <c:v>-0.11661000000000001</c:v>
                </c:pt>
                <c:pt idx="37">
                  <c:v>-0.117271</c:v>
                </c:pt>
                <c:pt idx="38">
                  <c:v>-0.12606999999999999</c:v>
                </c:pt>
                <c:pt idx="39">
                  <c:v>-0.12995899999999999</c:v>
                </c:pt>
                <c:pt idx="40">
                  <c:v>-0.13350600000000001</c:v>
                </c:pt>
                <c:pt idx="41">
                  <c:v>-0.13678999999999999</c:v>
                </c:pt>
                <c:pt idx="42">
                  <c:v>-0.13580700000000001</c:v>
                </c:pt>
                <c:pt idx="43">
                  <c:v>-0.136124</c:v>
                </c:pt>
                <c:pt idx="44">
                  <c:v>-0.14480499999999999</c:v>
                </c:pt>
                <c:pt idx="45">
                  <c:v>-0.15060499999999999</c:v>
                </c:pt>
                <c:pt idx="46">
                  <c:v>-0.16153899999999999</c:v>
                </c:pt>
                <c:pt idx="47">
                  <c:v>-0.16261700000000001</c:v>
                </c:pt>
                <c:pt idx="48">
                  <c:v>-0.162913</c:v>
                </c:pt>
                <c:pt idx="49">
                  <c:v>-0.158556</c:v>
                </c:pt>
                <c:pt idx="50">
                  <c:v>-0.16478100000000001</c:v>
                </c:pt>
                <c:pt idx="51">
                  <c:v>-0.16198299999999999</c:v>
                </c:pt>
                <c:pt idx="52">
                  <c:v>-0.16614899999999999</c:v>
                </c:pt>
                <c:pt idx="53">
                  <c:v>-0.12740099999999999</c:v>
                </c:pt>
                <c:pt idx="54">
                  <c:v>-0.13472500000000001</c:v>
                </c:pt>
                <c:pt idx="55">
                  <c:v>-0.132495</c:v>
                </c:pt>
                <c:pt idx="56">
                  <c:v>-0.134931</c:v>
                </c:pt>
                <c:pt idx="57">
                  <c:v>-0.13570099999999999</c:v>
                </c:pt>
                <c:pt idx="58">
                  <c:v>-0.118823</c:v>
                </c:pt>
                <c:pt idx="59">
                  <c:v>-0.120392</c:v>
                </c:pt>
                <c:pt idx="60">
                  <c:v>-0.12123299999999999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6F-2246-9089-D226FF35F2C8}"/>
            </c:ext>
          </c:extLst>
        </c:ser>
        <c:ser>
          <c:idx val="4"/>
          <c:order val="1"/>
          <c:tx>
            <c:strRef>
              <c:f>'gpt_delta-trend'!$I$2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-3.5469999999999998E-3</c:v>
                </c:pt>
                <c:pt idx="2">
                  <c:v>2.9160000000000002E-3</c:v>
                </c:pt>
                <c:pt idx="3">
                  <c:v>2.519E-3</c:v>
                </c:pt>
                <c:pt idx="4">
                  <c:v>1.0111E-2</c:v>
                </c:pt>
                <c:pt idx="5">
                  <c:v>-2.5399999999999999E-4</c:v>
                </c:pt>
                <c:pt idx="6">
                  <c:v>1.0231000000000001E-2</c:v>
                </c:pt>
                <c:pt idx="7">
                  <c:v>1.1188E-2</c:v>
                </c:pt>
                <c:pt idx="8">
                  <c:v>2.2408000000000001E-2</c:v>
                </c:pt>
                <c:pt idx="9">
                  <c:v>2.2565000000000002E-2</c:v>
                </c:pt>
                <c:pt idx="10">
                  <c:v>1.2624E-2</c:v>
                </c:pt>
                <c:pt idx="11">
                  <c:v>1.695E-2</c:v>
                </c:pt>
                <c:pt idx="12">
                  <c:v>1.7913999999999999E-2</c:v>
                </c:pt>
                <c:pt idx="13">
                  <c:v>1.5023999999999999E-2</c:v>
                </c:pt>
                <c:pt idx="14">
                  <c:v>1.0952E-2</c:v>
                </c:pt>
                <c:pt idx="15">
                  <c:v>1.3783E-2</c:v>
                </c:pt>
                <c:pt idx="16">
                  <c:v>1.1113E-2</c:v>
                </c:pt>
                <c:pt idx="17">
                  <c:v>1.5172E-2</c:v>
                </c:pt>
                <c:pt idx="18">
                  <c:v>1.9857E-2</c:v>
                </c:pt>
                <c:pt idx="19">
                  <c:v>2.2599000000000001E-2</c:v>
                </c:pt>
                <c:pt idx="20">
                  <c:v>3.0332000000000001E-2</c:v>
                </c:pt>
                <c:pt idx="21">
                  <c:v>3.2395E-2</c:v>
                </c:pt>
                <c:pt idx="22">
                  <c:v>3.5901000000000002E-2</c:v>
                </c:pt>
                <c:pt idx="23">
                  <c:v>4.0209000000000002E-2</c:v>
                </c:pt>
                <c:pt idx="24">
                  <c:v>3.8585000000000001E-2</c:v>
                </c:pt>
                <c:pt idx="25">
                  <c:v>4.3343E-2</c:v>
                </c:pt>
                <c:pt idx="26">
                  <c:v>4.0494000000000002E-2</c:v>
                </c:pt>
                <c:pt idx="27">
                  <c:v>3.7455000000000002E-2</c:v>
                </c:pt>
                <c:pt idx="28">
                  <c:v>4.1674000000000003E-2</c:v>
                </c:pt>
                <c:pt idx="29">
                  <c:v>5.4289999999999998E-2</c:v>
                </c:pt>
                <c:pt idx="30">
                  <c:v>5.8195999999999998E-2</c:v>
                </c:pt>
                <c:pt idx="31">
                  <c:v>6.8820000000000006E-2</c:v>
                </c:pt>
                <c:pt idx="32">
                  <c:v>7.7965000000000007E-2</c:v>
                </c:pt>
                <c:pt idx="33">
                  <c:v>8.2519999999999996E-2</c:v>
                </c:pt>
                <c:pt idx="34">
                  <c:v>8.0946000000000004E-2</c:v>
                </c:pt>
                <c:pt idx="35">
                  <c:v>6.5613000000000005E-2</c:v>
                </c:pt>
                <c:pt idx="36">
                  <c:v>6.7018999999999995E-2</c:v>
                </c:pt>
                <c:pt idx="37">
                  <c:v>7.3255000000000001E-2</c:v>
                </c:pt>
                <c:pt idx="38">
                  <c:v>6.744E-2</c:v>
                </c:pt>
                <c:pt idx="39">
                  <c:v>7.1687000000000001E-2</c:v>
                </c:pt>
                <c:pt idx="40">
                  <c:v>6.8240999999999996E-2</c:v>
                </c:pt>
                <c:pt idx="41">
                  <c:v>3.2418000000000002E-2</c:v>
                </c:pt>
                <c:pt idx="42">
                  <c:v>3.6831000000000003E-2</c:v>
                </c:pt>
                <c:pt idx="43">
                  <c:v>3.6052000000000001E-2</c:v>
                </c:pt>
                <c:pt idx="44">
                  <c:v>3.3111000000000002E-2</c:v>
                </c:pt>
                <c:pt idx="45">
                  <c:v>3.4014999999999997E-2</c:v>
                </c:pt>
                <c:pt idx="46">
                  <c:v>2.7317000000000001E-2</c:v>
                </c:pt>
                <c:pt idx="47">
                  <c:v>1.4485E-2</c:v>
                </c:pt>
                <c:pt idx="48">
                  <c:v>1.8766999999999999E-2</c:v>
                </c:pt>
                <c:pt idx="49">
                  <c:v>2.3434E-2</c:v>
                </c:pt>
                <c:pt idx="50">
                  <c:v>3.7508E-2</c:v>
                </c:pt>
                <c:pt idx="51">
                  <c:v>4.5900999999999997E-2</c:v>
                </c:pt>
                <c:pt idx="52">
                  <c:v>4.8002999999999997E-2</c:v>
                </c:pt>
                <c:pt idx="53">
                  <c:v>5.0214000000000002E-2</c:v>
                </c:pt>
                <c:pt idx="54">
                  <c:v>5.9663000000000001E-2</c:v>
                </c:pt>
                <c:pt idx="55">
                  <c:v>7.2184999999999999E-2</c:v>
                </c:pt>
                <c:pt idx="56">
                  <c:v>7.4366000000000002E-2</c:v>
                </c:pt>
                <c:pt idx="57">
                  <c:v>6.4852999999999994E-2</c:v>
                </c:pt>
                <c:pt idx="58">
                  <c:v>7.3154999999999998E-2</c:v>
                </c:pt>
                <c:pt idx="59">
                  <c:v>8.6472999999999994E-2</c:v>
                </c:pt>
                <c:pt idx="60">
                  <c:v>8.4541000000000005E-2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F-2246-9089-D226FF35F2C8}"/>
            </c:ext>
          </c:extLst>
        </c:ser>
        <c:ser>
          <c:idx val="1"/>
          <c:order val="2"/>
          <c:tx>
            <c:strRef>
              <c:f>'gpt_delta-trend'!$J$2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3.581E-3</c:v>
                </c:pt>
                <c:pt idx="2">
                  <c:v>1.0958000000000001E-2</c:v>
                </c:pt>
                <c:pt idx="3">
                  <c:v>1.5970000000000002E-2</c:v>
                </c:pt>
                <c:pt idx="4">
                  <c:v>2.6440000000000001E-3</c:v>
                </c:pt>
                <c:pt idx="5">
                  <c:v>-1.1559999999999999E-3</c:v>
                </c:pt>
                <c:pt idx="6">
                  <c:v>9.5549999999999993E-3</c:v>
                </c:pt>
                <c:pt idx="7">
                  <c:v>1.3283E-2</c:v>
                </c:pt>
                <c:pt idx="8">
                  <c:v>2.5618999999999999E-2</c:v>
                </c:pt>
                <c:pt idx="9">
                  <c:v>2.3324000000000001E-2</c:v>
                </c:pt>
                <c:pt idx="10">
                  <c:v>2.3889000000000001E-2</c:v>
                </c:pt>
                <c:pt idx="11">
                  <c:v>4.7613000000000003E-2</c:v>
                </c:pt>
                <c:pt idx="12">
                  <c:v>5.4418000000000001E-2</c:v>
                </c:pt>
                <c:pt idx="13">
                  <c:v>6.2664999999999998E-2</c:v>
                </c:pt>
                <c:pt idx="14">
                  <c:v>5.2350000000000001E-2</c:v>
                </c:pt>
                <c:pt idx="15">
                  <c:v>5.8964000000000003E-2</c:v>
                </c:pt>
                <c:pt idx="16">
                  <c:v>6.1435999999999998E-2</c:v>
                </c:pt>
                <c:pt idx="17">
                  <c:v>6.5196000000000004E-2</c:v>
                </c:pt>
                <c:pt idx="18">
                  <c:v>6.4982999999999999E-2</c:v>
                </c:pt>
                <c:pt idx="19">
                  <c:v>7.6200000000000004E-2</c:v>
                </c:pt>
                <c:pt idx="20">
                  <c:v>8.7248999999999993E-2</c:v>
                </c:pt>
                <c:pt idx="21">
                  <c:v>9.7209000000000004E-2</c:v>
                </c:pt>
                <c:pt idx="22">
                  <c:v>0.10510899999999999</c:v>
                </c:pt>
                <c:pt idx="23">
                  <c:v>0.10731400000000001</c:v>
                </c:pt>
                <c:pt idx="24">
                  <c:v>0.111121</c:v>
                </c:pt>
                <c:pt idx="25">
                  <c:v>0.117157</c:v>
                </c:pt>
                <c:pt idx="26">
                  <c:v>0.120244</c:v>
                </c:pt>
                <c:pt idx="27">
                  <c:v>0.117248</c:v>
                </c:pt>
                <c:pt idx="28">
                  <c:v>0.132054</c:v>
                </c:pt>
                <c:pt idx="29">
                  <c:v>0.13734299999999999</c:v>
                </c:pt>
                <c:pt idx="30">
                  <c:v>0.141962</c:v>
                </c:pt>
                <c:pt idx="31">
                  <c:v>0.14463100000000001</c:v>
                </c:pt>
                <c:pt idx="32">
                  <c:v>0.153751</c:v>
                </c:pt>
                <c:pt idx="33">
                  <c:v>0.15922700000000001</c:v>
                </c:pt>
                <c:pt idx="34">
                  <c:v>0.16797899999999999</c:v>
                </c:pt>
                <c:pt idx="35">
                  <c:v>0.140405</c:v>
                </c:pt>
                <c:pt idx="36">
                  <c:v>0.15104799999999999</c:v>
                </c:pt>
                <c:pt idx="37">
                  <c:v>0.149973</c:v>
                </c:pt>
                <c:pt idx="38">
                  <c:v>0.15424199999999999</c:v>
                </c:pt>
                <c:pt idx="39">
                  <c:v>0.16308</c:v>
                </c:pt>
                <c:pt idx="40">
                  <c:v>0.16564100000000001</c:v>
                </c:pt>
                <c:pt idx="41">
                  <c:v>0.14338200000000001</c:v>
                </c:pt>
                <c:pt idx="42">
                  <c:v>0.14765200000000001</c:v>
                </c:pt>
                <c:pt idx="43">
                  <c:v>0.14868999999999999</c:v>
                </c:pt>
                <c:pt idx="44">
                  <c:v>0.15587799999999999</c:v>
                </c:pt>
                <c:pt idx="45">
                  <c:v>0.16029399999999999</c:v>
                </c:pt>
                <c:pt idx="46">
                  <c:v>0.154586</c:v>
                </c:pt>
                <c:pt idx="47">
                  <c:v>0.15836</c:v>
                </c:pt>
                <c:pt idx="48">
                  <c:v>0.16433700000000001</c:v>
                </c:pt>
                <c:pt idx="49">
                  <c:v>0.17361299999999999</c:v>
                </c:pt>
                <c:pt idx="50">
                  <c:v>0.17757200000000001</c:v>
                </c:pt>
                <c:pt idx="51">
                  <c:v>0.177818</c:v>
                </c:pt>
                <c:pt idx="52">
                  <c:v>0.186858</c:v>
                </c:pt>
                <c:pt idx="53">
                  <c:v>0.16631199999999999</c:v>
                </c:pt>
                <c:pt idx="54">
                  <c:v>0.180616</c:v>
                </c:pt>
                <c:pt idx="55">
                  <c:v>0.18097099999999999</c:v>
                </c:pt>
                <c:pt idx="56">
                  <c:v>0.185499</c:v>
                </c:pt>
                <c:pt idx="57">
                  <c:v>0.18726699999999999</c:v>
                </c:pt>
                <c:pt idx="58">
                  <c:v>0.18765799999999999</c:v>
                </c:pt>
                <c:pt idx="59">
                  <c:v>0.209727</c:v>
                </c:pt>
                <c:pt idx="60">
                  <c:v>0.216919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6F-2246-9089-D226FF35F2C8}"/>
            </c:ext>
          </c:extLst>
        </c:ser>
        <c:ser>
          <c:idx val="2"/>
          <c:order val="3"/>
          <c:tx>
            <c:strRef>
              <c:f>'gpt_delta-trend'!$K$2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'gpt_delta-trend'!$K$3:$K$64</c:f>
              <c:numCache>
                <c:formatCode>General</c:formatCode>
                <c:ptCount val="62"/>
                <c:pt idx="0">
                  <c:v>0</c:v>
                </c:pt>
                <c:pt idx="1">
                  <c:v>4.2490000000000002E-3</c:v>
                </c:pt>
                <c:pt idx="2">
                  <c:v>5.0860000000000002E-3</c:v>
                </c:pt>
                <c:pt idx="3">
                  <c:v>1.5518000000000001E-2</c:v>
                </c:pt>
                <c:pt idx="4">
                  <c:v>1.6246E-2</c:v>
                </c:pt>
                <c:pt idx="5">
                  <c:v>2.75E-2</c:v>
                </c:pt>
                <c:pt idx="6">
                  <c:v>3.8689000000000001E-2</c:v>
                </c:pt>
                <c:pt idx="7">
                  <c:v>4.6262999999999999E-2</c:v>
                </c:pt>
                <c:pt idx="8">
                  <c:v>5.3621000000000002E-2</c:v>
                </c:pt>
                <c:pt idx="9">
                  <c:v>7.7926999999999996E-2</c:v>
                </c:pt>
                <c:pt idx="10">
                  <c:v>7.5358999999999995E-2</c:v>
                </c:pt>
                <c:pt idx="11">
                  <c:v>7.6149999999999995E-2</c:v>
                </c:pt>
                <c:pt idx="12">
                  <c:v>9.9094000000000002E-2</c:v>
                </c:pt>
                <c:pt idx="13">
                  <c:v>0.12868499999999999</c:v>
                </c:pt>
                <c:pt idx="14">
                  <c:v>0.121919</c:v>
                </c:pt>
                <c:pt idx="15">
                  <c:v>0.138326</c:v>
                </c:pt>
                <c:pt idx="16">
                  <c:v>0.18887100000000001</c:v>
                </c:pt>
                <c:pt idx="17">
                  <c:v>0.23080200000000001</c:v>
                </c:pt>
                <c:pt idx="18">
                  <c:v>0.326851</c:v>
                </c:pt>
                <c:pt idx="19">
                  <c:v>0.33572600000000002</c:v>
                </c:pt>
                <c:pt idx="20">
                  <c:v>0.390212</c:v>
                </c:pt>
                <c:pt idx="21">
                  <c:v>0.42799500000000001</c:v>
                </c:pt>
                <c:pt idx="22">
                  <c:v>0.43821900000000003</c:v>
                </c:pt>
                <c:pt idx="23">
                  <c:v>0.48377300000000001</c:v>
                </c:pt>
                <c:pt idx="24">
                  <c:v>0.49097400000000002</c:v>
                </c:pt>
                <c:pt idx="25">
                  <c:v>0.55995600000000001</c:v>
                </c:pt>
                <c:pt idx="26">
                  <c:v>0.56850299999999998</c:v>
                </c:pt>
                <c:pt idx="27">
                  <c:v>0.56898300000000002</c:v>
                </c:pt>
                <c:pt idx="28">
                  <c:v>0.59738400000000003</c:v>
                </c:pt>
                <c:pt idx="29">
                  <c:v>0.61079300000000003</c:v>
                </c:pt>
                <c:pt idx="30">
                  <c:v>0.58869700000000003</c:v>
                </c:pt>
                <c:pt idx="31">
                  <c:v>0.64945299999999995</c:v>
                </c:pt>
                <c:pt idx="32">
                  <c:v>0.73642700000000005</c:v>
                </c:pt>
                <c:pt idx="33">
                  <c:v>0.69416699999999998</c:v>
                </c:pt>
                <c:pt idx="34">
                  <c:v>0.80125000000000002</c:v>
                </c:pt>
                <c:pt idx="35">
                  <c:v>0.83111500000000005</c:v>
                </c:pt>
                <c:pt idx="36">
                  <c:v>0.84796499999999997</c:v>
                </c:pt>
                <c:pt idx="37">
                  <c:v>0.80762199999999995</c:v>
                </c:pt>
                <c:pt idx="38">
                  <c:v>0.86389099999999996</c:v>
                </c:pt>
                <c:pt idx="39">
                  <c:v>0.76712199999999997</c:v>
                </c:pt>
                <c:pt idx="40">
                  <c:v>0.77402000000000004</c:v>
                </c:pt>
                <c:pt idx="41">
                  <c:v>0.63699700000000004</c:v>
                </c:pt>
                <c:pt idx="42">
                  <c:v>0.72388799999999998</c:v>
                </c:pt>
                <c:pt idx="43">
                  <c:v>0.76518299999999995</c:v>
                </c:pt>
                <c:pt idx="44">
                  <c:v>0.820052</c:v>
                </c:pt>
                <c:pt idx="45">
                  <c:v>0.80838600000000005</c:v>
                </c:pt>
                <c:pt idx="46">
                  <c:v>0.78320800000000002</c:v>
                </c:pt>
                <c:pt idx="47">
                  <c:v>0.72844399999999998</c:v>
                </c:pt>
                <c:pt idx="48">
                  <c:v>0.81396299999999999</c:v>
                </c:pt>
                <c:pt idx="49">
                  <c:v>0.814141</c:v>
                </c:pt>
                <c:pt idx="50">
                  <c:v>0.80979999999999996</c:v>
                </c:pt>
                <c:pt idx="51">
                  <c:v>0.89448300000000003</c:v>
                </c:pt>
                <c:pt idx="52">
                  <c:v>1.0341640000000001</c:v>
                </c:pt>
                <c:pt idx="53">
                  <c:v>0.85209800000000002</c:v>
                </c:pt>
                <c:pt idx="54">
                  <c:v>1.105234</c:v>
                </c:pt>
                <c:pt idx="55">
                  <c:v>1.1489549999999999</c:v>
                </c:pt>
                <c:pt idx="56">
                  <c:v>1.139947</c:v>
                </c:pt>
                <c:pt idx="57">
                  <c:v>1.1602779999999999</c:v>
                </c:pt>
                <c:pt idx="58">
                  <c:v>1.234499</c:v>
                </c:pt>
                <c:pt idx="59">
                  <c:v>1.2592429999999999</c:v>
                </c:pt>
                <c:pt idx="60">
                  <c:v>1.2256020000000001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6F-2246-9089-D226FF35F2C8}"/>
            </c:ext>
          </c:extLst>
        </c:ser>
        <c:ser>
          <c:idx val="3"/>
          <c:order val="4"/>
          <c:tx>
            <c:strRef>
              <c:f>'gpt_delta-trend'!$L$2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-1.6130000000000001E-3</c:v>
                </c:pt>
                <c:pt idx="2">
                  <c:v>-2.8140000000000001E-3</c:v>
                </c:pt>
                <c:pt idx="3">
                  <c:v>-3.9999999999999998E-6</c:v>
                </c:pt>
                <c:pt idx="4">
                  <c:v>-6.1440000000000002E-3</c:v>
                </c:pt>
                <c:pt idx="5">
                  <c:v>-1.8214000000000001E-2</c:v>
                </c:pt>
                <c:pt idx="6">
                  <c:v>-1.7392000000000001E-2</c:v>
                </c:pt>
                <c:pt idx="7">
                  <c:v>-1.8058000000000001E-2</c:v>
                </c:pt>
                <c:pt idx="8">
                  <c:v>-1.8335000000000001E-2</c:v>
                </c:pt>
                <c:pt idx="9">
                  <c:v>-1.6906000000000001E-2</c:v>
                </c:pt>
                <c:pt idx="10">
                  <c:v>-4.9911999999999998E-2</c:v>
                </c:pt>
                <c:pt idx="11">
                  <c:v>-5.6526E-2</c:v>
                </c:pt>
                <c:pt idx="12">
                  <c:v>-5.4554999999999999E-2</c:v>
                </c:pt>
                <c:pt idx="13">
                  <c:v>-4.8467999999999997E-2</c:v>
                </c:pt>
                <c:pt idx="14">
                  <c:v>-6.9426000000000002E-2</c:v>
                </c:pt>
                <c:pt idx="15">
                  <c:v>-7.6688000000000006E-2</c:v>
                </c:pt>
                <c:pt idx="16">
                  <c:v>-8.1601000000000007E-2</c:v>
                </c:pt>
                <c:pt idx="17">
                  <c:v>-8.6452000000000001E-2</c:v>
                </c:pt>
                <c:pt idx="18">
                  <c:v>-8.2294999999999993E-2</c:v>
                </c:pt>
                <c:pt idx="19">
                  <c:v>-8.0917000000000003E-2</c:v>
                </c:pt>
                <c:pt idx="20">
                  <c:v>-8.2021999999999998E-2</c:v>
                </c:pt>
                <c:pt idx="21">
                  <c:v>-7.7648999999999996E-2</c:v>
                </c:pt>
                <c:pt idx="22">
                  <c:v>-7.5309000000000001E-2</c:v>
                </c:pt>
                <c:pt idx="23">
                  <c:v>-7.0846999999999993E-2</c:v>
                </c:pt>
                <c:pt idx="24">
                  <c:v>-6.5840999999999997E-2</c:v>
                </c:pt>
                <c:pt idx="25">
                  <c:v>-6.2605999999999995E-2</c:v>
                </c:pt>
                <c:pt idx="26">
                  <c:v>-6.5942000000000001E-2</c:v>
                </c:pt>
                <c:pt idx="27">
                  <c:v>-6.1490999999999997E-2</c:v>
                </c:pt>
                <c:pt idx="28">
                  <c:v>-6.4729999999999996E-2</c:v>
                </c:pt>
                <c:pt idx="29">
                  <c:v>-6.3425999999999996E-2</c:v>
                </c:pt>
                <c:pt idx="30">
                  <c:v>-6.2472E-2</c:v>
                </c:pt>
                <c:pt idx="31">
                  <c:v>-6.3480999999999996E-2</c:v>
                </c:pt>
                <c:pt idx="32">
                  <c:v>-5.6543999999999997E-2</c:v>
                </c:pt>
                <c:pt idx="33">
                  <c:v>-5.7269E-2</c:v>
                </c:pt>
                <c:pt idx="34">
                  <c:v>-6.3601000000000005E-2</c:v>
                </c:pt>
                <c:pt idx="35">
                  <c:v>-6.3668000000000002E-2</c:v>
                </c:pt>
                <c:pt idx="36">
                  <c:v>-6.3811999999999994E-2</c:v>
                </c:pt>
                <c:pt idx="37">
                  <c:v>-6.5922999999999995E-2</c:v>
                </c:pt>
                <c:pt idx="38">
                  <c:v>-6.0766000000000001E-2</c:v>
                </c:pt>
                <c:pt idx="39">
                  <c:v>-5.9910999999999999E-2</c:v>
                </c:pt>
                <c:pt idx="40">
                  <c:v>-5.9163E-2</c:v>
                </c:pt>
                <c:pt idx="41">
                  <c:v>-8.6000999999999994E-2</c:v>
                </c:pt>
                <c:pt idx="42">
                  <c:v>-8.2150000000000001E-2</c:v>
                </c:pt>
                <c:pt idx="43">
                  <c:v>-8.5716000000000001E-2</c:v>
                </c:pt>
                <c:pt idx="44">
                  <c:v>-7.5378000000000001E-2</c:v>
                </c:pt>
                <c:pt idx="45">
                  <c:v>-7.4090000000000003E-2</c:v>
                </c:pt>
                <c:pt idx="46">
                  <c:v>-7.3547000000000001E-2</c:v>
                </c:pt>
                <c:pt idx="47">
                  <c:v>-7.0290000000000005E-2</c:v>
                </c:pt>
                <c:pt idx="48">
                  <c:v>-7.1831999999999993E-2</c:v>
                </c:pt>
                <c:pt idx="49">
                  <c:v>-6.8904999999999994E-2</c:v>
                </c:pt>
                <c:pt idx="50">
                  <c:v>-7.3996999999999993E-2</c:v>
                </c:pt>
                <c:pt idx="51">
                  <c:v>-7.2081999999999993E-2</c:v>
                </c:pt>
                <c:pt idx="52">
                  <c:v>-7.7317999999999998E-2</c:v>
                </c:pt>
                <c:pt idx="53">
                  <c:v>-7.5453999999999993E-2</c:v>
                </c:pt>
                <c:pt idx="54">
                  <c:v>-7.6814999999999994E-2</c:v>
                </c:pt>
                <c:pt idx="55">
                  <c:v>-7.7358999999999997E-2</c:v>
                </c:pt>
                <c:pt idx="56">
                  <c:v>-7.4352000000000001E-2</c:v>
                </c:pt>
                <c:pt idx="57">
                  <c:v>-7.3976E-2</c:v>
                </c:pt>
                <c:pt idx="58">
                  <c:v>-7.1857000000000004E-2</c:v>
                </c:pt>
                <c:pt idx="59">
                  <c:v>-8.6333999999999994E-2</c:v>
                </c:pt>
                <c:pt idx="60">
                  <c:v>-8.7847999999999996E-2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6F-2246-9089-D226FF35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-3.6311000000000003E-2</c:v>
                </c:pt>
                <c:pt idx="2">
                  <c:v>-5.6297E-2</c:v>
                </c:pt>
                <c:pt idx="3">
                  <c:v>-8.8549000000000003E-2</c:v>
                </c:pt>
                <c:pt idx="4">
                  <c:v>-0.104837</c:v>
                </c:pt>
                <c:pt idx="5">
                  <c:v>-0.11285299999999999</c:v>
                </c:pt>
                <c:pt idx="6">
                  <c:v>-0.130744</c:v>
                </c:pt>
                <c:pt idx="7">
                  <c:v>-0.1389</c:v>
                </c:pt>
                <c:pt idx="8">
                  <c:v>-0.15068300000000001</c:v>
                </c:pt>
                <c:pt idx="9">
                  <c:v>-0.164544</c:v>
                </c:pt>
                <c:pt idx="10">
                  <c:v>-0.23908099999999999</c:v>
                </c:pt>
                <c:pt idx="11">
                  <c:v>-0.27545199999999997</c:v>
                </c:pt>
                <c:pt idx="12">
                  <c:v>-0.28546100000000002</c:v>
                </c:pt>
                <c:pt idx="13">
                  <c:v>-0.29611599999999999</c:v>
                </c:pt>
                <c:pt idx="14">
                  <c:v>-0.31750800000000001</c:v>
                </c:pt>
                <c:pt idx="15">
                  <c:v>-0.34726400000000002</c:v>
                </c:pt>
                <c:pt idx="16">
                  <c:v>-0.37508000000000002</c:v>
                </c:pt>
                <c:pt idx="17">
                  <c:v>-0.38285200000000003</c:v>
                </c:pt>
                <c:pt idx="18">
                  <c:v>-0.40242699999999998</c:v>
                </c:pt>
                <c:pt idx="19">
                  <c:v>-0.413829</c:v>
                </c:pt>
                <c:pt idx="20">
                  <c:v>-0.42901</c:v>
                </c:pt>
                <c:pt idx="21">
                  <c:v>-0.41644399999999998</c:v>
                </c:pt>
                <c:pt idx="22">
                  <c:v>-0.426952</c:v>
                </c:pt>
                <c:pt idx="23">
                  <c:v>-0.43007699999999999</c:v>
                </c:pt>
                <c:pt idx="24">
                  <c:v>-0.451573</c:v>
                </c:pt>
                <c:pt idx="25">
                  <c:v>-0.470277</c:v>
                </c:pt>
                <c:pt idx="26">
                  <c:v>-0.476053</c:v>
                </c:pt>
                <c:pt idx="27">
                  <c:v>-0.48122599999999999</c:v>
                </c:pt>
                <c:pt idx="28">
                  <c:v>-0.48853600000000003</c:v>
                </c:pt>
                <c:pt idx="29">
                  <c:v>-0.49720599999999998</c:v>
                </c:pt>
                <c:pt idx="30">
                  <c:v>-0.49299599999999999</c:v>
                </c:pt>
                <c:pt idx="31">
                  <c:v>-0.48910500000000001</c:v>
                </c:pt>
                <c:pt idx="32">
                  <c:v>-0.52663000000000004</c:v>
                </c:pt>
                <c:pt idx="33">
                  <c:v>-0.54388999999999998</c:v>
                </c:pt>
                <c:pt idx="34">
                  <c:v>-0.56830199999999997</c:v>
                </c:pt>
                <c:pt idx="35">
                  <c:v>-0.577735</c:v>
                </c:pt>
                <c:pt idx="36">
                  <c:v>-0.59776399999999996</c:v>
                </c:pt>
                <c:pt idx="37">
                  <c:v>-0.60774499999999998</c:v>
                </c:pt>
                <c:pt idx="38">
                  <c:v>-0.63007400000000002</c:v>
                </c:pt>
                <c:pt idx="39">
                  <c:v>-0.64067499999999999</c:v>
                </c:pt>
                <c:pt idx="40">
                  <c:v>-0.65656199999999998</c:v>
                </c:pt>
                <c:pt idx="41">
                  <c:v>-0.664524</c:v>
                </c:pt>
                <c:pt idx="42">
                  <c:v>-0.67139800000000005</c:v>
                </c:pt>
                <c:pt idx="43">
                  <c:v>-0.677091</c:v>
                </c:pt>
                <c:pt idx="44">
                  <c:v>-0.67796199999999995</c:v>
                </c:pt>
                <c:pt idx="45">
                  <c:v>-0.68667100000000003</c:v>
                </c:pt>
                <c:pt idx="46">
                  <c:v>-0.69091899999999995</c:v>
                </c:pt>
                <c:pt idx="47">
                  <c:v>-0.700129</c:v>
                </c:pt>
                <c:pt idx="48">
                  <c:v>-0.70193099999999997</c:v>
                </c:pt>
                <c:pt idx="49">
                  <c:v>-0.70643199999999995</c:v>
                </c:pt>
                <c:pt idx="50">
                  <c:v>-0.71548999999999996</c:v>
                </c:pt>
                <c:pt idx="51">
                  <c:v>-0.71819100000000002</c:v>
                </c:pt>
                <c:pt idx="52">
                  <c:v>-0.70800600000000002</c:v>
                </c:pt>
                <c:pt idx="53">
                  <c:v>-0.73285599999999995</c:v>
                </c:pt>
                <c:pt idx="54">
                  <c:v>-0.73196300000000003</c:v>
                </c:pt>
                <c:pt idx="55">
                  <c:v>-0.73983699999999997</c:v>
                </c:pt>
                <c:pt idx="56">
                  <c:v>-0.74702599999999997</c:v>
                </c:pt>
                <c:pt idx="57">
                  <c:v>-0.749502</c:v>
                </c:pt>
                <c:pt idx="58">
                  <c:v>-0.77104600000000001</c:v>
                </c:pt>
                <c:pt idx="59">
                  <c:v>-0.71730799999999995</c:v>
                </c:pt>
                <c:pt idx="60">
                  <c:v>-0.78579600000000005</c:v>
                </c:pt>
                <c:pt idx="61">
                  <c:v>-0.80288899999999996</c:v>
                </c:pt>
                <c:pt idx="62">
                  <c:v>-0.79210100000000006</c:v>
                </c:pt>
                <c:pt idx="63">
                  <c:v>-0.82742300000000002</c:v>
                </c:pt>
                <c:pt idx="64">
                  <c:v>-0.84104900000000005</c:v>
                </c:pt>
                <c:pt idx="65">
                  <c:v>-0.85512200000000005</c:v>
                </c:pt>
                <c:pt idx="66">
                  <c:v>-0.85980400000000001</c:v>
                </c:pt>
                <c:pt idx="67">
                  <c:v>-0.86778999999999995</c:v>
                </c:pt>
                <c:pt idx="68">
                  <c:v>-0.87392400000000003</c:v>
                </c:pt>
                <c:pt idx="69">
                  <c:v>-0.86980299999999999</c:v>
                </c:pt>
                <c:pt idx="70">
                  <c:v>-0.87629199999999996</c:v>
                </c:pt>
                <c:pt idx="71">
                  <c:v>-0.89869500000000002</c:v>
                </c:pt>
                <c:pt idx="72">
                  <c:v>-0.90558499999999997</c:v>
                </c:pt>
                <c:pt idx="73">
                  <c:v>-0.90559000000000001</c:v>
                </c:pt>
                <c:pt idx="74">
                  <c:v>-0.88933499999999999</c:v>
                </c:pt>
                <c:pt idx="75">
                  <c:v>-0.954322</c:v>
                </c:pt>
                <c:pt idx="76">
                  <c:v>-0.98911700000000002</c:v>
                </c:pt>
                <c:pt idx="77">
                  <c:v>-0.99656999999999996</c:v>
                </c:pt>
                <c:pt idx="78">
                  <c:v>-0.966395</c:v>
                </c:pt>
                <c:pt idx="79">
                  <c:v>-0.98621700000000001</c:v>
                </c:pt>
                <c:pt idx="80">
                  <c:v>-0.97888900000000001</c:v>
                </c:pt>
                <c:pt idx="81">
                  <c:v>-1.029779</c:v>
                </c:pt>
                <c:pt idx="82">
                  <c:v>-1.062603</c:v>
                </c:pt>
                <c:pt idx="83">
                  <c:v>-1.0543279999999999</c:v>
                </c:pt>
                <c:pt idx="84">
                  <c:v>-1.0711079999999999</c:v>
                </c:pt>
                <c:pt idx="85">
                  <c:v>-1.069545</c:v>
                </c:pt>
                <c:pt idx="86">
                  <c:v>-1.0785229999999999</c:v>
                </c:pt>
                <c:pt idx="87">
                  <c:v>-1.081037</c:v>
                </c:pt>
                <c:pt idx="88">
                  <c:v>-1.1125849999999999</c:v>
                </c:pt>
                <c:pt idx="89">
                  <c:v>-1.082875</c:v>
                </c:pt>
                <c:pt idx="90">
                  <c:v>-1.0928629999999999</c:v>
                </c:pt>
                <c:pt idx="91">
                  <c:v>-1.126217</c:v>
                </c:pt>
                <c:pt idx="92">
                  <c:v>-1.139559</c:v>
                </c:pt>
                <c:pt idx="93">
                  <c:v>-1.144188</c:v>
                </c:pt>
                <c:pt idx="94">
                  <c:v>-1.149017</c:v>
                </c:pt>
                <c:pt idx="95">
                  <c:v>-1.162102</c:v>
                </c:pt>
                <c:pt idx="96">
                  <c:v>-1.177997</c:v>
                </c:pt>
                <c:pt idx="97">
                  <c:v>-1.180947</c:v>
                </c:pt>
                <c:pt idx="98">
                  <c:v>-1.168293</c:v>
                </c:pt>
                <c:pt idx="99">
                  <c:v>-1.188823</c:v>
                </c:pt>
                <c:pt idx="100">
                  <c:v>-1.1682490000000001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15-E24D-A1A6-2067F76B14B4}"/>
            </c:ext>
          </c:extLst>
        </c:ser>
        <c:ser>
          <c:idx val="4"/>
          <c:order val="1"/>
          <c:tx>
            <c:strRef>
              <c:f>'gpt_delta-trend'!$O$2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-1.0739E-2</c:v>
                </c:pt>
                <c:pt idx="2">
                  <c:v>-2.578E-3</c:v>
                </c:pt>
                <c:pt idx="3">
                  <c:v>-4.1354000000000002E-2</c:v>
                </c:pt>
                <c:pt idx="4">
                  <c:v>-3.9607999999999997E-2</c:v>
                </c:pt>
                <c:pt idx="5">
                  <c:v>-4.2616000000000001E-2</c:v>
                </c:pt>
                <c:pt idx="6">
                  <c:v>-5.9539000000000002E-2</c:v>
                </c:pt>
                <c:pt idx="7">
                  <c:v>-6.4677999999999999E-2</c:v>
                </c:pt>
                <c:pt idx="8">
                  <c:v>-5.0847000000000003E-2</c:v>
                </c:pt>
                <c:pt idx="9">
                  <c:v>-7.9315999999999998E-2</c:v>
                </c:pt>
                <c:pt idx="10">
                  <c:v>-0.172182</c:v>
                </c:pt>
                <c:pt idx="11">
                  <c:v>-0.21234700000000001</c:v>
                </c:pt>
                <c:pt idx="12">
                  <c:v>-0.220416</c:v>
                </c:pt>
                <c:pt idx="13">
                  <c:v>-0.24749699999999999</c:v>
                </c:pt>
                <c:pt idx="14">
                  <c:v>-0.27368900000000002</c:v>
                </c:pt>
                <c:pt idx="15">
                  <c:v>-0.29339799999999999</c:v>
                </c:pt>
                <c:pt idx="16">
                  <c:v>-0.32566400000000001</c:v>
                </c:pt>
                <c:pt idx="17">
                  <c:v>-0.325824</c:v>
                </c:pt>
                <c:pt idx="18">
                  <c:v>-0.337783</c:v>
                </c:pt>
                <c:pt idx="19">
                  <c:v>-0.315996</c:v>
                </c:pt>
                <c:pt idx="20">
                  <c:v>-0.349939</c:v>
                </c:pt>
                <c:pt idx="21">
                  <c:v>-0.36165799999999998</c:v>
                </c:pt>
                <c:pt idx="22">
                  <c:v>-0.36876100000000001</c:v>
                </c:pt>
                <c:pt idx="23">
                  <c:v>-0.353184</c:v>
                </c:pt>
                <c:pt idx="24">
                  <c:v>-0.38435399999999997</c:v>
                </c:pt>
                <c:pt idx="25">
                  <c:v>-0.400202</c:v>
                </c:pt>
                <c:pt idx="26">
                  <c:v>-0.40321899999999999</c:v>
                </c:pt>
                <c:pt idx="27">
                  <c:v>-0.41365600000000002</c:v>
                </c:pt>
                <c:pt idx="28">
                  <c:v>-0.42713299999999998</c:v>
                </c:pt>
                <c:pt idx="29">
                  <c:v>-0.43005399999999999</c:v>
                </c:pt>
                <c:pt idx="30">
                  <c:v>-0.432423</c:v>
                </c:pt>
                <c:pt idx="31">
                  <c:v>-0.43907800000000002</c:v>
                </c:pt>
                <c:pt idx="32">
                  <c:v>-0.47270499999999999</c:v>
                </c:pt>
                <c:pt idx="33">
                  <c:v>-0.48532399999999998</c:v>
                </c:pt>
                <c:pt idx="34">
                  <c:v>-0.49293900000000002</c:v>
                </c:pt>
                <c:pt idx="35">
                  <c:v>-0.49860500000000002</c:v>
                </c:pt>
                <c:pt idx="36">
                  <c:v>-0.51252900000000001</c:v>
                </c:pt>
                <c:pt idx="37">
                  <c:v>-0.53089799999999998</c:v>
                </c:pt>
                <c:pt idx="38">
                  <c:v>-0.55020199999999997</c:v>
                </c:pt>
                <c:pt idx="39">
                  <c:v>-0.53067500000000001</c:v>
                </c:pt>
                <c:pt idx="40">
                  <c:v>-0.54228399999999999</c:v>
                </c:pt>
                <c:pt idx="41">
                  <c:v>-0.54974599999999996</c:v>
                </c:pt>
                <c:pt idx="42">
                  <c:v>-0.55461199999999999</c:v>
                </c:pt>
                <c:pt idx="43">
                  <c:v>-0.55710000000000004</c:v>
                </c:pt>
                <c:pt idx="44">
                  <c:v>-0.56408899999999995</c:v>
                </c:pt>
                <c:pt idx="45">
                  <c:v>-0.57463799999999998</c:v>
                </c:pt>
                <c:pt idx="46">
                  <c:v>-0.57803899999999997</c:v>
                </c:pt>
                <c:pt idx="47">
                  <c:v>-0.58481000000000005</c:v>
                </c:pt>
                <c:pt idx="48">
                  <c:v>-0.58380299999999996</c:v>
                </c:pt>
                <c:pt idx="49">
                  <c:v>-0.59168200000000004</c:v>
                </c:pt>
                <c:pt idx="50">
                  <c:v>-0.65684900000000002</c:v>
                </c:pt>
                <c:pt idx="51">
                  <c:v>-0.65420599999999995</c:v>
                </c:pt>
                <c:pt idx="52">
                  <c:v>-0.63702499999999995</c:v>
                </c:pt>
                <c:pt idx="53">
                  <c:v>-0.67849999999999999</c:v>
                </c:pt>
                <c:pt idx="54">
                  <c:v>-0.67275099999999999</c:v>
                </c:pt>
                <c:pt idx="55">
                  <c:v>-0.688886</c:v>
                </c:pt>
                <c:pt idx="56">
                  <c:v>-0.68294699999999997</c:v>
                </c:pt>
                <c:pt idx="57">
                  <c:v>-0.69628800000000002</c:v>
                </c:pt>
                <c:pt idx="58">
                  <c:v>-0.69331100000000001</c:v>
                </c:pt>
                <c:pt idx="59">
                  <c:v>-0.68886400000000003</c:v>
                </c:pt>
                <c:pt idx="60">
                  <c:v>-0.71581700000000004</c:v>
                </c:pt>
                <c:pt idx="61">
                  <c:v>-0.76847699999999997</c:v>
                </c:pt>
                <c:pt idx="62">
                  <c:v>-0.760486</c:v>
                </c:pt>
                <c:pt idx="63">
                  <c:v>-0.76823399999999997</c:v>
                </c:pt>
                <c:pt idx="64">
                  <c:v>-0.78193299999999999</c:v>
                </c:pt>
                <c:pt idx="65">
                  <c:v>-0.79149099999999994</c:v>
                </c:pt>
                <c:pt idx="66">
                  <c:v>-0.794825</c:v>
                </c:pt>
                <c:pt idx="67">
                  <c:v>-0.80684500000000003</c:v>
                </c:pt>
                <c:pt idx="68">
                  <c:v>-0.80993499999999996</c:v>
                </c:pt>
                <c:pt idx="69">
                  <c:v>-0.79666199999999998</c:v>
                </c:pt>
                <c:pt idx="70">
                  <c:v>-0.80916699999999997</c:v>
                </c:pt>
                <c:pt idx="71">
                  <c:v>-0.81361600000000001</c:v>
                </c:pt>
                <c:pt idx="72">
                  <c:v>-0.83447700000000002</c:v>
                </c:pt>
                <c:pt idx="73">
                  <c:v>-0.82822799999999996</c:v>
                </c:pt>
                <c:pt idx="74">
                  <c:v>-0.82477500000000004</c:v>
                </c:pt>
                <c:pt idx="75">
                  <c:v>-0.86586300000000005</c:v>
                </c:pt>
                <c:pt idx="76">
                  <c:v>-0.900231</c:v>
                </c:pt>
                <c:pt idx="77">
                  <c:v>-0.90736300000000003</c:v>
                </c:pt>
                <c:pt idx="78">
                  <c:v>-0.892127</c:v>
                </c:pt>
                <c:pt idx="79">
                  <c:v>-0.88659100000000002</c:v>
                </c:pt>
                <c:pt idx="80">
                  <c:v>-0.95915399999999995</c:v>
                </c:pt>
                <c:pt idx="81">
                  <c:v>-0.94999100000000003</c:v>
                </c:pt>
                <c:pt idx="82">
                  <c:v>-0.96326699999999998</c:v>
                </c:pt>
                <c:pt idx="83">
                  <c:v>-0.99751900000000004</c:v>
                </c:pt>
                <c:pt idx="84">
                  <c:v>-1.0242599999999999</c:v>
                </c:pt>
                <c:pt idx="85">
                  <c:v>-1.0121089999999999</c:v>
                </c:pt>
                <c:pt idx="86">
                  <c:v>-1.034286</c:v>
                </c:pt>
                <c:pt idx="87">
                  <c:v>-1.0165740000000001</c:v>
                </c:pt>
                <c:pt idx="88">
                  <c:v>-1.017609</c:v>
                </c:pt>
                <c:pt idx="89">
                  <c:v>-1.0032939999999999</c:v>
                </c:pt>
                <c:pt idx="90">
                  <c:v>-1.014726</c:v>
                </c:pt>
                <c:pt idx="91">
                  <c:v>-1.0414369999999999</c:v>
                </c:pt>
                <c:pt idx="92">
                  <c:v>-1.049533</c:v>
                </c:pt>
                <c:pt idx="93">
                  <c:v>-1.0250950000000001</c:v>
                </c:pt>
                <c:pt idx="94">
                  <c:v>-1.0584549999999999</c:v>
                </c:pt>
                <c:pt idx="95">
                  <c:v>-1.061248</c:v>
                </c:pt>
                <c:pt idx="96">
                  <c:v>-1.0868500000000001</c:v>
                </c:pt>
                <c:pt idx="97">
                  <c:v>-1.0946959999999999</c:v>
                </c:pt>
                <c:pt idx="98">
                  <c:v>-1.0848629999999999</c:v>
                </c:pt>
                <c:pt idx="99">
                  <c:v>-1.115451</c:v>
                </c:pt>
                <c:pt idx="100">
                  <c:v>-1.10232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15-E24D-A1A6-2067F76B14B4}"/>
            </c:ext>
          </c:extLst>
        </c:ser>
        <c:ser>
          <c:idx val="1"/>
          <c:order val="2"/>
          <c:tx>
            <c:strRef>
              <c:f>'gpt_delta-trend'!$P$2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-1.0848E-2</c:v>
                </c:pt>
                <c:pt idx="2">
                  <c:v>-1.0285000000000001E-2</c:v>
                </c:pt>
                <c:pt idx="3">
                  <c:v>-3.1251000000000001E-2</c:v>
                </c:pt>
                <c:pt idx="4">
                  <c:v>-5.2004000000000002E-2</c:v>
                </c:pt>
                <c:pt idx="5">
                  <c:v>-4.7551999999999997E-2</c:v>
                </c:pt>
                <c:pt idx="6">
                  <c:v>-2.7390999999999999E-2</c:v>
                </c:pt>
                <c:pt idx="7">
                  <c:v>-3.5324000000000001E-2</c:v>
                </c:pt>
                <c:pt idx="8">
                  <c:v>-3.6087000000000001E-2</c:v>
                </c:pt>
                <c:pt idx="9">
                  <c:v>-4.8561E-2</c:v>
                </c:pt>
                <c:pt idx="10">
                  <c:v>-1.1219E-2</c:v>
                </c:pt>
                <c:pt idx="11">
                  <c:v>-2.5676000000000001E-2</c:v>
                </c:pt>
                <c:pt idx="12">
                  <c:v>-2.7283999999999999E-2</c:v>
                </c:pt>
                <c:pt idx="13">
                  <c:v>-6.4146999999999996E-2</c:v>
                </c:pt>
                <c:pt idx="14">
                  <c:v>-8.2579E-2</c:v>
                </c:pt>
                <c:pt idx="15">
                  <c:v>-9.3350000000000002E-2</c:v>
                </c:pt>
                <c:pt idx="16">
                  <c:v>-0.129029</c:v>
                </c:pt>
                <c:pt idx="17">
                  <c:v>-0.118727</c:v>
                </c:pt>
                <c:pt idx="18">
                  <c:v>-0.120894</c:v>
                </c:pt>
                <c:pt idx="19">
                  <c:v>-0.11697</c:v>
                </c:pt>
                <c:pt idx="20">
                  <c:v>-0.158361</c:v>
                </c:pt>
                <c:pt idx="21">
                  <c:v>-0.16251599999999999</c:v>
                </c:pt>
                <c:pt idx="22">
                  <c:v>-0.159444</c:v>
                </c:pt>
                <c:pt idx="23">
                  <c:v>-0.16045899999999999</c:v>
                </c:pt>
                <c:pt idx="24">
                  <c:v>-0.17702200000000001</c:v>
                </c:pt>
                <c:pt idx="25">
                  <c:v>-0.179623</c:v>
                </c:pt>
                <c:pt idx="26">
                  <c:v>-0.18121300000000001</c:v>
                </c:pt>
                <c:pt idx="27">
                  <c:v>-0.184753</c:v>
                </c:pt>
                <c:pt idx="28">
                  <c:v>-0.19835800000000001</c:v>
                </c:pt>
                <c:pt idx="29">
                  <c:v>-0.20874599999999999</c:v>
                </c:pt>
                <c:pt idx="30">
                  <c:v>-0.214781</c:v>
                </c:pt>
                <c:pt idx="31">
                  <c:v>-0.21782599999999999</c:v>
                </c:pt>
                <c:pt idx="32">
                  <c:v>-0.25586500000000001</c:v>
                </c:pt>
                <c:pt idx="33">
                  <c:v>-0.25675799999999999</c:v>
                </c:pt>
                <c:pt idx="34">
                  <c:v>-0.269123</c:v>
                </c:pt>
                <c:pt idx="35">
                  <c:v>-0.288574</c:v>
                </c:pt>
                <c:pt idx="36">
                  <c:v>-0.29046499999999997</c:v>
                </c:pt>
                <c:pt idx="37">
                  <c:v>-0.31615500000000002</c:v>
                </c:pt>
                <c:pt idx="38">
                  <c:v>-0.33022800000000002</c:v>
                </c:pt>
                <c:pt idx="39">
                  <c:v>-0.33308700000000002</c:v>
                </c:pt>
                <c:pt idx="40">
                  <c:v>-0.345914</c:v>
                </c:pt>
                <c:pt idx="41">
                  <c:v>-0.36096600000000001</c:v>
                </c:pt>
                <c:pt idx="42">
                  <c:v>-0.36851200000000001</c:v>
                </c:pt>
                <c:pt idx="43">
                  <c:v>-0.36489199999999999</c:v>
                </c:pt>
                <c:pt idx="44">
                  <c:v>-0.372722</c:v>
                </c:pt>
                <c:pt idx="45">
                  <c:v>-0.38312499999999999</c:v>
                </c:pt>
                <c:pt idx="46">
                  <c:v>-0.39354899999999998</c:v>
                </c:pt>
                <c:pt idx="47">
                  <c:v>-0.40820200000000001</c:v>
                </c:pt>
                <c:pt idx="48">
                  <c:v>-0.40010400000000002</c:v>
                </c:pt>
                <c:pt idx="49">
                  <c:v>-0.39248100000000002</c:v>
                </c:pt>
                <c:pt idx="50">
                  <c:v>-0.40634100000000001</c:v>
                </c:pt>
                <c:pt idx="51">
                  <c:v>-0.39248499999999997</c:v>
                </c:pt>
                <c:pt idx="52">
                  <c:v>-0.36869400000000002</c:v>
                </c:pt>
                <c:pt idx="53">
                  <c:v>-0.40457900000000002</c:v>
                </c:pt>
                <c:pt idx="54">
                  <c:v>-0.40481800000000001</c:v>
                </c:pt>
                <c:pt idx="55">
                  <c:v>-0.38601799999999997</c:v>
                </c:pt>
                <c:pt idx="56">
                  <c:v>-0.40213300000000002</c:v>
                </c:pt>
                <c:pt idx="57">
                  <c:v>-0.41871900000000001</c:v>
                </c:pt>
                <c:pt idx="58">
                  <c:v>-0.40346599999999999</c:v>
                </c:pt>
                <c:pt idx="59">
                  <c:v>-0.39101999999999998</c:v>
                </c:pt>
                <c:pt idx="60">
                  <c:v>-0.412273</c:v>
                </c:pt>
                <c:pt idx="61">
                  <c:v>-0.42258299999999999</c:v>
                </c:pt>
                <c:pt idx="62">
                  <c:v>-0.432641</c:v>
                </c:pt>
                <c:pt idx="63">
                  <c:v>-0.448994</c:v>
                </c:pt>
                <c:pt idx="64">
                  <c:v>-0.46648099999999998</c:v>
                </c:pt>
                <c:pt idx="65">
                  <c:v>-0.47080499999999997</c:v>
                </c:pt>
                <c:pt idx="66">
                  <c:v>-0.47578100000000001</c:v>
                </c:pt>
                <c:pt idx="67">
                  <c:v>-0.490342</c:v>
                </c:pt>
                <c:pt idx="68">
                  <c:v>-0.48724400000000001</c:v>
                </c:pt>
                <c:pt idx="69">
                  <c:v>-0.48951</c:v>
                </c:pt>
                <c:pt idx="70">
                  <c:v>-0.49984800000000001</c:v>
                </c:pt>
                <c:pt idx="71">
                  <c:v>-0.50240399999999996</c:v>
                </c:pt>
                <c:pt idx="72">
                  <c:v>-0.50255700000000003</c:v>
                </c:pt>
                <c:pt idx="73">
                  <c:v>-0.51526400000000006</c:v>
                </c:pt>
                <c:pt idx="74">
                  <c:v>-0.51822400000000002</c:v>
                </c:pt>
                <c:pt idx="75">
                  <c:v>-0.53306200000000004</c:v>
                </c:pt>
                <c:pt idx="76">
                  <c:v>-0.54713800000000001</c:v>
                </c:pt>
                <c:pt idx="77">
                  <c:v>-0.558145</c:v>
                </c:pt>
                <c:pt idx="78">
                  <c:v>-0.57237199999999999</c:v>
                </c:pt>
                <c:pt idx="79">
                  <c:v>-0.55362599999999995</c:v>
                </c:pt>
                <c:pt idx="80">
                  <c:v>-0.59017200000000003</c:v>
                </c:pt>
                <c:pt idx="81">
                  <c:v>-0.60390900000000003</c:v>
                </c:pt>
                <c:pt idx="82">
                  <c:v>-0.644486</c:v>
                </c:pt>
                <c:pt idx="83">
                  <c:v>-0.65019800000000005</c:v>
                </c:pt>
                <c:pt idx="84">
                  <c:v>-0.68172200000000005</c:v>
                </c:pt>
                <c:pt idx="85">
                  <c:v>-0.67336300000000004</c:v>
                </c:pt>
                <c:pt idx="86">
                  <c:v>-0.71692299999999998</c:v>
                </c:pt>
                <c:pt idx="87">
                  <c:v>-0.725406</c:v>
                </c:pt>
                <c:pt idx="88">
                  <c:v>-0.739228</c:v>
                </c:pt>
                <c:pt idx="89">
                  <c:v>-0.75831599999999999</c:v>
                </c:pt>
                <c:pt idx="90">
                  <c:v>-0.77681599999999995</c:v>
                </c:pt>
                <c:pt idx="91">
                  <c:v>-0.78801100000000002</c:v>
                </c:pt>
                <c:pt idx="92">
                  <c:v>-0.79188599999999998</c:v>
                </c:pt>
                <c:pt idx="93">
                  <c:v>-0.77707000000000004</c:v>
                </c:pt>
                <c:pt idx="94">
                  <c:v>-0.80386800000000003</c:v>
                </c:pt>
                <c:pt idx="95">
                  <c:v>-0.80167900000000003</c:v>
                </c:pt>
                <c:pt idx="96">
                  <c:v>-0.81172500000000003</c:v>
                </c:pt>
                <c:pt idx="97">
                  <c:v>-0.81866300000000003</c:v>
                </c:pt>
                <c:pt idx="98">
                  <c:v>-0.82408499999999996</c:v>
                </c:pt>
                <c:pt idx="99">
                  <c:v>-0.83884199999999998</c:v>
                </c:pt>
                <c:pt idx="100">
                  <c:v>-0.82979400000000003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15-E24D-A1A6-2067F76B14B4}"/>
            </c:ext>
          </c:extLst>
        </c:ser>
        <c:ser>
          <c:idx val="2"/>
          <c:order val="3"/>
          <c:tx>
            <c:strRef>
              <c:f>'gpt_delta-trend'!$Q$2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'gpt_delta-trend'!$Q$3:$Q$104</c:f>
              <c:numCache>
                <c:formatCode>General</c:formatCode>
                <c:ptCount val="102"/>
                <c:pt idx="0">
                  <c:v>0</c:v>
                </c:pt>
                <c:pt idx="1">
                  <c:v>-4.2195000000000003E-2</c:v>
                </c:pt>
                <c:pt idx="2">
                  <c:v>-3.8510000000000003E-2</c:v>
                </c:pt>
                <c:pt idx="3">
                  <c:v>-6.7956000000000003E-2</c:v>
                </c:pt>
                <c:pt idx="4">
                  <c:v>-6.3217999999999996E-2</c:v>
                </c:pt>
                <c:pt idx="5">
                  <c:v>-6.2233999999999998E-2</c:v>
                </c:pt>
                <c:pt idx="6">
                  <c:v>-3.9211999999999997E-2</c:v>
                </c:pt>
                <c:pt idx="7">
                  <c:v>-2.2676999999999999E-2</c:v>
                </c:pt>
                <c:pt idx="8">
                  <c:v>-0.12575500000000001</c:v>
                </c:pt>
                <c:pt idx="9">
                  <c:v>-0.15018599999999999</c:v>
                </c:pt>
                <c:pt idx="10">
                  <c:v>-0.12650400000000001</c:v>
                </c:pt>
                <c:pt idx="11">
                  <c:v>-0.158438</c:v>
                </c:pt>
                <c:pt idx="12">
                  <c:v>-0.14335300000000001</c:v>
                </c:pt>
                <c:pt idx="13">
                  <c:v>-0.17466699999999999</c:v>
                </c:pt>
                <c:pt idx="14">
                  <c:v>-0.179087</c:v>
                </c:pt>
                <c:pt idx="15">
                  <c:v>-0.19306400000000001</c:v>
                </c:pt>
                <c:pt idx="16">
                  <c:v>-0.24734600000000001</c:v>
                </c:pt>
                <c:pt idx="17">
                  <c:v>-0.236538</c:v>
                </c:pt>
                <c:pt idx="18">
                  <c:v>-0.24395800000000001</c:v>
                </c:pt>
                <c:pt idx="19">
                  <c:v>-0.26088099999999997</c:v>
                </c:pt>
                <c:pt idx="20">
                  <c:v>-0.30307800000000001</c:v>
                </c:pt>
                <c:pt idx="21">
                  <c:v>-0.261938</c:v>
                </c:pt>
                <c:pt idx="22">
                  <c:v>-0.224</c:v>
                </c:pt>
                <c:pt idx="23">
                  <c:v>-0.20919699999999999</c:v>
                </c:pt>
                <c:pt idx="24">
                  <c:v>-0.24826300000000001</c:v>
                </c:pt>
                <c:pt idx="25">
                  <c:v>-0.26003799999999999</c:v>
                </c:pt>
                <c:pt idx="26">
                  <c:v>-0.25663000000000002</c:v>
                </c:pt>
                <c:pt idx="27">
                  <c:v>-0.25434800000000002</c:v>
                </c:pt>
                <c:pt idx="28">
                  <c:v>-0.24912500000000001</c:v>
                </c:pt>
                <c:pt idx="29">
                  <c:v>-0.274644</c:v>
                </c:pt>
                <c:pt idx="30">
                  <c:v>-0.27569500000000002</c:v>
                </c:pt>
                <c:pt idx="31">
                  <c:v>-0.26244800000000001</c:v>
                </c:pt>
                <c:pt idx="32">
                  <c:v>-0.29939500000000002</c:v>
                </c:pt>
                <c:pt idx="33">
                  <c:v>-0.30960700000000002</c:v>
                </c:pt>
                <c:pt idx="34">
                  <c:v>-0.34096199999999999</c:v>
                </c:pt>
                <c:pt idx="35">
                  <c:v>-0.36950300000000003</c:v>
                </c:pt>
                <c:pt idx="36">
                  <c:v>-0.36530600000000002</c:v>
                </c:pt>
                <c:pt idx="37">
                  <c:v>-0.38255899999999998</c:v>
                </c:pt>
                <c:pt idx="38">
                  <c:v>-0.40549800000000003</c:v>
                </c:pt>
                <c:pt idx="39">
                  <c:v>-0.4118</c:v>
                </c:pt>
                <c:pt idx="40">
                  <c:v>-0.41584300000000002</c:v>
                </c:pt>
                <c:pt idx="41">
                  <c:v>-0.41927500000000001</c:v>
                </c:pt>
                <c:pt idx="42">
                  <c:v>-0.440971</c:v>
                </c:pt>
                <c:pt idx="43">
                  <c:v>-0.44249899999999998</c:v>
                </c:pt>
                <c:pt idx="44">
                  <c:v>-0.462783</c:v>
                </c:pt>
                <c:pt idx="45">
                  <c:v>-0.473665</c:v>
                </c:pt>
                <c:pt idx="46">
                  <c:v>-0.48042299999999999</c:v>
                </c:pt>
                <c:pt idx="47">
                  <c:v>-0.49143599999999998</c:v>
                </c:pt>
                <c:pt idx="48">
                  <c:v>-0.48883799999999999</c:v>
                </c:pt>
                <c:pt idx="49">
                  <c:v>-0.48924899999999999</c:v>
                </c:pt>
                <c:pt idx="50">
                  <c:v>-0.50331999999999999</c:v>
                </c:pt>
                <c:pt idx="51">
                  <c:v>-0.487485</c:v>
                </c:pt>
                <c:pt idx="52">
                  <c:v>-0.48673699999999998</c:v>
                </c:pt>
                <c:pt idx="53">
                  <c:v>-0.53009300000000004</c:v>
                </c:pt>
                <c:pt idx="54">
                  <c:v>-0.51275099999999996</c:v>
                </c:pt>
                <c:pt idx="55">
                  <c:v>-0.47083199999999997</c:v>
                </c:pt>
                <c:pt idx="56">
                  <c:v>-0.49821799999999999</c:v>
                </c:pt>
                <c:pt idx="57">
                  <c:v>-0.53182099999999999</c:v>
                </c:pt>
                <c:pt idx="58">
                  <c:v>-0.53503900000000004</c:v>
                </c:pt>
                <c:pt idx="59">
                  <c:v>-0.54059999999999997</c:v>
                </c:pt>
                <c:pt idx="60">
                  <c:v>-0.55841799999999997</c:v>
                </c:pt>
                <c:pt idx="61">
                  <c:v>-0.62715299999999996</c:v>
                </c:pt>
                <c:pt idx="62">
                  <c:v>-0.62482400000000005</c:v>
                </c:pt>
                <c:pt idx="63">
                  <c:v>-0.64488699999999999</c:v>
                </c:pt>
                <c:pt idx="64">
                  <c:v>-0.62040700000000004</c:v>
                </c:pt>
                <c:pt idx="65">
                  <c:v>-0.65446400000000005</c:v>
                </c:pt>
                <c:pt idx="66">
                  <c:v>-0.65641799999999995</c:v>
                </c:pt>
                <c:pt idx="67">
                  <c:v>-0.72869899999999999</c:v>
                </c:pt>
                <c:pt idx="68">
                  <c:v>-0.74085699999999999</c:v>
                </c:pt>
                <c:pt idx="69">
                  <c:v>-0.69103300000000001</c:v>
                </c:pt>
                <c:pt idx="70">
                  <c:v>-0.70980399999999999</c:v>
                </c:pt>
                <c:pt idx="71">
                  <c:v>-0.75782899999999997</c:v>
                </c:pt>
                <c:pt idx="72">
                  <c:v>-0.711758</c:v>
                </c:pt>
                <c:pt idx="73">
                  <c:v>-0.6764</c:v>
                </c:pt>
                <c:pt idx="74">
                  <c:v>-0.656837</c:v>
                </c:pt>
                <c:pt idx="75">
                  <c:v>-0.70498899999999998</c:v>
                </c:pt>
                <c:pt idx="76">
                  <c:v>-0.73309100000000005</c:v>
                </c:pt>
                <c:pt idx="77">
                  <c:v>-0.74568299999999998</c:v>
                </c:pt>
                <c:pt idx="78">
                  <c:v>-0.76316899999999999</c:v>
                </c:pt>
                <c:pt idx="79">
                  <c:v>-0.772401</c:v>
                </c:pt>
                <c:pt idx="80">
                  <c:v>-0.84904400000000002</c:v>
                </c:pt>
                <c:pt idx="81">
                  <c:v>-0.81281000000000003</c:v>
                </c:pt>
                <c:pt idx="82">
                  <c:v>-0.80379100000000003</c:v>
                </c:pt>
                <c:pt idx="83">
                  <c:v>-0.86345099999999997</c:v>
                </c:pt>
                <c:pt idx="84">
                  <c:v>-0.87556100000000003</c:v>
                </c:pt>
                <c:pt idx="85">
                  <c:v>-0.81308100000000005</c:v>
                </c:pt>
                <c:pt idx="86">
                  <c:v>-0.68201299999999998</c:v>
                </c:pt>
                <c:pt idx="87">
                  <c:v>-0.67944899999999997</c:v>
                </c:pt>
                <c:pt idx="88">
                  <c:v>-0.68435599999999996</c:v>
                </c:pt>
                <c:pt idx="89">
                  <c:v>-0.63835900000000001</c:v>
                </c:pt>
                <c:pt idx="90">
                  <c:v>-0.66914099999999999</c:v>
                </c:pt>
                <c:pt idx="91">
                  <c:v>-0.69115499999999996</c:v>
                </c:pt>
                <c:pt idx="92">
                  <c:v>-0.70630800000000005</c:v>
                </c:pt>
                <c:pt idx="93">
                  <c:v>-0.69347999999999999</c:v>
                </c:pt>
                <c:pt idx="94">
                  <c:v>-0.71768600000000005</c:v>
                </c:pt>
                <c:pt idx="95">
                  <c:v>-0.74484899999999998</c:v>
                </c:pt>
                <c:pt idx="96">
                  <c:v>-0.73404000000000003</c:v>
                </c:pt>
                <c:pt idx="97">
                  <c:v>-0.76424700000000001</c:v>
                </c:pt>
                <c:pt idx="98">
                  <c:v>-0.78142800000000001</c:v>
                </c:pt>
                <c:pt idx="99">
                  <c:v>-0.80385799999999996</c:v>
                </c:pt>
                <c:pt idx="100">
                  <c:v>-0.80690899999999999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15-E24D-A1A6-2067F76B14B4}"/>
            </c:ext>
          </c:extLst>
        </c:ser>
        <c:ser>
          <c:idx val="3"/>
          <c:order val="4"/>
          <c:tx>
            <c:strRef>
              <c:f>'gpt_delta-trend'!$R$2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-3.7443999999999998E-2</c:v>
                </c:pt>
                <c:pt idx="2">
                  <c:v>-2.4438000000000001E-2</c:v>
                </c:pt>
                <c:pt idx="3">
                  <c:v>-7.1870000000000003E-2</c:v>
                </c:pt>
                <c:pt idx="4">
                  <c:v>-0.118132</c:v>
                </c:pt>
                <c:pt idx="5">
                  <c:v>-0.130777</c:v>
                </c:pt>
                <c:pt idx="6">
                  <c:v>-0.15517900000000001</c:v>
                </c:pt>
                <c:pt idx="7">
                  <c:v>-0.175234</c:v>
                </c:pt>
                <c:pt idx="8">
                  <c:v>-0.14640700000000001</c:v>
                </c:pt>
                <c:pt idx="9">
                  <c:v>-0.19422900000000001</c:v>
                </c:pt>
                <c:pt idx="10">
                  <c:v>-0.26458900000000002</c:v>
                </c:pt>
                <c:pt idx="11">
                  <c:v>-0.30092400000000002</c:v>
                </c:pt>
                <c:pt idx="12">
                  <c:v>-0.30837700000000001</c:v>
                </c:pt>
                <c:pt idx="13">
                  <c:v>-0.31731399999999998</c:v>
                </c:pt>
                <c:pt idx="14">
                  <c:v>-0.34924300000000003</c:v>
                </c:pt>
                <c:pt idx="15">
                  <c:v>-0.37307899999999999</c:v>
                </c:pt>
                <c:pt idx="16">
                  <c:v>-0.414466</c:v>
                </c:pt>
                <c:pt idx="17">
                  <c:v>-0.443442</c:v>
                </c:pt>
                <c:pt idx="18">
                  <c:v>-0.458646</c:v>
                </c:pt>
                <c:pt idx="19">
                  <c:v>-0.464839</c:v>
                </c:pt>
                <c:pt idx="20">
                  <c:v>-0.47647699999999998</c:v>
                </c:pt>
                <c:pt idx="21">
                  <c:v>-0.48299700000000001</c:v>
                </c:pt>
                <c:pt idx="22">
                  <c:v>-0.48670400000000003</c:v>
                </c:pt>
                <c:pt idx="23">
                  <c:v>-0.50530699999999995</c:v>
                </c:pt>
                <c:pt idx="24">
                  <c:v>-0.51701799999999998</c:v>
                </c:pt>
                <c:pt idx="25">
                  <c:v>-0.52535500000000002</c:v>
                </c:pt>
                <c:pt idx="26">
                  <c:v>-0.52932500000000005</c:v>
                </c:pt>
                <c:pt idx="27">
                  <c:v>-0.53509099999999998</c:v>
                </c:pt>
                <c:pt idx="28">
                  <c:v>-0.539381</c:v>
                </c:pt>
                <c:pt idx="29">
                  <c:v>-0.54273499999999997</c:v>
                </c:pt>
                <c:pt idx="30">
                  <c:v>-0.541995</c:v>
                </c:pt>
                <c:pt idx="31">
                  <c:v>-0.55154199999999998</c:v>
                </c:pt>
                <c:pt idx="32">
                  <c:v>-0.587418</c:v>
                </c:pt>
                <c:pt idx="33">
                  <c:v>-0.60026400000000002</c:v>
                </c:pt>
                <c:pt idx="34">
                  <c:v>-0.623116</c:v>
                </c:pt>
                <c:pt idx="35">
                  <c:v>-0.63135399999999997</c:v>
                </c:pt>
                <c:pt idx="36">
                  <c:v>-0.65187300000000004</c:v>
                </c:pt>
                <c:pt idx="37">
                  <c:v>-0.65666500000000005</c:v>
                </c:pt>
                <c:pt idx="38">
                  <c:v>-0.67499200000000004</c:v>
                </c:pt>
                <c:pt idx="39">
                  <c:v>-0.67146899999999998</c:v>
                </c:pt>
                <c:pt idx="40">
                  <c:v>-0.68995200000000001</c:v>
                </c:pt>
                <c:pt idx="41">
                  <c:v>-0.69785799999999998</c:v>
                </c:pt>
                <c:pt idx="42">
                  <c:v>-0.70249499999999998</c:v>
                </c:pt>
                <c:pt idx="43">
                  <c:v>-0.65621600000000002</c:v>
                </c:pt>
                <c:pt idx="44">
                  <c:v>-0.67939300000000002</c:v>
                </c:pt>
                <c:pt idx="45">
                  <c:v>-0.68701800000000002</c:v>
                </c:pt>
                <c:pt idx="46">
                  <c:v>-0.69238500000000003</c:v>
                </c:pt>
                <c:pt idx="47">
                  <c:v>-0.70479700000000001</c:v>
                </c:pt>
                <c:pt idx="48">
                  <c:v>-0.70144899999999999</c:v>
                </c:pt>
                <c:pt idx="49">
                  <c:v>-0.70472999999999997</c:v>
                </c:pt>
                <c:pt idx="50">
                  <c:v>-0.73250800000000005</c:v>
                </c:pt>
                <c:pt idx="51">
                  <c:v>-0.732043</c:v>
                </c:pt>
                <c:pt idx="52">
                  <c:v>-0.74330399999999996</c:v>
                </c:pt>
                <c:pt idx="53">
                  <c:v>-0.75803299999999996</c:v>
                </c:pt>
                <c:pt idx="54">
                  <c:v>-0.75578699999999999</c:v>
                </c:pt>
                <c:pt idx="55">
                  <c:v>-0.76454599999999995</c:v>
                </c:pt>
                <c:pt idx="56">
                  <c:v>-0.75387099999999996</c:v>
                </c:pt>
                <c:pt idx="57">
                  <c:v>-0.77170000000000005</c:v>
                </c:pt>
                <c:pt idx="58">
                  <c:v>-0.79856000000000005</c:v>
                </c:pt>
                <c:pt idx="59">
                  <c:v>-0.80388899999999996</c:v>
                </c:pt>
                <c:pt idx="60">
                  <c:v>-0.79589299999999996</c:v>
                </c:pt>
                <c:pt idx="61">
                  <c:v>-0.81758399999999998</c:v>
                </c:pt>
                <c:pt idx="62">
                  <c:v>-0.80168899999999998</c:v>
                </c:pt>
                <c:pt idx="63">
                  <c:v>-0.83098899999999998</c:v>
                </c:pt>
                <c:pt idx="64">
                  <c:v>-0.83727200000000002</c:v>
                </c:pt>
                <c:pt idx="65">
                  <c:v>-0.84332700000000005</c:v>
                </c:pt>
                <c:pt idx="66">
                  <c:v>-0.84636500000000003</c:v>
                </c:pt>
                <c:pt idx="67">
                  <c:v>-0.85285699999999998</c:v>
                </c:pt>
                <c:pt idx="68">
                  <c:v>-0.85322900000000002</c:v>
                </c:pt>
                <c:pt idx="69">
                  <c:v>-0.84876799999999997</c:v>
                </c:pt>
                <c:pt idx="70">
                  <c:v>-0.86388799999999999</c:v>
                </c:pt>
                <c:pt idx="71">
                  <c:v>-0.88186699999999996</c:v>
                </c:pt>
                <c:pt idx="72">
                  <c:v>-0.87280500000000005</c:v>
                </c:pt>
                <c:pt idx="73">
                  <c:v>-0.90952999999999995</c:v>
                </c:pt>
                <c:pt idx="74">
                  <c:v>-0.90146599999999999</c:v>
                </c:pt>
                <c:pt idx="75">
                  <c:v>-0.91045100000000001</c:v>
                </c:pt>
                <c:pt idx="76">
                  <c:v>-0.94250500000000004</c:v>
                </c:pt>
                <c:pt idx="77">
                  <c:v>-0.95722700000000005</c:v>
                </c:pt>
                <c:pt idx="78">
                  <c:v>-0.92420800000000003</c:v>
                </c:pt>
                <c:pt idx="79">
                  <c:v>-0.924346</c:v>
                </c:pt>
                <c:pt idx="80">
                  <c:v>-1.000078</c:v>
                </c:pt>
                <c:pt idx="81">
                  <c:v>-0.979321</c:v>
                </c:pt>
                <c:pt idx="82">
                  <c:v>-1.007185</c:v>
                </c:pt>
                <c:pt idx="83">
                  <c:v>-1.025061</c:v>
                </c:pt>
                <c:pt idx="84">
                  <c:v>-1.04674</c:v>
                </c:pt>
                <c:pt idx="85">
                  <c:v>-1.0229220000000001</c:v>
                </c:pt>
                <c:pt idx="86">
                  <c:v>-1.050602</c:v>
                </c:pt>
                <c:pt idx="87">
                  <c:v>-1.0415000000000001</c:v>
                </c:pt>
                <c:pt idx="88">
                  <c:v>-1.0558529999999999</c:v>
                </c:pt>
                <c:pt idx="89">
                  <c:v>-1.075483</c:v>
                </c:pt>
                <c:pt idx="90">
                  <c:v>-1.0898969999999999</c:v>
                </c:pt>
                <c:pt idx="91">
                  <c:v>-1.080894</c:v>
                </c:pt>
                <c:pt idx="92">
                  <c:v>-1.0838540000000001</c:v>
                </c:pt>
                <c:pt idx="93">
                  <c:v>-1.0585370000000001</c:v>
                </c:pt>
                <c:pt idx="94">
                  <c:v>-1.085081</c:v>
                </c:pt>
                <c:pt idx="95">
                  <c:v>-1.078031</c:v>
                </c:pt>
                <c:pt idx="96">
                  <c:v>-1.093186</c:v>
                </c:pt>
                <c:pt idx="97">
                  <c:v>-1.1125659999999999</c:v>
                </c:pt>
                <c:pt idx="98">
                  <c:v>-1.0953489999999999</c:v>
                </c:pt>
                <c:pt idx="99">
                  <c:v>-1.1221289999999999</c:v>
                </c:pt>
                <c:pt idx="100">
                  <c:v>-1.104663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15-E24D-A1A6-2067F76B1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'gpt_delta-trend'!$T$2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-7.9360000000000003E-3</c:v>
                </c:pt>
                <c:pt idx="2">
                  <c:v>-1.451E-2</c:v>
                </c:pt>
                <c:pt idx="3">
                  <c:v>-1.4592000000000001E-2</c:v>
                </c:pt>
                <c:pt idx="4">
                  <c:v>-1.7070999999999999E-2</c:v>
                </c:pt>
                <c:pt idx="5">
                  <c:v>-4.5009E-2</c:v>
                </c:pt>
                <c:pt idx="6">
                  <c:v>-4.6226000000000003E-2</c:v>
                </c:pt>
                <c:pt idx="7">
                  <c:v>-5.2801000000000001E-2</c:v>
                </c:pt>
                <c:pt idx="8">
                  <c:v>-5.5011999999999998E-2</c:v>
                </c:pt>
                <c:pt idx="9">
                  <c:v>-5.7324E-2</c:v>
                </c:pt>
                <c:pt idx="10">
                  <c:v>-8.6111999999999994E-2</c:v>
                </c:pt>
                <c:pt idx="11">
                  <c:v>-9.5651E-2</c:v>
                </c:pt>
                <c:pt idx="12">
                  <c:v>-0.105111</c:v>
                </c:pt>
                <c:pt idx="13">
                  <c:v>-0.11129799999999999</c:v>
                </c:pt>
                <c:pt idx="14">
                  <c:v>-0.13996700000000001</c:v>
                </c:pt>
                <c:pt idx="15">
                  <c:v>-0.153696</c:v>
                </c:pt>
                <c:pt idx="16">
                  <c:v>-0.175841</c:v>
                </c:pt>
                <c:pt idx="17">
                  <c:v>-0.186971</c:v>
                </c:pt>
                <c:pt idx="18">
                  <c:v>-0.19258</c:v>
                </c:pt>
                <c:pt idx="19">
                  <c:v>-0.20146</c:v>
                </c:pt>
                <c:pt idx="20">
                  <c:v>-0.204065</c:v>
                </c:pt>
                <c:pt idx="21">
                  <c:v>-0.18062900000000001</c:v>
                </c:pt>
                <c:pt idx="22">
                  <c:v>-0.17929</c:v>
                </c:pt>
                <c:pt idx="23">
                  <c:v>-0.190612</c:v>
                </c:pt>
                <c:pt idx="24">
                  <c:v>-0.19714899999999999</c:v>
                </c:pt>
                <c:pt idx="25">
                  <c:v>-0.20255999999999999</c:v>
                </c:pt>
                <c:pt idx="26">
                  <c:v>-0.20824000000000001</c:v>
                </c:pt>
                <c:pt idx="27">
                  <c:v>-0.22294700000000001</c:v>
                </c:pt>
                <c:pt idx="28">
                  <c:v>-0.224742</c:v>
                </c:pt>
                <c:pt idx="29">
                  <c:v>-0.22936100000000001</c:v>
                </c:pt>
                <c:pt idx="30">
                  <c:v>-0.22261900000000001</c:v>
                </c:pt>
                <c:pt idx="31">
                  <c:v>-0.228579</c:v>
                </c:pt>
                <c:pt idx="32">
                  <c:v>-0.23565</c:v>
                </c:pt>
                <c:pt idx="33">
                  <c:v>-0.24266299999999999</c:v>
                </c:pt>
                <c:pt idx="34">
                  <c:v>-0.24660299999999999</c:v>
                </c:pt>
                <c:pt idx="35">
                  <c:v>-0.26374500000000001</c:v>
                </c:pt>
                <c:pt idx="36">
                  <c:v>-0.27997499999999997</c:v>
                </c:pt>
                <c:pt idx="37">
                  <c:v>-0.29628300000000002</c:v>
                </c:pt>
                <c:pt idx="38">
                  <c:v>-0.31431799999999999</c:v>
                </c:pt>
                <c:pt idx="39">
                  <c:v>-0.32800000000000001</c:v>
                </c:pt>
                <c:pt idx="40">
                  <c:v>-0.33194299999999999</c:v>
                </c:pt>
                <c:pt idx="41">
                  <c:v>-0.336399</c:v>
                </c:pt>
                <c:pt idx="42">
                  <c:v>-0.33431499999999997</c:v>
                </c:pt>
                <c:pt idx="43">
                  <c:v>-0.34103699999999998</c:v>
                </c:pt>
                <c:pt idx="44">
                  <c:v>-0.35408200000000001</c:v>
                </c:pt>
                <c:pt idx="45">
                  <c:v>-0.36062300000000003</c:v>
                </c:pt>
                <c:pt idx="46">
                  <c:v>-0.37020700000000001</c:v>
                </c:pt>
                <c:pt idx="47">
                  <c:v>-0.36842200000000003</c:v>
                </c:pt>
                <c:pt idx="48">
                  <c:v>-0.37426300000000001</c:v>
                </c:pt>
                <c:pt idx="49">
                  <c:v>-0.37868800000000002</c:v>
                </c:pt>
                <c:pt idx="50">
                  <c:v>-0.38633200000000001</c:v>
                </c:pt>
                <c:pt idx="51">
                  <c:v>-0.40845599999999999</c:v>
                </c:pt>
                <c:pt idx="52">
                  <c:v>-0.42069000000000001</c:v>
                </c:pt>
                <c:pt idx="53">
                  <c:v>-0.37255199999999999</c:v>
                </c:pt>
                <c:pt idx="54">
                  <c:v>-0.39048100000000002</c:v>
                </c:pt>
                <c:pt idx="55">
                  <c:v>-0.39364399999999999</c:v>
                </c:pt>
                <c:pt idx="56">
                  <c:v>-0.400169</c:v>
                </c:pt>
                <c:pt idx="57">
                  <c:v>-0.405335</c:v>
                </c:pt>
                <c:pt idx="58">
                  <c:v>-0.40960299999999999</c:v>
                </c:pt>
                <c:pt idx="59">
                  <c:v>-0.40230100000000002</c:v>
                </c:pt>
                <c:pt idx="60">
                  <c:v>-0.40472200000000003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9A-2C4F-8723-B42031B2DF2A}"/>
            </c:ext>
          </c:extLst>
        </c:ser>
        <c:ser>
          <c:idx val="4"/>
          <c:order val="1"/>
          <c:tx>
            <c:strRef>
              <c:f>'gpt_delta-trend'!$U$2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'gpt_delta-trend'!$U$3:$U$63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-1.1958E-2</c:v>
                </c:pt>
                <c:pt idx="2">
                  <c:v>-1.7950000000000001E-2</c:v>
                </c:pt>
                <c:pt idx="3">
                  <c:v>-1.8016999999999998E-2</c:v>
                </c:pt>
                <c:pt idx="4">
                  <c:v>-2.3954E-2</c:v>
                </c:pt>
                <c:pt idx="5">
                  <c:v>-3.4486999999999997E-2</c:v>
                </c:pt>
                <c:pt idx="6">
                  <c:v>-2.9849000000000001E-2</c:v>
                </c:pt>
                <c:pt idx="7">
                  <c:v>-3.5493999999999998E-2</c:v>
                </c:pt>
                <c:pt idx="8">
                  <c:v>-4.7780000000000003E-2</c:v>
                </c:pt>
                <c:pt idx="9">
                  <c:v>-4.8580999999999999E-2</c:v>
                </c:pt>
                <c:pt idx="10">
                  <c:v>-0.112834</c:v>
                </c:pt>
                <c:pt idx="11">
                  <c:v>-0.125584</c:v>
                </c:pt>
                <c:pt idx="12">
                  <c:v>-0.12903100000000001</c:v>
                </c:pt>
                <c:pt idx="13">
                  <c:v>-0.126749</c:v>
                </c:pt>
                <c:pt idx="14">
                  <c:v>-0.14929000000000001</c:v>
                </c:pt>
                <c:pt idx="15">
                  <c:v>-0.16051099999999999</c:v>
                </c:pt>
                <c:pt idx="16">
                  <c:v>-0.164523</c:v>
                </c:pt>
                <c:pt idx="17">
                  <c:v>-0.17408199999999999</c:v>
                </c:pt>
                <c:pt idx="18">
                  <c:v>-0.17283799999999999</c:v>
                </c:pt>
                <c:pt idx="19">
                  <c:v>-0.17288999999999999</c:v>
                </c:pt>
                <c:pt idx="20">
                  <c:v>-0.16775599999999999</c:v>
                </c:pt>
                <c:pt idx="21">
                  <c:v>-0.17139499999999999</c:v>
                </c:pt>
                <c:pt idx="22">
                  <c:v>-0.156495</c:v>
                </c:pt>
                <c:pt idx="23">
                  <c:v>-0.166323</c:v>
                </c:pt>
                <c:pt idx="24">
                  <c:v>-0.17056499999999999</c:v>
                </c:pt>
                <c:pt idx="25">
                  <c:v>-0.16897000000000001</c:v>
                </c:pt>
                <c:pt idx="26">
                  <c:v>-0.16568099999999999</c:v>
                </c:pt>
                <c:pt idx="27">
                  <c:v>-0.17855699999999999</c:v>
                </c:pt>
                <c:pt idx="28">
                  <c:v>-0.184865</c:v>
                </c:pt>
                <c:pt idx="29">
                  <c:v>-0.18936800000000001</c:v>
                </c:pt>
                <c:pt idx="30">
                  <c:v>-0.18514600000000001</c:v>
                </c:pt>
                <c:pt idx="31">
                  <c:v>-0.190882</c:v>
                </c:pt>
                <c:pt idx="32">
                  <c:v>-0.19194600000000001</c:v>
                </c:pt>
                <c:pt idx="33">
                  <c:v>-0.19576399999999999</c:v>
                </c:pt>
                <c:pt idx="34">
                  <c:v>-0.20464199999999999</c:v>
                </c:pt>
                <c:pt idx="35">
                  <c:v>-0.20400299999999999</c:v>
                </c:pt>
                <c:pt idx="36">
                  <c:v>-0.20002300000000001</c:v>
                </c:pt>
                <c:pt idx="37">
                  <c:v>-0.20840400000000001</c:v>
                </c:pt>
                <c:pt idx="38">
                  <c:v>-0.20655599999999999</c:v>
                </c:pt>
                <c:pt idx="39">
                  <c:v>-0.21319399999999999</c:v>
                </c:pt>
                <c:pt idx="40">
                  <c:v>-0.22029699999999999</c:v>
                </c:pt>
                <c:pt idx="41">
                  <c:v>-0.220802</c:v>
                </c:pt>
                <c:pt idx="42">
                  <c:v>-0.21881100000000001</c:v>
                </c:pt>
                <c:pt idx="43">
                  <c:v>-0.219579</c:v>
                </c:pt>
                <c:pt idx="44">
                  <c:v>-0.22362099999999999</c:v>
                </c:pt>
                <c:pt idx="45">
                  <c:v>-0.22703699999999999</c:v>
                </c:pt>
                <c:pt idx="46">
                  <c:v>-0.23777699999999999</c:v>
                </c:pt>
                <c:pt idx="47">
                  <c:v>-0.24541399999999999</c:v>
                </c:pt>
                <c:pt idx="48">
                  <c:v>-0.25683800000000001</c:v>
                </c:pt>
                <c:pt idx="49">
                  <c:v>-0.26375799999999999</c:v>
                </c:pt>
                <c:pt idx="50">
                  <c:v>-0.27511999999999998</c:v>
                </c:pt>
                <c:pt idx="51">
                  <c:v>-0.27581299999999997</c:v>
                </c:pt>
                <c:pt idx="52">
                  <c:v>-0.28267799999999998</c:v>
                </c:pt>
                <c:pt idx="53">
                  <c:v>-0.27578900000000001</c:v>
                </c:pt>
                <c:pt idx="54">
                  <c:v>-0.28730699999999998</c:v>
                </c:pt>
                <c:pt idx="55">
                  <c:v>-0.28944300000000001</c:v>
                </c:pt>
                <c:pt idx="56">
                  <c:v>-0.29473199999999999</c:v>
                </c:pt>
                <c:pt idx="57">
                  <c:v>-0.30048200000000003</c:v>
                </c:pt>
                <c:pt idx="58">
                  <c:v>-0.30578499999999997</c:v>
                </c:pt>
                <c:pt idx="59">
                  <c:v>-0.31525999999999998</c:v>
                </c:pt>
                <c:pt idx="60">
                  <c:v>-0.33034000000000002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9A-2C4F-8723-B42031B2DF2A}"/>
            </c:ext>
          </c:extLst>
        </c:ser>
        <c:ser>
          <c:idx val="1"/>
          <c:order val="2"/>
          <c:tx>
            <c:strRef>
              <c:f>'gpt_delta-trend'!$V$2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-2.794E-3</c:v>
                </c:pt>
                <c:pt idx="2">
                  <c:v>6.6799999999999997E-4</c:v>
                </c:pt>
                <c:pt idx="3">
                  <c:v>1.841E-3</c:v>
                </c:pt>
                <c:pt idx="4">
                  <c:v>1.2389000000000001E-2</c:v>
                </c:pt>
                <c:pt idx="5">
                  <c:v>-3.9439999999999996E-3</c:v>
                </c:pt>
                <c:pt idx="6">
                  <c:v>5.9379999999999997E-3</c:v>
                </c:pt>
                <c:pt idx="7">
                  <c:v>1.3417999999999999E-2</c:v>
                </c:pt>
                <c:pt idx="8">
                  <c:v>1.0737E-2</c:v>
                </c:pt>
                <c:pt idx="9">
                  <c:v>9.2549999999999993E-3</c:v>
                </c:pt>
                <c:pt idx="10">
                  <c:v>2.5460000000000001E-3</c:v>
                </c:pt>
                <c:pt idx="11">
                  <c:v>5.757E-3</c:v>
                </c:pt>
                <c:pt idx="12">
                  <c:v>9.4799999999999995E-4</c:v>
                </c:pt>
                <c:pt idx="13">
                  <c:v>-1.1969999999999999E-3</c:v>
                </c:pt>
                <c:pt idx="14">
                  <c:v>-7.9100000000000004E-3</c:v>
                </c:pt>
                <c:pt idx="15">
                  <c:v>-4.7460000000000002E-3</c:v>
                </c:pt>
                <c:pt idx="16">
                  <c:v>-1.4189999999999999E-3</c:v>
                </c:pt>
                <c:pt idx="17">
                  <c:v>-4.6319999999999998E-3</c:v>
                </c:pt>
                <c:pt idx="18">
                  <c:v>1.2279999999999999E-3</c:v>
                </c:pt>
                <c:pt idx="19">
                  <c:v>2.6719999999999999E-3</c:v>
                </c:pt>
                <c:pt idx="20">
                  <c:v>-1.884E-3</c:v>
                </c:pt>
                <c:pt idx="21">
                  <c:v>8.0199999999999994E-3</c:v>
                </c:pt>
                <c:pt idx="22">
                  <c:v>1.8089000000000001E-2</c:v>
                </c:pt>
                <c:pt idx="23">
                  <c:v>1.3979999999999999E-2</c:v>
                </c:pt>
                <c:pt idx="24">
                  <c:v>1.3184E-2</c:v>
                </c:pt>
                <c:pt idx="25">
                  <c:v>2.8367E-2</c:v>
                </c:pt>
                <c:pt idx="26">
                  <c:v>3.1583E-2</c:v>
                </c:pt>
                <c:pt idx="27">
                  <c:v>1.3341E-2</c:v>
                </c:pt>
                <c:pt idx="28">
                  <c:v>1.4536E-2</c:v>
                </c:pt>
                <c:pt idx="29">
                  <c:v>2.2327E-2</c:v>
                </c:pt>
                <c:pt idx="30">
                  <c:v>2.1309999999999999E-2</c:v>
                </c:pt>
                <c:pt idx="31">
                  <c:v>2.4292000000000001E-2</c:v>
                </c:pt>
                <c:pt idx="32">
                  <c:v>2.0836E-2</c:v>
                </c:pt>
                <c:pt idx="33">
                  <c:v>2.2245999999999998E-2</c:v>
                </c:pt>
                <c:pt idx="34">
                  <c:v>2.4988E-2</c:v>
                </c:pt>
                <c:pt idx="35">
                  <c:v>-9.6539999999999994E-3</c:v>
                </c:pt>
                <c:pt idx="36">
                  <c:v>-2.9588E-2</c:v>
                </c:pt>
                <c:pt idx="37">
                  <c:v>-2.5978000000000001E-2</c:v>
                </c:pt>
                <c:pt idx="38">
                  <c:v>-2.5464000000000001E-2</c:v>
                </c:pt>
                <c:pt idx="39">
                  <c:v>-2.5059000000000001E-2</c:v>
                </c:pt>
                <c:pt idx="40">
                  <c:v>-2.1568E-2</c:v>
                </c:pt>
                <c:pt idx="41">
                  <c:v>-0.11808399999999999</c:v>
                </c:pt>
                <c:pt idx="42">
                  <c:v>-0.126639</c:v>
                </c:pt>
                <c:pt idx="43">
                  <c:v>-0.122863</c:v>
                </c:pt>
                <c:pt idx="44">
                  <c:v>-0.127775</c:v>
                </c:pt>
                <c:pt idx="45">
                  <c:v>-0.12617700000000001</c:v>
                </c:pt>
                <c:pt idx="46">
                  <c:v>-0.12659599999999999</c:v>
                </c:pt>
                <c:pt idx="47">
                  <c:v>-0.129001</c:v>
                </c:pt>
                <c:pt idx="48">
                  <c:v>-0.136517</c:v>
                </c:pt>
                <c:pt idx="49">
                  <c:v>-0.13631299999999999</c:v>
                </c:pt>
                <c:pt idx="50">
                  <c:v>-0.12388299999999999</c:v>
                </c:pt>
                <c:pt idx="51">
                  <c:v>-0.119895</c:v>
                </c:pt>
                <c:pt idx="52">
                  <c:v>-0.12640499999999999</c:v>
                </c:pt>
                <c:pt idx="53">
                  <c:v>-0.14791799999999999</c:v>
                </c:pt>
                <c:pt idx="54">
                  <c:v>-0.16298399999999999</c:v>
                </c:pt>
                <c:pt idx="55">
                  <c:v>-0.15869900000000001</c:v>
                </c:pt>
                <c:pt idx="56">
                  <c:v>-0.14626</c:v>
                </c:pt>
                <c:pt idx="57">
                  <c:v>-0.14923900000000001</c:v>
                </c:pt>
                <c:pt idx="58">
                  <c:v>-0.14882699999999999</c:v>
                </c:pt>
                <c:pt idx="59">
                  <c:v>-0.137184</c:v>
                </c:pt>
                <c:pt idx="60">
                  <c:v>-0.162244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9A-2C4F-8723-B42031B2DF2A}"/>
            </c:ext>
          </c:extLst>
        </c:ser>
        <c:ser>
          <c:idx val="2"/>
          <c:order val="3"/>
          <c:tx>
            <c:strRef>
              <c:f>'gpt_delta-trend'!$W$2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'gpt_delta-trend'!$W$3:$W$64</c:f>
              <c:numCache>
                <c:formatCode>General</c:formatCode>
                <c:ptCount val="62"/>
                <c:pt idx="0">
                  <c:v>0</c:v>
                </c:pt>
                <c:pt idx="1">
                  <c:v>-1.9726E-2</c:v>
                </c:pt>
                <c:pt idx="2">
                  <c:v>-1.6496E-2</c:v>
                </c:pt>
                <c:pt idx="3">
                  <c:v>-6.4440000000000001E-3</c:v>
                </c:pt>
                <c:pt idx="4">
                  <c:v>-3.9199999999999999E-3</c:v>
                </c:pt>
                <c:pt idx="5">
                  <c:v>-1.494E-2</c:v>
                </c:pt>
                <c:pt idx="6">
                  <c:v>-2.3092000000000001E-2</c:v>
                </c:pt>
                <c:pt idx="7">
                  <c:v>-2.1231E-2</c:v>
                </c:pt>
                <c:pt idx="8">
                  <c:v>-8.4622000000000003E-2</c:v>
                </c:pt>
                <c:pt idx="9">
                  <c:v>-7.8552999999999998E-2</c:v>
                </c:pt>
                <c:pt idx="10">
                  <c:v>-8.4583000000000005E-2</c:v>
                </c:pt>
                <c:pt idx="11">
                  <c:v>-9.3447000000000002E-2</c:v>
                </c:pt>
                <c:pt idx="12">
                  <c:v>-9.6551999999999999E-2</c:v>
                </c:pt>
                <c:pt idx="13">
                  <c:v>-9.5682000000000003E-2</c:v>
                </c:pt>
                <c:pt idx="14">
                  <c:v>-0.115797</c:v>
                </c:pt>
                <c:pt idx="15">
                  <c:v>-9.6892000000000006E-2</c:v>
                </c:pt>
                <c:pt idx="16">
                  <c:v>-8.5081000000000004E-2</c:v>
                </c:pt>
                <c:pt idx="17">
                  <c:v>-9.9465999999999999E-2</c:v>
                </c:pt>
                <c:pt idx="18">
                  <c:v>-9.4108999999999998E-2</c:v>
                </c:pt>
                <c:pt idx="19">
                  <c:v>-8.3704000000000001E-2</c:v>
                </c:pt>
                <c:pt idx="20">
                  <c:v>-8.4750000000000006E-2</c:v>
                </c:pt>
                <c:pt idx="21">
                  <c:v>-0.102856</c:v>
                </c:pt>
                <c:pt idx="22">
                  <c:v>-3.6577999999999999E-2</c:v>
                </c:pt>
                <c:pt idx="23">
                  <c:v>-3.9609999999999999E-2</c:v>
                </c:pt>
                <c:pt idx="24">
                  <c:v>-3.7630999999999998E-2</c:v>
                </c:pt>
                <c:pt idx="25">
                  <c:v>-4.6767000000000003E-2</c:v>
                </c:pt>
                <c:pt idx="26">
                  <c:v>-5.0659999999999997E-2</c:v>
                </c:pt>
                <c:pt idx="27">
                  <c:v>-7.1631E-2</c:v>
                </c:pt>
                <c:pt idx="28">
                  <c:v>-7.1795999999999999E-2</c:v>
                </c:pt>
                <c:pt idx="29">
                  <c:v>-7.1603E-2</c:v>
                </c:pt>
                <c:pt idx="30">
                  <c:v>-6.7429000000000003E-2</c:v>
                </c:pt>
                <c:pt idx="31">
                  <c:v>-8.5620000000000002E-3</c:v>
                </c:pt>
                <c:pt idx="32">
                  <c:v>-9.3123999999999998E-2</c:v>
                </c:pt>
                <c:pt idx="33">
                  <c:v>-5.8997000000000001E-2</c:v>
                </c:pt>
                <c:pt idx="34">
                  <c:v>-7.0163000000000003E-2</c:v>
                </c:pt>
                <c:pt idx="35">
                  <c:v>-7.0152999999999993E-2</c:v>
                </c:pt>
                <c:pt idx="36">
                  <c:v>-8.5875999999999994E-2</c:v>
                </c:pt>
                <c:pt idx="37">
                  <c:v>7.3125999999999997E-2</c:v>
                </c:pt>
                <c:pt idx="38">
                  <c:v>9.3718999999999997E-2</c:v>
                </c:pt>
                <c:pt idx="39">
                  <c:v>8.4361000000000005E-2</c:v>
                </c:pt>
                <c:pt idx="40">
                  <c:v>6.2491999999999999E-2</c:v>
                </c:pt>
                <c:pt idx="41">
                  <c:v>-0.12823799999999999</c:v>
                </c:pt>
                <c:pt idx="42">
                  <c:v>-0.14086399999999999</c:v>
                </c:pt>
                <c:pt idx="43">
                  <c:v>-0.15296699999999999</c:v>
                </c:pt>
                <c:pt idx="44">
                  <c:v>-0.149508</c:v>
                </c:pt>
                <c:pt idx="45">
                  <c:v>-0.15593699999999999</c:v>
                </c:pt>
                <c:pt idx="46">
                  <c:v>-0.179092</c:v>
                </c:pt>
                <c:pt idx="47">
                  <c:v>-0.22414700000000001</c:v>
                </c:pt>
                <c:pt idx="48">
                  <c:v>-0.253025</c:v>
                </c:pt>
                <c:pt idx="49">
                  <c:v>-0.253</c:v>
                </c:pt>
                <c:pt idx="50">
                  <c:v>5.0429999999999997E-3</c:v>
                </c:pt>
                <c:pt idx="51">
                  <c:v>-7.5159000000000004E-2</c:v>
                </c:pt>
                <c:pt idx="52">
                  <c:v>5.6087999999999999E-2</c:v>
                </c:pt>
                <c:pt idx="53">
                  <c:v>4.2314999999999998E-2</c:v>
                </c:pt>
                <c:pt idx="54">
                  <c:v>6.0277999999999998E-2</c:v>
                </c:pt>
                <c:pt idx="55">
                  <c:v>6.7012000000000002E-2</c:v>
                </c:pt>
                <c:pt idx="56">
                  <c:v>0.16107299999999999</c:v>
                </c:pt>
                <c:pt idx="57">
                  <c:v>0.171374</c:v>
                </c:pt>
                <c:pt idx="58">
                  <c:v>0.20955199999999999</c:v>
                </c:pt>
                <c:pt idx="59">
                  <c:v>0.24857399999999999</c:v>
                </c:pt>
                <c:pt idx="60">
                  <c:v>0.218504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C9A-2C4F-8723-B42031B2DF2A}"/>
            </c:ext>
          </c:extLst>
        </c:ser>
        <c:ser>
          <c:idx val="3"/>
          <c:order val="4"/>
          <c:tx>
            <c:strRef>
              <c:f>'gpt_delta-trend'!$X$2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'gpt_delta-trend'!$X$3:$X$64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-6.2350000000000001E-3</c:v>
                </c:pt>
                <c:pt idx="2">
                  <c:v>-1.2638E-2</c:v>
                </c:pt>
                <c:pt idx="3">
                  <c:v>-1.4276E-2</c:v>
                </c:pt>
                <c:pt idx="4">
                  <c:v>-2.5555999999999999E-2</c:v>
                </c:pt>
                <c:pt idx="5">
                  <c:v>-4.9283E-2</c:v>
                </c:pt>
                <c:pt idx="6">
                  <c:v>-5.5661000000000002E-2</c:v>
                </c:pt>
                <c:pt idx="7">
                  <c:v>-5.8397999999999999E-2</c:v>
                </c:pt>
                <c:pt idx="8">
                  <c:v>-6.2765000000000001E-2</c:v>
                </c:pt>
                <c:pt idx="9">
                  <c:v>-6.9308999999999996E-2</c:v>
                </c:pt>
                <c:pt idx="10">
                  <c:v>-9.9557000000000007E-2</c:v>
                </c:pt>
                <c:pt idx="11">
                  <c:v>-0.107104</c:v>
                </c:pt>
                <c:pt idx="12">
                  <c:v>-0.109904</c:v>
                </c:pt>
                <c:pt idx="13">
                  <c:v>-0.109156</c:v>
                </c:pt>
                <c:pt idx="14">
                  <c:v>-0.15395200000000001</c:v>
                </c:pt>
                <c:pt idx="15">
                  <c:v>-0.165966</c:v>
                </c:pt>
                <c:pt idx="16">
                  <c:v>-0.16802400000000001</c:v>
                </c:pt>
                <c:pt idx="17">
                  <c:v>-0.182335</c:v>
                </c:pt>
                <c:pt idx="18">
                  <c:v>-0.19348699999999999</c:v>
                </c:pt>
                <c:pt idx="19">
                  <c:v>-0.203407</c:v>
                </c:pt>
                <c:pt idx="20">
                  <c:v>-0.20946600000000001</c:v>
                </c:pt>
                <c:pt idx="21">
                  <c:v>-0.224496</c:v>
                </c:pt>
                <c:pt idx="22">
                  <c:v>-0.22858100000000001</c:v>
                </c:pt>
                <c:pt idx="23">
                  <c:v>-0.22790299999999999</c:v>
                </c:pt>
                <c:pt idx="24">
                  <c:v>-0.225045</c:v>
                </c:pt>
                <c:pt idx="25">
                  <c:v>-0.22928100000000001</c:v>
                </c:pt>
                <c:pt idx="26">
                  <c:v>-0.241448</c:v>
                </c:pt>
                <c:pt idx="27">
                  <c:v>-0.25183100000000003</c:v>
                </c:pt>
                <c:pt idx="28">
                  <c:v>-0.25076399999999999</c:v>
                </c:pt>
                <c:pt idx="29">
                  <c:v>-0.257272</c:v>
                </c:pt>
                <c:pt idx="30">
                  <c:v>-0.26214799999999999</c:v>
                </c:pt>
                <c:pt idx="31">
                  <c:v>-0.26458300000000001</c:v>
                </c:pt>
                <c:pt idx="32">
                  <c:v>-0.26440000000000002</c:v>
                </c:pt>
                <c:pt idx="33">
                  <c:v>-0.27696900000000002</c:v>
                </c:pt>
                <c:pt idx="34">
                  <c:v>-0.287657</c:v>
                </c:pt>
                <c:pt idx="35">
                  <c:v>-0.29048600000000002</c:v>
                </c:pt>
                <c:pt idx="36">
                  <c:v>-0.29942999999999997</c:v>
                </c:pt>
                <c:pt idx="37">
                  <c:v>-0.30650100000000002</c:v>
                </c:pt>
                <c:pt idx="38">
                  <c:v>-0.30590499999999998</c:v>
                </c:pt>
                <c:pt idx="39">
                  <c:v>-0.301927</c:v>
                </c:pt>
                <c:pt idx="40">
                  <c:v>-0.30595299999999997</c:v>
                </c:pt>
                <c:pt idx="41">
                  <c:v>-0.32240600000000003</c:v>
                </c:pt>
                <c:pt idx="42">
                  <c:v>-0.31444299999999997</c:v>
                </c:pt>
                <c:pt idx="43">
                  <c:v>-0.32419700000000001</c:v>
                </c:pt>
                <c:pt idx="44">
                  <c:v>-0.32497199999999998</c:v>
                </c:pt>
                <c:pt idx="45">
                  <c:v>-0.32832600000000001</c:v>
                </c:pt>
                <c:pt idx="46">
                  <c:v>-0.34331699999999998</c:v>
                </c:pt>
                <c:pt idx="47">
                  <c:v>-0.34300199999999997</c:v>
                </c:pt>
                <c:pt idx="48">
                  <c:v>-0.35639199999999999</c:v>
                </c:pt>
                <c:pt idx="49">
                  <c:v>-0.35026299999999999</c:v>
                </c:pt>
                <c:pt idx="50">
                  <c:v>-0.35744599999999999</c:v>
                </c:pt>
                <c:pt idx="51">
                  <c:v>-0.36683500000000002</c:v>
                </c:pt>
                <c:pt idx="52">
                  <c:v>-0.37926799999999999</c:v>
                </c:pt>
                <c:pt idx="53">
                  <c:v>-0.372861</c:v>
                </c:pt>
                <c:pt idx="54">
                  <c:v>-0.39555200000000001</c:v>
                </c:pt>
                <c:pt idx="55">
                  <c:v>-0.39734700000000001</c:v>
                </c:pt>
                <c:pt idx="56">
                  <c:v>-0.39606599999999997</c:v>
                </c:pt>
                <c:pt idx="57">
                  <c:v>-0.39356200000000002</c:v>
                </c:pt>
                <c:pt idx="58">
                  <c:v>-0.39549899999999999</c:v>
                </c:pt>
                <c:pt idx="59">
                  <c:v>-0.40173999999999999</c:v>
                </c:pt>
                <c:pt idx="60">
                  <c:v>-0.39962799999999998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C9A-2C4F-8723-B42031B2D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gemini_metrics!$J$34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gemini_metrics!$J$35:$J$38</c:f>
              <c:numCache>
                <c:formatCode>0.0000</c:formatCode>
                <c:ptCount val="4"/>
                <c:pt idx="0">
                  <c:v>-0.66263499999999997</c:v>
                </c:pt>
                <c:pt idx="1">
                  <c:v>-0.27674799999999999</c:v>
                </c:pt>
                <c:pt idx="2">
                  <c:v>-0.96533599999999997</c:v>
                </c:pt>
                <c:pt idx="3">
                  <c:v>-0.48918099999999998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4-6543-A7C3-B14AFF4352D6}"/>
            </c:ext>
          </c:extLst>
        </c:ser>
        <c:ser>
          <c:idx val="4"/>
          <c:order val="1"/>
          <c:tx>
            <c:strRef>
              <c:f>gemini_metrics!$K$34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gemini_metrics!$K$35:$K$38</c:f>
              <c:numCache>
                <c:formatCode>0.0000</c:formatCode>
                <c:ptCount val="4"/>
                <c:pt idx="0">
                  <c:v>0.144481</c:v>
                </c:pt>
                <c:pt idx="1">
                  <c:v>0.13669000000000001</c:v>
                </c:pt>
                <c:pt idx="2">
                  <c:v>-0.85173100000000002</c:v>
                </c:pt>
                <c:pt idx="3">
                  <c:v>-0.25151000000000001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4-6543-A7C3-B14AFF4352D6}"/>
            </c:ext>
          </c:extLst>
        </c:ser>
        <c:ser>
          <c:idx val="1"/>
          <c:order val="2"/>
          <c:tx>
            <c:strRef>
              <c:f>gemini_metrics!$L$34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gemini_metrics!$L$35:$L$38</c:f>
              <c:numCache>
                <c:formatCode>0.0000</c:formatCode>
                <c:ptCount val="4"/>
                <c:pt idx="0">
                  <c:v>0.376863</c:v>
                </c:pt>
                <c:pt idx="1">
                  <c:v>0.208563</c:v>
                </c:pt>
                <c:pt idx="2">
                  <c:v>-0.68309600000000004</c:v>
                </c:pt>
                <c:pt idx="3">
                  <c:v>-7.3568999999999996E-2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4-6543-A7C3-B14AFF4352D6}"/>
            </c:ext>
          </c:extLst>
        </c:ser>
        <c:ser>
          <c:idx val="2"/>
          <c:order val="3"/>
          <c:tx>
            <c:strRef>
              <c:f>gemini_metrics!$M$34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44-6543-A7C3-B14AFF4352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gemini_metrics!$M$35:$M$38</c:f>
              <c:numCache>
                <c:formatCode>0.0000</c:formatCode>
                <c:ptCount val="4"/>
                <c:pt idx="0">
                  <c:v>0.34220800000000001</c:v>
                </c:pt>
                <c:pt idx="1">
                  <c:v>0.168457</c:v>
                </c:pt>
                <c:pt idx="2">
                  <c:v>-0.54631700000000005</c:v>
                </c:pt>
                <c:pt idx="3">
                  <c:v>-0.14432600000000001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44-6543-A7C3-B14AFF4352D6}"/>
            </c:ext>
          </c:extLst>
        </c:ser>
        <c:ser>
          <c:idx val="3"/>
          <c:order val="4"/>
          <c:tx>
            <c:strRef>
              <c:f>gemini_metrics!$N$34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gemini_metrics!$I$35:$I$38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gemini_metrics!$N$35:$N$38</c:f>
              <c:numCache>
                <c:formatCode>0.0000</c:formatCode>
                <c:ptCount val="4"/>
                <c:pt idx="0">
                  <c:v>-0.64491200000000004</c:v>
                </c:pt>
                <c:pt idx="1">
                  <c:v>-0.25800200000000001</c:v>
                </c:pt>
                <c:pt idx="2">
                  <c:v>-0.91516299999999995</c:v>
                </c:pt>
                <c:pt idx="3">
                  <c:v>-0.41546899999999998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44-6543-A7C3-B14AFF43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-8.4445000000000006E-2</c:v>
                </c:pt>
                <c:pt idx="2">
                  <c:v>-0.11240799999999999</c:v>
                </c:pt>
                <c:pt idx="3">
                  <c:v>-0.121174</c:v>
                </c:pt>
                <c:pt idx="4">
                  <c:v>-0.126136</c:v>
                </c:pt>
                <c:pt idx="5">
                  <c:v>-0.13112199999999999</c:v>
                </c:pt>
                <c:pt idx="6">
                  <c:v>-0.137599</c:v>
                </c:pt>
                <c:pt idx="7">
                  <c:v>-0.14524000000000001</c:v>
                </c:pt>
                <c:pt idx="8">
                  <c:v>-0.14821200000000001</c:v>
                </c:pt>
                <c:pt idx="9">
                  <c:v>-0.15473700000000001</c:v>
                </c:pt>
                <c:pt idx="10">
                  <c:v>-0.18604100000000001</c:v>
                </c:pt>
                <c:pt idx="11">
                  <c:v>-0.21342800000000001</c:v>
                </c:pt>
                <c:pt idx="12">
                  <c:v>-0.22059599999999999</c:v>
                </c:pt>
                <c:pt idx="13">
                  <c:v>-0.22523799999999999</c:v>
                </c:pt>
                <c:pt idx="14">
                  <c:v>-0.23044600000000001</c:v>
                </c:pt>
                <c:pt idx="15">
                  <c:v>-0.23901800000000001</c:v>
                </c:pt>
                <c:pt idx="16">
                  <c:v>-0.25402000000000002</c:v>
                </c:pt>
                <c:pt idx="17">
                  <c:v>-0.27870699999999998</c:v>
                </c:pt>
                <c:pt idx="18">
                  <c:v>-0.29543199999999997</c:v>
                </c:pt>
                <c:pt idx="19">
                  <c:v>-0.29816199999999998</c:v>
                </c:pt>
                <c:pt idx="20">
                  <c:v>-0.30195499999999997</c:v>
                </c:pt>
                <c:pt idx="21">
                  <c:v>-0.30426999999999998</c:v>
                </c:pt>
                <c:pt idx="22">
                  <c:v>-0.30509999999999998</c:v>
                </c:pt>
                <c:pt idx="23">
                  <c:v>-0.30682900000000002</c:v>
                </c:pt>
                <c:pt idx="24">
                  <c:v>-0.31484200000000001</c:v>
                </c:pt>
                <c:pt idx="25">
                  <c:v>-0.32573099999999999</c:v>
                </c:pt>
                <c:pt idx="26">
                  <c:v>-0.33031300000000002</c:v>
                </c:pt>
                <c:pt idx="27">
                  <c:v>-0.33133400000000002</c:v>
                </c:pt>
                <c:pt idx="28">
                  <c:v>-0.33553300000000003</c:v>
                </c:pt>
                <c:pt idx="29">
                  <c:v>-0.33595900000000001</c:v>
                </c:pt>
                <c:pt idx="30">
                  <c:v>-0.33761600000000003</c:v>
                </c:pt>
                <c:pt idx="31">
                  <c:v>-0.34054099999999998</c:v>
                </c:pt>
                <c:pt idx="32">
                  <c:v>-0.34857199999999999</c:v>
                </c:pt>
                <c:pt idx="33">
                  <c:v>-0.352858</c:v>
                </c:pt>
                <c:pt idx="34">
                  <c:v>-0.35674699999999998</c:v>
                </c:pt>
                <c:pt idx="35">
                  <c:v>-0.36060199999999998</c:v>
                </c:pt>
                <c:pt idx="36">
                  <c:v>-0.36510799999999999</c:v>
                </c:pt>
                <c:pt idx="37">
                  <c:v>-0.36638199999999999</c:v>
                </c:pt>
                <c:pt idx="38">
                  <c:v>-0.37127700000000002</c:v>
                </c:pt>
                <c:pt idx="39">
                  <c:v>-0.38076399999999999</c:v>
                </c:pt>
                <c:pt idx="40">
                  <c:v>-0.38107600000000003</c:v>
                </c:pt>
                <c:pt idx="41">
                  <c:v>-0.39288299999999998</c:v>
                </c:pt>
                <c:pt idx="42">
                  <c:v>-0.43323</c:v>
                </c:pt>
                <c:pt idx="43">
                  <c:v>-0.43426599999999999</c:v>
                </c:pt>
                <c:pt idx="44">
                  <c:v>-0.43484</c:v>
                </c:pt>
                <c:pt idx="45">
                  <c:v>-0.43410500000000002</c:v>
                </c:pt>
                <c:pt idx="46">
                  <c:v>-0.43905499999999997</c:v>
                </c:pt>
                <c:pt idx="47">
                  <c:v>-0.43883499999999998</c:v>
                </c:pt>
                <c:pt idx="48">
                  <c:v>-0.44595200000000002</c:v>
                </c:pt>
                <c:pt idx="49">
                  <c:v>-0.44752399999999998</c:v>
                </c:pt>
                <c:pt idx="50">
                  <c:v>-0.44821299999999997</c:v>
                </c:pt>
                <c:pt idx="51">
                  <c:v>-0.448411</c:v>
                </c:pt>
                <c:pt idx="52">
                  <c:v>-0.45293600000000001</c:v>
                </c:pt>
                <c:pt idx="53">
                  <c:v>-0.45784900000000001</c:v>
                </c:pt>
                <c:pt idx="54">
                  <c:v>-0.45769399999999999</c:v>
                </c:pt>
                <c:pt idx="55">
                  <c:v>-0.45586300000000002</c:v>
                </c:pt>
                <c:pt idx="56">
                  <c:v>-0.46728599999999998</c:v>
                </c:pt>
                <c:pt idx="57">
                  <c:v>-0.46785199999999999</c:v>
                </c:pt>
                <c:pt idx="58">
                  <c:v>-0.46990500000000002</c:v>
                </c:pt>
                <c:pt idx="59">
                  <c:v>-0.471331</c:v>
                </c:pt>
                <c:pt idx="60">
                  <c:v>-0.47712900000000003</c:v>
                </c:pt>
                <c:pt idx="61">
                  <c:v>-0.47968899999999998</c:v>
                </c:pt>
                <c:pt idx="62">
                  <c:v>-0.48111199999999998</c:v>
                </c:pt>
                <c:pt idx="63">
                  <c:v>-0.48039799999999999</c:v>
                </c:pt>
                <c:pt idx="64">
                  <c:v>-0.49390899999999999</c:v>
                </c:pt>
                <c:pt idx="65">
                  <c:v>-0.49854999999999999</c:v>
                </c:pt>
                <c:pt idx="66">
                  <c:v>-0.50196300000000005</c:v>
                </c:pt>
                <c:pt idx="67">
                  <c:v>-0.50378900000000004</c:v>
                </c:pt>
                <c:pt idx="68">
                  <c:v>-0.50891900000000001</c:v>
                </c:pt>
                <c:pt idx="69">
                  <c:v>-0.50701200000000002</c:v>
                </c:pt>
                <c:pt idx="70">
                  <c:v>-0.50940700000000005</c:v>
                </c:pt>
                <c:pt idx="71">
                  <c:v>-0.51985999999999999</c:v>
                </c:pt>
                <c:pt idx="72">
                  <c:v>-0.52184600000000003</c:v>
                </c:pt>
                <c:pt idx="73">
                  <c:v>-0.524559</c:v>
                </c:pt>
                <c:pt idx="74">
                  <c:v>-0.52682099999999998</c:v>
                </c:pt>
                <c:pt idx="75">
                  <c:v>-0.53271999999999997</c:v>
                </c:pt>
                <c:pt idx="76">
                  <c:v>-0.53187300000000004</c:v>
                </c:pt>
                <c:pt idx="77">
                  <c:v>-0.52690599999999999</c:v>
                </c:pt>
                <c:pt idx="78">
                  <c:v>-0.54415100000000005</c:v>
                </c:pt>
                <c:pt idx="79">
                  <c:v>-0.553369</c:v>
                </c:pt>
                <c:pt idx="80">
                  <c:v>-0.555616</c:v>
                </c:pt>
                <c:pt idx="81">
                  <c:v>-0.55472600000000005</c:v>
                </c:pt>
                <c:pt idx="82">
                  <c:v>-0.55678799999999995</c:v>
                </c:pt>
                <c:pt idx="83">
                  <c:v>-0.56045900000000004</c:v>
                </c:pt>
                <c:pt idx="84">
                  <c:v>-0.56922600000000001</c:v>
                </c:pt>
                <c:pt idx="85">
                  <c:v>-0.56873399999999996</c:v>
                </c:pt>
                <c:pt idx="86">
                  <c:v>-0.57202799999999998</c:v>
                </c:pt>
                <c:pt idx="87">
                  <c:v>-0.57070200000000004</c:v>
                </c:pt>
                <c:pt idx="88">
                  <c:v>-0.58446699999999996</c:v>
                </c:pt>
                <c:pt idx="89">
                  <c:v>-0.585121</c:v>
                </c:pt>
                <c:pt idx="90">
                  <c:v>-0.59036999999999995</c:v>
                </c:pt>
                <c:pt idx="91">
                  <c:v>-0.59279000000000004</c:v>
                </c:pt>
                <c:pt idx="92">
                  <c:v>-0.60924999999999996</c:v>
                </c:pt>
                <c:pt idx="93">
                  <c:v>-0.61018700000000003</c:v>
                </c:pt>
                <c:pt idx="94">
                  <c:v>-0.61017999999999994</c:v>
                </c:pt>
                <c:pt idx="95">
                  <c:v>-0.62241000000000002</c:v>
                </c:pt>
                <c:pt idx="96">
                  <c:v>-0.63756500000000005</c:v>
                </c:pt>
                <c:pt idx="97">
                  <c:v>-0.642818</c:v>
                </c:pt>
                <c:pt idx="98">
                  <c:v>-0.62901600000000002</c:v>
                </c:pt>
                <c:pt idx="99">
                  <c:v>-0.653559</c:v>
                </c:pt>
                <c:pt idx="100">
                  <c:v>-0.66263499999999997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EF-5743-A7E2-046093590082}"/>
            </c:ext>
          </c:extLst>
        </c:ser>
        <c:ser>
          <c:idx val="4"/>
          <c:order val="1"/>
          <c:tx>
            <c:strRef>
              <c:f>'gemini_delta-trend'!$C$2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-3.9243E-2</c:v>
                </c:pt>
                <c:pt idx="3">
                  <c:v>-5.1411999999999999E-2</c:v>
                </c:pt>
                <c:pt idx="4">
                  <c:v>-4.9668999999999998E-2</c:v>
                </c:pt>
                <c:pt idx="5">
                  <c:v>-4.8418000000000003E-2</c:v>
                </c:pt>
                <c:pt idx="6">
                  <c:v>-4.4873999999999997E-2</c:v>
                </c:pt>
                <c:pt idx="7">
                  <c:v>-3.3915000000000001E-2</c:v>
                </c:pt>
                <c:pt idx="8">
                  <c:v>-5.3494E-2</c:v>
                </c:pt>
                <c:pt idx="9">
                  <c:v>-3.3628999999999999E-2</c:v>
                </c:pt>
                <c:pt idx="10">
                  <c:v>-3.1125E-2</c:v>
                </c:pt>
                <c:pt idx="11">
                  <c:v>-1.3259999999999999E-2</c:v>
                </c:pt>
                <c:pt idx="12">
                  <c:v>-7.8779999999999996E-3</c:v>
                </c:pt>
                <c:pt idx="13">
                  <c:v>-9.6450000000000008E-3</c:v>
                </c:pt>
                <c:pt idx="14">
                  <c:v>-2.0702999999999999E-2</c:v>
                </c:pt>
                <c:pt idx="15">
                  <c:v>-2.9912999999999999E-2</c:v>
                </c:pt>
                <c:pt idx="16">
                  <c:v>-5.772E-2</c:v>
                </c:pt>
                <c:pt idx="17">
                  <c:v>-6.8732000000000001E-2</c:v>
                </c:pt>
                <c:pt idx="18">
                  <c:v>-6.6632999999999998E-2</c:v>
                </c:pt>
                <c:pt idx="19">
                  <c:v>-4.4108000000000001E-2</c:v>
                </c:pt>
                <c:pt idx="20">
                  <c:v>-2.9291999999999999E-2</c:v>
                </c:pt>
                <c:pt idx="21">
                  <c:v>-3.1047999999999999E-2</c:v>
                </c:pt>
                <c:pt idx="22">
                  <c:v>-2.9058E-2</c:v>
                </c:pt>
                <c:pt idx="23">
                  <c:v>-3.7055999999999999E-2</c:v>
                </c:pt>
                <c:pt idx="24">
                  <c:v>-4.5683000000000001E-2</c:v>
                </c:pt>
                <c:pt idx="25">
                  <c:v>-5.2052000000000001E-2</c:v>
                </c:pt>
                <c:pt idx="26">
                  <c:v>-4.5433000000000001E-2</c:v>
                </c:pt>
                <c:pt idx="27">
                  <c:v>-4.2689999999999999E-2</c:v>
                </c:pt>
                <c:pt idx="28">
                  <c:v>-4.0120000000000003E-2</c:v>
                </c:pt>
                <c:pt idx="29">
                  <c:v>-3.8593000000000002E-2</c:v>
                </c:pt>
                <c:pt idx="30">
                  <c:v>-3.7768999999999997E-2</c:v>
                </c:pt>
                <c:pt idx="31">
                  <c:v>-4.8964000000000001E-2</c:v>
                </c:pt>
                <c:pt idx="32">
                  <c:v>-5.6305000000000001E-2</c:v>
                </c:pt>
                <c:pt idx="33">
                  <c:v>-6.2213999999999998E-2</c:v>
                </c:pt>
                <c:pt idx="34">
                  <c:v>-6.012E-2</c:v>
                </c:pt>
                <c:pt idx="35">
                  <c:v>-5.7935E-2</c:v>
                </c:pt>
                <c:pt idx="36">
                  <c:v>-5.5426999999999997E-2</c:v>
                </c:pt>
                <c:pt idx="37">
                  <c:v>-4.0104000000000001E-2</c:v>
                </c:pt>
                <c:pt idx="38">
                  <c:v>-6.0284999999999998E-2</c:v>
                </c:pt>
                <c:pt idx="39">
                  <c:v>-6.2698000000000004E-2</c:v>
                </c:pt>
                <c:pt idx="40">
                  <c:v>-7.8032000000000004E-2</c:v>
                </c:pt>
                <c:pt idx="41">
                  <c:v>-0.108446</c:v>
                </c:pt>
                <c:pt idx="42">
                  <c:v>-0.108879</c:v>
                </c:pt>
                <c:pt idx="43">
                  <c:v>-0.107525</c:v>
                </c:pt>
                <c:pt idx="44">
                  <c:v>-0.106016</c:v>
                </c:pt>
                <c:pt idx="45">
                  <c:v>-0.104876</c:v>
                </c:pt>
                <c:pt idx="46">
                  <c:v>-0.10589899999999999</c:v>
                </c:pt>
                <c:pt idx="47">
                  <c:v>-0.105507</c:v>
                </c:pt>
                <c:pt idx="48">
                  <c:v>-0.10114099999999999</c:v>
                </c:pt>
                <c:pt idx="49">
                  <c:v>-9.5812999999999995E-2</c:v>
                </c:pt>
                <c:pt idx="50">
                  <c:v>-9.7448999999999994E-2</c:v>
                </c:pt>
                <c:pt idx="51">
                  <c:v>-8.4536E-2</c:v>
                </c:pt>
                <c:pt idx="52">
                  <c:v>-8.3895999999999998E-2</c:v>
                </c:pt>
                <c:pt idx="53">
                  <c:v>-8.8229000000000002E-2</c:v>
                </c:pt>
                <c:pt idx="54">
                  <c:v>-8.0426999999999998E-2</c:v>
                </c:pt>
                <c:pt idx="55">
                  <c:v>-5.7045999999999999E-2</c:v>
                </c:pt>
                <c:pt idx="56">
                  <c:v>-6.2151999999999999E-2</c:v>
                </c:pt>
                <c:pt idx="57">
                  <c:v>-4.2502999999999999E-2</c:v>
                </c:pt>
                <c:pt idx="58">
                  <c:v>-3.8739999999999998E-3</c:v>
                </c:pt>
                <c:pt idx="59">
                  <c:v>3.2354000000000001E-2</c:v>
                </c:pt>
                <c:pt idx="60">
                  <c:v>4.0022000000000002E-2</c:v>
                </c:pt>
                <c:pt idx="61">
                  <c:v>4.3098999999999998E-2</c:v>
                </c:pt>
                <c:pt idx="62">
                  <c:v>4.2525E-2</c:v>
                </c:pt>
                <c:pt idx="63">
                  <c:v>3.8968000000000003E-2</c:v>
                </c:pt>
                <c:pt idx="64">
                  <c:v>3.5812999999999998E-2</c:v>
                </c:pt>
                <c:pt idx="65">
                  <c:v>3.5958999999999998E-2</c:v>
                </c:pt>
                <c:pt idx="66">
                  <c:v>3.5261000000000001E-2</c:v>
                </c:pt>
                <c:pt idx="67">
                  <c:v>3.1038E-2</c:v>
                </c:pt>
                <c:pt idx="68">
                  <c:v>3.1267000000000003E-2</c:v>
                </c:pt>
                <c:pt idx="69">
                  <c:v>3.5535999999999998E-2</c:v>
                </c:pt>
                <c:pt idx="70">
                  <c:v>4.2098999999999998E-2</c:v>
                </c:pt>
                <c:pt idx="71">
                  <c:v>6.2602000000000005E-2</c:v>
                </c:pt>
                <c:pt idx="72">
                  <c:v>9.7425999999999999E-2</c:v>
                </c:pt>
                <c:pt idx="73">
                  <c:v>0.114428</c:v>
                </c:pt>
                <c:pt idx="74">
                  <c:v>0.123807</c:v>
                </c:pt>
                <c:pt idx="75">
                  <c:v>8.9033000000000001E-2</c:v>
                </c:pt>
                <c:pt idx="76">
                  <c:v>9.8485000000000003E-2</c:v>
                </c:pt>
                <c:pt idx="77">
                  <c:v>7.9404000000000002E-2</c:v>
                </c:pt>
                <c:pt idx="78">
                  <c:v>7.7003000000000002E-2</c:v>
                </c:pt>
                <c:pt idx="79">
                  <c:v>7.8328999999999996E-2</c:v>
                </c:pt>
                <c:pt idx="80">
                  <c:v>8.5349999999999995E-2</c:v>
                </c:pt>
                <c:pt idx="81">
                  <c:v>8.4874000000000005E-2</c:v>
                </c:pt>
                <c:pt idx="82">
                  <c:v>7.9977000000000006E-2</c:v>
                </c:pt>
                <c:pt idx="83">
                  <c:v>7.7606999999999995E-2</c:v>
                </c:pt>
                <c:pt idx="84">
                  <c:v>8.2844000000000001E-2</c:v>
                </c:pt>
                <c:pt idx="85">
                  <c:v>0.103121</c:v>
                </c:pt>
                <c:pt idx="86">
                  <c:v>0.104479</c:v>
                </c:pt>
                <c:pt idx="87">
                  <c:v>0.102136</c:v>
                </c:pt>
                <c:pt idx="88">
                  <c:v>0.11414000000000001</c:v>
                </c:pt>
                <c:pt idx="89">
                  <c:v>0.11153200000000001</c:v>
                </c:pt>
                <c:pt idx="90">
                  <c:v>0.119244</c:v>
                </c:pt>
                <c:pt idx="91">
                  <c:v>0.11874700000000001</c:v>
                </c:pt>
                <c:pt idx="92">
                  <c:v>0.119093</c:v>
                </c:pt>
                <c:pt idx="93">
                  <c:v>0.139927</c:v>
                </c:pt>
                <c:pt idx="94">
                  <c:v>0.13885800000000001</c:v>
                </c:pt>
                <c:pt idx="95">
                  <c:v>0.13189899999999999</c:v>
                </c:pt>
                <c:pt idx="96">
                  <c:v>0.138351</c:v>
                </c:pt>
                <c:pt idx="97">
                  <c:v>0.14361399999999999</c:v>
                </c:pt>
                <c:pt idx="98">
                  <c:v>0.14302599999999999</c:v>
                </c:pt>
                <c:pt idx="99">
                  <c:v>0.15010100000000001</c:v>
                </c:pt>
                <c:pt idx="100">
                  <c:v>0.144481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F-5743-A7E2-046093590082}"/>
            </c:ext>
          </c:extLst>
        </c:ser>
        <c:ser>
          <c:idx val="1"/>
          <c:order val="2"/>
          <c:tx>
            <c:strRef>
              <c:f>'gemini_delta-trend'!$D$2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-4.803E-3</c:v>
                </c:pt>
                <c:pt idx="2">
                  <c:v>-7.8149999999999997E-2</c:v>
                </c:pt>
                <c:pt idx="3">
                  <c:v>-0.101579</c:v>
                </c:pt>
                <c:pt idx="4">
                  <c:v>-0.10130699999999999</c:v>
                </c:pt>
                <c:pt idx="5">
                  <c:v>-0.102967</c:v>
                </c:pt>
                <c:pt idx="6">
                  <c:v>-9.3126E-2</c:v>
                </c:pt>
                <c:pt idx="7">
                  <c:v>-7.0021E-2</c:v>
                </c:pt>
                <c:pt idx="8">
                  <c:v>-2.1638000000000001E-2</c:v>
                </c:pt>
                <c:pt idx="9">
                  <c:v>7.2630000000000004E-3</c:v>
                </c:pt>
                <c:pt idx="10">
                  <c:v>5.2011000000000002E-2</c:v>
                </c:pt>
                <c:pt idx="11">
                  <c:v>8.1920000000000007E-2</c:v>
                </c:pt>
                <c:pt idx="12">
                  <c:v>9.3369999999999995E-2</c:v>
                </c:pt>
                <c:pt idx="13">
                  <c:v>0.11937399999999999</c:v>
                </c:pt>
                <c:pt idx="14">
                  <c:v>0.11715100000000001</c:v>
                </c:pt>
                <c:pt idx="15">
                  <c:v>0.107317</c:v>
                </c:pt>
                <c:pt idx="16">
                  <c:v>6.0928999999999997E-2</c:v>
                </c:pt>
                <c:pt idx="17">
                  <c:v>5.7343999999999999E-2</c:v>
                </c:pt>
                <c:pt idx="18">
                  <c:v>6.5431000000000003E-2</c:v>
                </c:pt>
                <c:pt idx="19">
                  <c:v>7.0870000000000002E-2</c:v>
                </c:pt>
                <c:pt idx="20">
                  <c:v>7.3110999999999995E-2</c:v>
                </c:pt>
                <c:pt idx="21">
                  <c:v>8.3552000000000001E-2</c:v>
                </c:pt>
                <c:pt idx="22">
                  <c:v>8.9236999999999997E-2</c:v>
                </c:pt>
                <c:pt idx="23">
                  <c:v>8.5004999999999997E-2</c:v>
                </c:pt>
                <c:pt idx="24">
                  <c:v>8.5176000000000002E-2</c:v>
                </c:pt>
                <c:pt idx="25">
                  <c:v>7.7953999999999996E-2</c:v>
                </c:pt>
                <c:pt idx="26">
                  <c:v>9.5363000000000003E-2</c:v>
                </c:pt>
                <c:pt idx="27">
                  <c:v>9.3600000000000003E-2</c:v>
                </c:pt>
                <c:pt idx="28">
                  <c:v>9.8221000000000003E-2</c:v>
                </c:pt>
                <c:pt idx="29">
                  <c:v>0.103215</c:v>
                </c:pt>
                <c:pt idx="30">
                  <c:v>0.107055</c:v>
                </c:pt>
                <c:pt idx="31">
                  <c:v>9.4344999999999998E-2</c:v>
                </c:pt>
                <c:pt idx="32">
                  <c:v>8.9855000000000004E-2</c:v>
                </c:pt>
                <c:pt idx="33">
                  <c:v>9.9889000000000006E-2</c:v>
                </c:pt>
                <c:pt idx="34">
                  <c:v>0.116218</c:v>
                </c:pt>
                <c:pt idx="35">
                  <c:v>0.119977</c:v>
                </c:pt>
                <c:pt idx="36">
                  <c:v>0.14210200000000001</c:v>
                </c:pt>
                <c:pt idx="37">
                  <c:v>0.14691000000000001</c:v>
                </c:pt>
                <c:pt idx="38">
                  <c:v>9.7638000000000003E-2</c:v>
                </c:pt>
                <c:pt idx="39">
                  <c:v>0.117033</c:v>
                </c:pt>
                <c:pt idx="40">
                  <c:v>9.7961999999999994E-2</c:v>
                </c:pt>
                <c:pt idx="41">
                  <c:v>0.11007599999999999</c:v>
                </c:pt>
                <c:pt idx="42">
                  <c:v>0.127084</c:v>
                </c:pt>
                <c:pt idx="43">
                  <c:v>0.138213</c:v>
                </c:pt>
                <c:pt idx="44">
                  <c:v>0.14437800000000001</c:v>
                </c:pt>
                <c:pt idx="45">
                  <c:v>0.174398</c:v>
                </c:pt>
                <c:pt idx="46">
                  <c:v>0.19942099999999999</c:v>
                </c:pt>
                <c:pt idx="47">
                  <c:v>0.205458</c:v>
                </c:pt>
                <c:pt idx="48">
                  <c:v>0.21524499999999999</c:v>
                </c:pt>
                <c:pt idx="49">
                  <c:v>0.22585</c:v>
                </c:pt>
                <c:pt idx="50">
                  <c:v>0.22712399999999999</c:v>
                </c:pt>
                <c:pt idx="51">
                  <c:v>0.221557</c:v>
                </c:pt>
                <c:pt idx="52">
                  <c:v>0.22303999999999999</c:v>
                </c:pt>
                <c:pt idx="53">
                  <c:v>0.236848</c:v>
                </c:pt>
                <c:pt idx="54">
                  <c:v>0.23577500000000001</c:v>
                </c:pt>
                <c:pt idx="55">
                  <c:v>0.21692400000000001</c:v>
                </c:pt>
                <c:pt idx="56">
                  <c:v>0.23219699999999999</c:v>
                </c:pt>
                <c:pt idx="57">
                  <c:v>0.23466600000000001</c:v>
                </c:pt>
                <c:pt idx="58">
                  <c:v>0.243421</c:v>
                </c:pt>
                <c:pt idx="59">
                  <c:v>0.25467000000000001</c:v>
                </c:pt>
                <c:pt idx="60">
                  <c:v>0.272063</c:v>
                </c:pt>
                <c:pt idx="61">
                  <c:v>0.26959300000000003</c:v>
                </c:pt>
                <c:pt idx="62">
                  <c:v>0.275121</c:v>
                </c:pt>
                <c:pt idx="63">
                  <c:v>0.26417099999999999</c:v>
                </c:pt>
                <c:pt idx="64">
                  <c:v>0.27312500000000001</c:v>
                </c:pt>
                <c:pt idx="65">
                  <c:v>0.27927999999999997</c:v>
                </c:pt>
                <c:pt idx="66">
                  <c:v>0.28265400000000002</c:v>
                </c:pt>
                <c:pt idx="67">
                  <c:v>0.29516599999999998</c:v>
                </c:pt>
                <c:pt idx="68">
                  <c:v>0.29501100000000002</c:v>
                </c:pt>
                <c:pt idx="69">
                  <c:v>0.29803299999999999</c:v>
                </c:pt>
                <c:pt idx="70">
                  <c:v>0.28484599999999999</c:v>
                </c:pt>
                <c:pt idx="71">
                  <c:v>0.29089500000000001</c:v>
                </c:pt>
                <c:pt idx="72">
                  <c:v>0.28994399999999998</c:v>
                </c:pt>
                <c:pt idx="73">
                  <c:v>0.31479400000000002</c:v>
                </c:pt>
                <c:pt idx="74">
                  <c:v>0.31606200000000001</c:v>
                </c:pt>
                <c:pt idx="75">
                  <c:v>0.30999100000000002</c:v>
                </c:pt>
                <c:pt idx="76">
                  <c:v>0.34929399999999999</c:v>
                </c:pt>
                <c:pt idx="77">
                  <c:v>0.31940299999999999</c:v>
                </c:pt>
                <c:pt idx="78">
                  <c:v>0.34456100000000001</c:v>
                </c:pt>
                <c:pt idx="79">
                  <c:v>0.293236</c:v>
                </c:pt>
                <c:pt idx="80">
                  <c:v>0.34345300000000001</c:v>
                </c:pt>
                <c:pt idx="81">
                  <c:v>0.35148400000000002</c:v>
                </c:pt>
                <c:pt idx="82">
                  <c:v>0.34575499999999998</c:v>
                </c:pt>
                <c:pt idx="83">
                  <c:v>0.34848400000000002</c:v>
                </c:pt>
                <c:pt idx="84">
                  <c:v>0.35584399999999999</c:v>
                </c:pt>
                <c:pt idx="85">
                  <c:v>0.35264200000000001</c:v>
                </c:pt>
                <c:pt idx="86">
                  <c:v>0.37177300000000002</c:v>
                </c:pt>
                <c:pt idx="87">
                  <c:v>0.36229299999999998</c:v>
                </c:pt>
                <c:pt idx="88">
                  <c:v>0.36906800000000001</c:v>
                </c:pt>
                <c:pt idx="89">
                  <c:v>0.38678200000000001</c:v>
                </c:pt>
                <c:pt idx="90">
                  <c:v>0.39526600000000001</c:v>
                </c:pt>
                <c:pt idx="91">
                  <c:v>0.38856600000000002</c:v>
                </c:pt>
                <c:pt idx="92">
                  <c:v>0.39358399999999999</c:v>
                </c:pt>
                <c:pt idx="93">
                  <c:v>0.40661799999999998</c:v>
                </c:pt>
                <c:pt idx="94">
                  <c:v>0.40584300000000001</c:v>
                </c:pt>
                <c:pt idx="95">
                  <c:v>0.39471099999999998</c:v>
                </c:pt>
                <c:pt idx="96">
                  <c:v>0.40411399999999997</c:v>
                </c:pt>
                <c:pt idx="97">
                  <c:v>0.40925299999999998</c:v>
                </c:pt>
                <c:pt idx="98">
                  <c:v>0.38297700000000001</c:v>
                </c:pt>
                <c:pt idx="99">
                  <c:v>0.38300899999999999</c:v>
                </c:pt>
                <c:pt idx="100">
                  <c:v>0.376863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EF-5743-A7E2-046093590082}"/>
            </c:ext>
          </c:extLst>
        </c:ser>
        <c:ser>
          <c:idx val="2"/>
          <c:order val="3"/>
          <c:tx>
            <c:strRef>
              <c:f>'gemini_delta-trend'!$E$2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'gemini_delta-trend'!$E$3:$E$104</c:f>
              <c:numCache>
                <c:formatCode>General</c:formatCode>
                <c:ptCount val="102"/>
                <c:pt idx="0">
                  <c:v>0</c:v>
                </c:pt>
                <c:pt idx="1">
                  <c:v>-4.3019000000000002E-2</c:v>
                </c:pt>
                <c:pt idx="2">
                  <c:v>-9.6965999999999997E-2</c:v>
                </c:pt>
                <c:pt idx="3">
                  <c:v>-0.11494799999999999</c:v>
                </c:pt>
                <c:pt idx="4">
                  <c:v>-0.110362</c:v>
                </c:pt>
                <c:pt idx="5">
                  <c:v>-0.109315</c:v>
                </c:pt>
                <c:pt idx="6">
                  <c:v>-9.4569E-2</c:v>
                </c:pt>
                <c:pt idx="7">
                  <c:v>-7.7064999999999995E-2</c:v>
                </c:pt>
                <c:pt idx="8">
                  <c:v>-5.7390999999999998E-2</c:v>
                </c:pt>
                <c:pt idx="9">
                  <c:v>-2.2020999999999999E-2</c:v>
                </c:pt>
                <c:pt idx="10">
                  <c:v>2.7306E-2</c:v>
                </c:pt>
                <c:pt idx="11">
                  <c:v>2.5611999999999999E-2</c:v>
                </c:pt>
                <c:pt idx="12">
                  <c:v>3.6653999999999999E-2</c:v>
                </c:pt>
                <c:pt idx="13">
                  <c:v>4.7232000000000003E-2</c:v>
                </c:pt>
                <c:pt idx="14">
                  <c:v>4.1708000000000002E-2</c:v>
                </c:pt>
                <c:pt idx="15">
                  <c:v>3.8080000000000003E-2</c:v>
                </c:pt>
                <c:pt idx="16">
                  <c:v>2.7820000000000001E-2</c:v>
                </c:pt>
                <c:pt idx="17">
                  <c:v>3.7959E-2</c:v>
                </c:pt>
                <c:pt idx="18">
                  <c:v>4.1279000000000003E-2</c:v>
                </c:pt>
                <c:pt idx="19">
                  <c:v>6.2700000000000006E-2</c:v>
                </c:pt>
                <c:pt idx="20">
                  <c:v>6.2873999999999999E-2</c:v>
                </c:pt>
                <c:pt idx="21">
                  <c:v>6.5837000000000007E-2</c:v>
                </c:pt>
                <c:pt idx="22">
                  <c:v>8.2188999999999998E-2</c:v>
                </c:pt>
                <c:pt idx="23">
                  <c:v>8.8548000000000002E-2</c:v>
                </c:pt>
                <c:pt idx="24">
                  <c:v>8.2888000000000003E-2</c:v>
                </c:pt>
                <c:pt idx="25">
                  <c:v>8.6364999999999997E-2</c:v>
                </c:pt>
                <c:pt idx="26">
                  <c:v>8.9907000000000001E-2</c:v>
                </c:pt>
                <c:pt idx="27">
                  <c:v>9.5082E-2</c:v>
                </c:pt>
                <c:pt idx="28">
                  <c:v>0.100816</c:v>
                </c:pt>
                <c:pt idx="29">
                  <c:v>9.9625000000000005E-2</c:v>
                </c:pt>
                <c:pt idx="30">
                  <c:v>0.10352699999999999</c:v>
                </c:pt>
                <c:pt idx="31">
                  <c:v>9.1053999999999996E-2</c:v>
                </c:pt>
                <c:pt idx="32">
                  <c:v>8.5011000000000003E-2</c:v>
                </c:pt>
                <c:pt idx="33">
                  <c:v>0.11061</c:v>
                </c:pt>
                <c:pt idx="34">
                  <c:v>0.11949799999999999</c:v>
                </c:pt>
                <c:pt idx="35">
                  <c:v>0.13738</c:v>
                </c:pt>
                <c:pt idx="36">
                  <c:v>0.13473199999999999</c:v>
                </c:pt>
                <c:pt idx="37">
                  <c:v>0.13197800000000001</c:v>
                </c:pt>
                <c:pt idx="38">
                  <c:v>0.20039499999999999</c:v>
                </c:pt>
                <c:pt idx="39">
                  <c:v>0.22359499999999999</c:v>
                </c:pt>
                <c:pt idx="40">
                  <c:v>0.20178599999999999</c:v>
                </c:pt>
                <c:pt idx="41">
                  <c:v>0.18662400000000001</c:v>
                </c:pt>
                <c:pt idx="42">
                  <c:v>0.20794499999999999</c:v>
                </c:pt>
                <c:pt idx="43">
                  <c:v>0.23521800000000001</c:v>
                </c:pt>
                <c:pt idx="44">
                  <c:v>0.240676</c:v>
                </c:pt>
                <c:pt idx="45">
                  <c:v>0.205621</c:v>
                </c:pt>
                <c:pt idx="46">
                  <c:v>0.22227</c:v>
                </c:pt>
                <c:pt idx="47">
                  <c:v>0.21787100000000001</c:v>
                </c:pt>
                <c:pt idx="48">
                  <c:v>0.218921</c:v>
                </c:pt>
                <c:pt idx="49">
                  <c:v>0.22004899999999999</c:v>
                </c:pt>
                <c:pt idx="50">
                  <c:v>0.21779200000000001</c:v>
                </c:pt>
                <c:pt idx="51">
                  <c:v>0.21768399999999999</c:v>
                </c:pt>
                <c:pt idx="52">
                  <c:v>0.25066699999999997</c:v>
                </c:pt>
                <c:pt idx="53">
                  <c:v>0.28407900000000003</c:v>
                </c:pt>
                <c:pt idx="54">
                  <c:v>0.28481200000000001</c:v>
                </c:pt>
                <c:pt idx="55">
                  <c:v>0.28401399999999999</c:v>
                </c:pt>
                <c:pt idx="56">
                  <c:v>0.30848700000000001</c:v>
                </c:pt>
                <c:pt idx="57">
                  <c:v>0.31883099999999998</c:v>
                </c:pt>
                <c:pt idx="58">
                  <c:v>0.321774</c:v>
                </c:pt>
                <c:pt idx="59">
                  <c:v>0.34723700000000002</c:v>
                </c:pt>
                <c:pt idx="60">
                  <c:v>0.37437100000000001</c:v>
                </c:pt>
                <c:pt idx="61">
                  <c:v>0.38029499999999999</c:v>
                </c:pt>
                <c:pt idx="62">
                  <c:v>0.37986399999999998</c:v>
                </c:pt>
                <c:pt idx="63">
                  <c:v>0.37597700000000001</c:v>
                </c:pt>
                <c:pt idx="64">
                  <c:v>0.37821300000000002</c:v>
                </c:pt>
                <c:pt idx="65">
                  <c:v>0.35309000000000001</c:v>
                </c:pt>
                <c:pt idx="66">
                  <c:v>0.36710399999999999</c:v>
                </c:pt>
                <c:pt idx="67">
                  <c:v>0.36657499999999998</c:v>
                </c:pt>
                <c:pt idx="68">
                  <c:v>0.35942600000000002</c:v>
                </c:pt>
                <c:pt idx="69">
                  <c:v>0.362784</c:v>
                </c:pt>
                <c:pt idx="70">
                  <c:v>0.35134799999999999</c:v>
                </c:pt>
                <c:pt idx="71">
                  <c:v>0.37413800000000003</c:v>
                </c:pt>
                <c:pt idx="72">
                  <c:v>0.35513</c:v>
                </c:pt>
                <c:pt idx="73">
                  <c:v>0.38974900000000001</c:v>
                </c:pt>
                <c:pt idx="74">
                  <c:v>0.36355799999999999</c:v>
                </c:pt>
                <c:pt idx="75">
                  <c:v>0.37597900000000001</c:v>
                </c:pt>
                <c:pt idx="76">
                  <c:v>0.40586899999999998</c:v>
                </c:pt>
                <c:pt idx="77">
                  <c:v>0.38116699999999998</c:v>
                </c:pt>
                <c:pt idx="78">
                  <c:v>0.39125799999999999</c:v>
                </c:pt>
                <c:pt idx="79">
                  <c:v>0.279808</c:v>
                </c:pt>
                <c:pt idx="80">
                  <c:v>0.32259300000000002</c:v>
                </c:pt>
                <c:pt idx="81">
                  <c:v>0.32846900000000001</c:v>
                </c:pt>
                <c:pt idx="82">
                  <c:v>0.32537199999999999</c:v>
                </c:pt>
                <c:pt idx="83">
                  <c:v>0.30838199999999999</c:v>
                </c:pt>
                <c:pt idx="84">
                  <c:v>0.32091399999999998</c:v>
                </c:pt>
                <c:pt idx="85">
                  <c:v>0.303948</c:v>
                </c:pt>
                <c:pt idx="86">
                  <c:v>0.32974599999999998</c:v>
                </c:pt>
                <c:pt idx="87">
                  <c:v>0.32776</c:v>
                </c:pt>
                <c:pt idx="88">
                  <c:v>0.32809500000000003</c:v>
                </c:pt>
                <c:pt idx="89">
                  <c:v>0.32174900000000001</c:v>
                </c:pt>
                <c:pt idx="90">
                  <c:v>0.33953899999999998</c:v>
                </c:pt>
                <c:pt idx="91">
                  <c:v>0.34110099999999999</c:v>
                </c:pt>
                <c:pt idx="92">
                  <c:v>0.33590399999999998</c:v>
                </c:pt>
                <c:pt idx="93">
                  <c:v>0.34911700000000001</c:v>
                </c:pt>
                <c:pt idx="94">
                  <c:v>0.35438900000000001</c:v>
                </c:pt>
                <c:pt idx="95">
                  <c:v>0.35019400000000001</c:v>
                </c:pt>
                <c:pt idx="96">
                  <c:v>0.35638399999999998</c:v>
                </c:pt>
                <c:pt idx="97">
                  <c:v>0.36750500000000003</c:v>
                </c:pt>
                <c:pt idx="98">
                  <c:v>0.34936200000000001</c:v>
                </c:pt>
                <c:pt idx="99">
                  <c:v>0.35172999999999999</c:v>
                </c:pt>
                <c:pt idx="100">
                  <c:v>0.34220800000000001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EF-5743-A7E2-046093590082}"/>
            </c:ext>
          </c:extLst>
        </c:ser>
        <c:ser>
          <c:idx val="3"/>
          <c:order val="4"/>
          <c:tx>
            <c:strRef>
              <c:f>'gemini_delta-trend'!$F$2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-7.2971999999999995E-2</c:v>
                </c:pt>
                <c:pt idx="2">
                  <c:v>-0.113084</c:v>
                </c:pt>
                <c:pt idx="3">
                  <c:v>-0.16247400000000001</c:v>
                </c:pt>
                <c:pt idx="4">
                  <c:v>-0.193882</c:v>
                </c:pt>
                <c:pt idx="5">
                  <c:v>-0.20161599999999999</c:v>
                </c:pt>
                <c:pt idx="6">
                  <c:v>-0.207092</c:v>
                </c:pt>
                <c:pt idx="7">
                  <c:v>-0.21219299999999999</c:v>
                </c:pt>
                <c:pt idx="8">
                  <c:v>-0.218666</c:v>
                </c:pt>
                <c:pt idx="9">
                  <c:v>-0.236961</c:v>
                </c:pt>
                <c:pt idx="10">
                  <c:v>-0.266789</c:v>
                </c:pt>
                <c:pt idx="11">
                  <c:v>-0.28633900000000001</c:v>
                </c:pt>
                <c:pt idx="12">
                  <c:v>-0.29375099999999998</c:v>
                </c:pt>
                <c:pt idx="13">
                  <c:v>-0.29422199999999998</c:v>
                </c:pt>
                <c:pt idx="14">
                  <c:v>-0.297151</c:v>
                </c:pt>
                <c:pt idx="15">
                  <c:v>-0.30562</c:v>
                </c:pt>
                <c:pt idx="16">
                  <c:v>-0.31481599999999998</c:v>
                </c:pt>
                <c:pt idx="17">
                  <c:v>-0.32980199999999998</c:v>
                </c:pt>
                <c:pt idx="18">
                  <c:v>-0.34658600000000001</c:v>
                </c:pt>
                <c:pt idx="19">
                  <c:v>-0.34898800000000002</c:v>
                </c:pt>
                <c:pt idx="20">
                  <c:v>-0.35278500000000002</c:v>
                </c:pt>
                <c:pt idx="21">
                  <c:v>-0.35486600000000001</c:v>
                </c:pt>
                <c:pt idx="22">
                  <c:v>-0.35625400000000002</c:v>
                </c:pt>
                <c:pt idx="23">
                  <c:v>-0.35719200000000001</c:v>
                </c:pt>
                <c:pt idx="24">
                  <c:v>-0.36571100000000001</c:v>
                </c:pt>
                <c:pt idx="25">
                  <c:v>-0.37426700000000002</c:v>
                </c:pt>
                <c:pt idx="26">
                  <c:v>-0.374778</c:v>
                </c:pt>
                <c:pt idx="27">
                  <c:v>-0.37573400000000001</c:v>
                </c:pt>
                <c:pt idx="28">
                  <c:v>-0.37881100000000001</c:v>
                </c:pt>
                <c:pt idx="29">
                  <c:v>-0.379608</c:v>
                </c:pt>
                <c:pt idx="30">
                  <c:v>-0.381525</c:v>
                </c:pt>
                <c:pt idx="31">
                  <c:v>-0.38258199999999998</c:v>
                </c:pt>
                <c:pt idx="32">
                  <c:v>-0.392646</c:v>
                </c:pt>
                <c:pt idx="33">
                  <c:v>-0.39827800000000002</c:v>
                </c:pt>
                <c:pt idx="34">
                  <c:v>-0.40667799999999998</c:v>
                </c:pt>
                <c:pt idx="35">
                  <c:v>-0.41418300000000002</c:v>
                </c:pt>
                <c:pt idx="36">
                  <c:v>-0.41503800000000002</c:v>
                </c:pt>
                <c:pt idx="37">
                  <c:v>-0.41644999999999999</c:v>
                </c:pt>
                <c:pt idx="38">
                  <c:v>-0.42281200000000002</c:v>
                </c:pt>
                <c:pt idx="39">
                  <c:v>-0.43225200000000003</c:v>
                </c:pt>
                <c:pt idx="40">
                  <c:v>-0.43006899999999998</c:v>
                </c:pt>
                <c:pt idx="41">
                  <c:v>-0.44571899999999998</c:v>
                </c:pt>
                <c:pt idx="42">
                  <c:v>-0.44939000000000001</c:v>
                </c:pt>
                <c:pt idx="43">
                  <c:v>-0.44901400000000002</c:v>
                </c:pt>
                <c:pt idx="44">
                  <c:v>-0.45430700000000002</c:v>
                </c:pt>
                <c:pt idx="45">
                  <c:v>-0.45498499999999997</c:v>
                </c:pt>
                <c:pt idx="46">
                  <c:v>-0.45854200000000001</c:v>
                </c:pt>
                <c:pt idx="47">
                  <c:v>-0.46533200000000002</c:v>
                </c:pt>
                <c:pt idx="48">
                  <c:v>-0.47117999999999999</c:v>
                </c:pt>
                <c:pt idx="49">
                  <c:v>-0.47297299999999998</c:v>
                </c:pt>
                <c:pt idx="50">
                  <c:v>-0.47410999999999998</c:v>
                </c:pt>
                <c:pt idx="51">
                  <c:v>-0.474325</c:v>
                </c:pt>
                <c:pt idx="52">
                  <c:v>-0.477379</c:v>
                </c:pt>
                <c:pt idx="53">
                  <c:v>-0.48341899999999999</c:v>
                </c:pt>
                <c:pt idx="54">
                  <c:v>-0.48319499999999999</c:v>
                </c:pt>
                <c:pt idx="55">
                  <c:v>-0.480462</c:v>
                </c:pt>
                <c:pt idx="56">
                  <c:v>-0.49348700000000001</c:v>
                </c:pt>
                <c:pt idx="57">
                  <c:v>-0.49435699999999999</c:v>
                </c:pt>
                <c:pt idx="58">
                  <c:v>-0.494973</c:v>
                </c:pt>
                <c:pt idx="59">
                  <c:v>-0.49460700000000002</c:v>
                </c:pt>
                <c:pt idx="60">
                  <c:v>-0.50112900000000005</c:v>
                </c:pt>
                <c:pt idx="61">
                  <c:v>-0.50348300000000001</c:v>
                </c:pt>
                <c:pt idx="62">
                  <c:v>-0.50292700000000001</c:v>
                </c:pt>
                <c:pt idx="63">
                  <c:v>-0.51039999999999996</c:v>
                </c:pt>
                <c:pt idx="64">
                  <c:v>-0.51872600000000002</c:v>
                </c:pt>
                <c:pt idx="65">
                  <c:v>-0.52269900000000002</c:v>
                </c:pt>
                <c:pt idx="66">
                  <c:v>-0.52481999999999995</c:v>
                </c:pt>
                <c:pt idx="67">
                  <c:v>-0.52707800000000005</c:v>
                </c:pt>
                <c:pt idx="68">
                  <c:v>-0.53236700000000003</c:v>
                </c:pt>
                <c:pt idx="69">
                  <c:v>-0.53104499999999999</c:v>
                </c:pt>
                <c:pt idx="70">
                  <c:v>-0.53114300000000003</c:v>
                </c:pt>
                <c:pt idx="71">
                  <c:v>-0.542686</c:v>
                </c:pt>
                <c:pt idx="72">
                  <c:v>-0.54362500000000002</c:v>
                </c:pt>
                <c:pt idx="73">
                  <c:v>-0.54421699999999995</c:v>
                </c:pt>
                <c:pt idx="74">
                  <c:v>-0.53554299999999999</c:v>
                </c:pt>
                <c:pt idx="75">
                  <c:v>-0.56361600000000001</c:v>
                </c:pt>
                <c:pt idx="76">
                  <c:v>-0.565527</c:v>
                </c:pt>
                <c:pt idx="77">
                  <c:v>-0.56144499999999997</c:v>
                </c:pt>
                <c:pt idx="78">
                  <c:v>-0.57044899999999998</c:v>
                </c:pt>
                <c:pt idx="79">
                  <c:v>-0.57787299999999997</c:v>
                </c:pt>
                <c:pt idx="80">
                  <c:v>-0.58107900000000001</c:v>
                </c:pt>
                <c:pt idx="81">
                  <c:v>-0.58047000000000004</c:v>
                </c:pt>
                <c:pt idx="82">
                  <c:v>-0.57948200000000005</c:v>
                </c:pt>
                <c:pt idx="83">
                  <c:v>-0.58505799999999997</c:v>
                </c:pt>
                <c:pt idx="84">
                  <c:v>-0.59004900000000005</c:v>
                </c:pt>
                <c:pt idx="85">
                  <c:v>-0.58795500000000001</c:v>
                </c:pt>
                <c:pt idx="86">
                  <c:v>-0.58878699999999995</c:v>
                </c:pt>
                <c:pt idx="87">
                  <c:v>-0.595549</c:v>
                </c:pt>
                <c:pt idx="88">
                  <c:v>-0.60117200000000004</c:v>
                </c:pt>
                <c:pt idx="89">
                  <c:v>-0.59613499999999997</c:v>
                </c:pt>
                <c:pt idx="90">
                  <c:v>-0.61109400000000003</c:v>
                </c:pt>
                <c:pt idx="91">
                  <c:v>-0.60726199999999997</c:v>
                </c:pt>
                <c:pt idx="92">
                  <c:v>-0.61734599999999995</c:v>
                </c:pt>
                <c:pt idx="93">
                  <c:v>-0.61893900000000002</c:v>
                </c:pt>
                <c:pt idx="94">
                  <c:v>-0.61611099999999996</c:v>
                </c:pt>
                <c:pt idx="95">
                  <c:v>-0.62438499999999997</c:v>
                </c:pt>
                <c:pt idx="96">
                  <c:v>-0.63692499999999996</c:v>
                </c:pt>
                <c:pt idx="97">
                  <c:v>-0.64032900000000004</c:v>
                </c:pt>
                <c:pt idx="98">
                  <c:v>-0.63558000000000003</c:v>
                </c:pt>
                <c:pt idx="99">
                  <c:v>-0.647115</c:v>
                </c:pt>
                <c:pt idx="100">
                  <c:v>-0.64491200000000004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EF-5743-A7E2-046093590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-2.4181999999999999E-2</c:v>
                </c:pt>
                <c:pt idx="2">
                  <c:v>-2.8265999999999999E-2</c:v>
                </c:pt>
                <c:pt idx="3">
                  <c:v>-4.7220999999999999E-2</c:v>
                </c:pt>
                <c:pt idx="4">
                  <c:v>-5.0155999999999999E-2</c:v>
                </c:pt>
                <c:pt idx="5">
                  <c:v>-6.905E-2</c:v>
                </c:pt>
                <c:pt idx="6">
                  <c:v>-7.4743000000000004E-2</c:v>
                </c:pt>
                <c:pt idx="7">
                  <c:v>-7.7924999999999994E-2</c:v>
                </c:pt>
                <c:pt idx="8">
                  <c:v>-7.9023999999999997E-2</c:v>
                </c:pt>
                <c:pt idx="9">
                  <c:v>-8.2780999999999993E-2</c:v>
                </c:pt>
                <c:pt idx="10">
                  <c:v>-8.4991999999999998E-2</c:v>
                </c:pt>
                <c:pt idx="11">
                  <c:v>-8.6649000000000004E-2</c:v>
                </c:pt>
                <c:pt idx="12">
                  <c:v>-8.9768000000000001E-2</c:v>
                </c:pt>
                <c:pt idx="13">
                  <c:v>-0.104783</c:v>
                </c:pt>
                <c:pt idx="14">
                  <c:v>-0.113233</c:v>
                </c:pt>
                <c:pt idx="15">
                  <c:v>-0.117372</c:v>
                </c:pt>
                <c:pt idx="16">
                  <c:v>-0.121617</c:v>
                </c:pt>
                <c:pt idx="17">
                  <c:v>-0.12912399999999999</c:v>
                </c:pt>
                <c:pt idx="18">
                  <c:v>-0.13442699999999999</c:v>
                </c:pt>
                <c:pt idx="19">
                  <c:v>-0.140461</c:v>
                </c:pt>
                <c:pt idx="20">
                  <c:v>-0.15360099999999999</c:v>
                </c:pt>
                <c:pt idx="21">
                  <c:v>-0.16473099999999999</c:v>
                </c:pt>
                <c:pt idx="22">
                  <c:v>-0.16825999999999999</c:v>
                </c:pt>
                <c:pt idx="23">
                  <c:v>-0.170518</c:v>
                </c:pt>
                <c:pt idx="24">
                  <c:v>-0.17218</c:v>
                </c:pt>
                <c:pt idx="25">
                  <c:v>-0.17253599999999999</c:v>
                </c:pt>
                <c:pt idx="26">
                  <c:v>-0.175729</c:v>
                </c:pt>
                <c:pt idx="27">
                  <c:v>-0.17866799999999999</c:v>
                </c:pt>
                <c:pt idx="28">
                  <c:v>-0.18050099999999999</c:v>
                </c:pt>
                <c:pt idx="29">
                  <c:v>-0.182198</c:v>
                </c:pt>
                <c:pt idx="30">
                  <c:v>-0.19253000000000001</c:v>
                </c:pt>
                <c:pt idx="31">
                  <c:v>-0.20319200000000001</c:v>
                </c:pt>
                <c:pt idx="32">
                  <c:v>-0.206284</c:v>
                </c:pt>
                <c:pt idx="33">
                  <c:v>-0.21050099999999999</c:v>
                </c:pt>
                <c:pt idx="34">
                  <c:v>-0.215421</c:v>
                </c:pt>
                <c:pt idx="35">
                  <c:v>-0.226156</c:v>
                </c:pt>
                <c:pt idx="36">
                  <c:v>-0.23912900000000001</c:v>
                </c:pt>
                <c:pt idx="37">
                  <c:v>-0.24230399999999999</c:v>
                </c:pt>
                <c:pt idx="38">
                  <c:v>-0.243282</c:v>
                </c:pt>
                <c:pt idx="39">
                  <c:v>-0.24426500000000001</c:v>
                </c:pt>
                <c:pt idx="40">
                  <c:v>-0.24445600000000001</c:v>
                </c:pt>
                <c:pt idx="41">
                  <c:v>-0.245037</c:v>
                </c:pt>
                <c:pt idx="42">
                  <c:v>-0.24664</c:v>
                </c:pt>
                <c:pt idx="43">
                  <c:v>-0.24893599999999999</c:v>
                </c:pt>
                <c:pt idx="44">
                  <c:v>-0.25034699999999999</c:v>
                </c:pt>
                <c:pt idx="45">
                  <c:v>-0.25211899999999998</c:v>
                </c:pt>
                <c:pt idx="46">
                  <c:v>-0.25340299999999999</c:v>
                </c:pt>
                <c:pt idx="47">
                  <c:v>-0.25382700000000002</c:v>
                </c:pt>
                <c:pt idx="48">
                  <c:v>-0.25546200000000002</c:v>
                </c:pt>
                <c:pt idx="49">
                  <c:v>-0.25984099999999999</c:v>
                </c:pt>
                <c:pt idx="50">
                  <c:v>-0.26439000000000001</c:v>
                </c:pt>
                <c:pt idx="51">
                  <c:v>-0.266735</c:v>
                </c:pt>
                <c:pt idx="52">
                  <c:v>-0.267291</c:v>
                </c:pt>
                <c:pt idx="53">
                  <c:v>-0.26782299999999998</c:v>
                </c:pt>
                <c:pt idx="54">
                  <c:v>-0.26844400000000002</c:v>
                </c:pt>
                <c:pt idx="55">
                  <c:v>-0.26999000000000001</c:v>
                </c:pt>
                <c:pt idx="56">
                  <c:v>-0.27104600000000001</c:v>
                </c:pt>
                <c:pt idx="57">
                  <c:v>-0.27300200000000002</c:v>
                </c:pt>
                <c:pt idx="58">
                  <c:v>-0.27421899999999999</c:v>
                </c:pt>
                <c:pt idx="59">
                  <c:v>-0.27514699999999997</c:v>
                </c:pt>
                <c:pt idx="60">
                  <c:v>-0.27674799999999999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BB-444A-BC62-78ADF37000B0}"/>
            </c:ext>
          </c:extLst>
        </c:ser>
        <c:ser>
          <c:idx val="4"/>
          <c:order val="1"/>
          <c:tx>
            <c:strRef>
              <c:f>'gemini_delta-trend'!$I$2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6.1899999999999998E-4</c:v>
                </c:pt>
                <c:pt idx="2">
                  <c:v>5.7349999999999996E-3</c:v>
                </c:pt>
                <c:pt idx="3">
                  <c:v>-1.1835999999999999E-2</c:v>
                </c:pt>
                <c:pt idx="4">
                  <c:v>-1.2612999999999999E-2</c:v>
                </c:pt>
                <c:pt idx="5">
                  <c:v>-3.1678999999999999E-2</c:v>
                </c:pt>
                <c:pt idx="6">
                  <c:v>-2.7130999999999999E-2</c:v>
                </c:pt>
                <c:pt idx="7">
                  <c:v>-2.3522999999999999E-2</c:v>
                </c:pt>
                <c:pt idx="8">
                  <c:v>-2.0227999999999999E-2</c:v>
                </c:pt>
                <c:pt idx="9">
                  <c:v>-1.6275000000000001E-2</c:v>
                </c:pt>
                <c:pt idx="10">
                  <c:v>-1.4197E-2</c:v>
                </c:pt>
                <c:pt idx="11">
                  <c:v>-1.0923E-2</c:v>
                </c:pt>
                <c:pt idx="12">
                  <c:v>-9.5289999999999993E-3</c:v>
                </c:pt>
                <c:pt idx="13">
                  <c:v>-9.6970000000000008E-3</c:v>
                </c:pt>
                <c:pt idx="14">
                  <c:v>-4.2100000000000002E-3</c:v>
                </c:pt>
                <c:pt idx="15">
                  <c:v>-1.9189999999999999E-2</c:v>
                </c:pt>
                <c:pt idx="16">
                  <c:v>-1.1671000000000001E-2</c:v>
                </c:pt>
                <c:pt idx="17">
                  <c:v>-1.0598E-2</c:v>
                </c:pt>
                <c:pt idx="18">
                  <c:v>-9.7490000000000007E-3</c:v>
                </c:pt>
                <c:pt idx="19">
                  <c:v>-2.9359999999999998E-3</c:v>
                </c:pt>
                <c:pt idx="20">
                  <c:v>5.6550000000000003E-3</c:v>
                </c:pt>
                <c:pt idx="21">
                  <c:v>1.3863E-2</c:v>
                </c:pt>
                <c:pt idx="22">
                  <c:v>1.6650000000000002E-2</c:v>
                </c:pt>
                <c:pt idx="23">
                  <c:v>1.5216E-2</c:v>
                </c:pt>
                <c:pt idx="24">
                  <c:v>2.8715999999999998E-2</c:v>
                </c:pt>
                <c:pt idx="25">
                  <c:v>3.7191000000000002E-2</c:v>
                </c:pt>
                <c:pt idx="26">
                  <c:v>3.5469000000000001E-2</c:v>
                </c:pt>
                <c:pt idx="27">
                  <c:v>3.5193000000000002E-2</c:v>
                </c:pt>
                <c:pt idx="28">
                  <c:v>5.3962000000000003E-2</c:v>
                </c:pt>
                <c:pt idx="29">
                  <c:v>5.5062E-2</c:v>
                </c:pt>
                <c:pt idx="30">
                  <c:v>4.8724000000000003E-2</c:v>
                </c:pt>
                <c:pt idx="31">
                  <c:v>4.8253999999999998E-2</c:v>
                </c:pt>
                <c:pt idx="32">
                  <c:v>6.6409999999999997E-2</c:v>
                </c:pt>
                <c:pt idx="33">
                  <c:v>7.5954999999999995E-2</c:v>
                </c:pt>
                <c:pt idx="34">
                  <c:v>7.6369000000000006E-2</c:v>
                </c:pt>
                <c:pt idx="35">
                  <c:v>5.7632000000000003E-2</c:v>
                </c:pt>
                <c:pt idx="36">
                  <c:v>6.4848000000000003E-2</c:v>
                </c:pt>
                <c:pt idx="37">
                  <c:v>6.7357E-2</c:v>
                </c:pt>
                <c:pt idx="38">
                  <c:v>6.9264000000000006E-2</c:v>
                </c:pt>
                <c:pt idx="39">
                  <c:v>7.0127999999999996E-2</c:v>
                </c:pt>
                <c:pt idx="40">
                  <c:v>7.1475999999999998E-2</c:v>
                </c:pt>
                <c:pt idx="41">
                  <c:v>8.3555000000000004E-2</c:v>
                </c:pt>
                <c:pt idx="42">
                  <c:v>8.5377999999999996E-2</c:v>
                </c:pt>
                <c:pt idx="43">
                  <c:v>8.5786000000000001E-2</c:v>
                </c:pt>
                <c:pt idx="44">
                  <c:v>8.4866999999999998E-2</c:v>
                </c:pt>
                <c:pt idx="45">
                  <c:v>8.3778000000000005E-2</c:v>
                </c:pt>
                <c:pt idx="46">
                  <c:v>9.5174999999999996E-2</c:v>
                </c:pt>
                <c:pt idx="47">
                  <c:v>0.101812</c:v>
                </c:pt>
                <c:pt idx="48">
                  <c:v>9.6759999999999999E-2</c:v>
                </c:pt>
                <c:pt idx="49">
                  <c:v>0.101546</c:v>
                </c:pt>
                <c:pt idx="50">
                  <c:v>0.103145</c:v>
                </c:pt>
                <c:pt idx="51">
                  <c:v>0.107751</c:v>
                </c:pt>
                <c:pt idx="52">
                  <c:v>0.1113</c:v>
                </c:pt>
                <c:pt idx="53">
                  <c:v>0.11724900000000001</c:v>
                </c:pt>
                <c:pt idx="54">
                  <c:v>0.11987200000000001</c:v>
                </c:pt>
                <c:pt idx="55">
                  <c:v>0.12850700000000001</c:v>
                </c:pt>
                <c:pt idx="56">
                  <c:v>0.13111200000000001</c:v>
                </c:pt>
                <c:pt idx="57">
                  <c:v>0.132992</c:v>
                </c:pt>
                <c:pt idx="58">
                  <c:v>0.13822799999999999</c:v>
                </c:pt>
                <c:pt idx="59">
                  <c:v>0.131242</c:v>
                </c:pt>
                <c:pt idx="60">
                  <c:v>0.13669000000000001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B-444A-BC62-78ADF37000B0}"/>
            </c:ext>
          </c:extLst>
        </c:ser>
        <c:ser>
          <c:idx val="1"/>
          <c:order val="2"/>
          <c:tx>
            <c:strRef>
              <c:f>'gemini_delta-trend'!$J$2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-1.4815999999999999E-2</c:v>
                </c:pt>
                <c:pt idx="2">
                  <c:v>-1.6698999999999999E-2</c:v>
                </c:pt>
                <c:pt idx="3">
                  <c:v>-1.4723E-2</c:v>
                </c:pt>
                <c:pt idx="4">
                  <c:v>-1.1723000000000001E-2</c:v>
                </c:pt>
                <c:pt idx="5">
                  <c:v>-1.0919E-2</c:v>
                </c:pt>
                <c:pt idx="6">
                  <c:v>-7.705E-3</c:v>
                </c:pt>
                <c:pt idx="7">
                  <c:v>-6.5449999999999996E-3</c:v>
                </c:pt>
                <c:pt idx="8">
                  <c:v>2.9060000000000002E-3</c:v>
                </c:pt>
                <c:pt idx="9">
                  <c:v>6.5040000000000002E-3</c:v>
                </c:pt>
                <c:pt idx="10">
                  <c:v>9.6209999999999993E-3</c:v>
                </c:pt>
                <c:pt idx="11">
                  <c:v>1.2833000000000001E-2</c:v>
                </c:pt>
                <c:pt idx="12">
                  <c:v>1.1847999999999999E-2</c:v>
                </c:pt>
                <c:pt idx="13">
                  <c:v>1.2186000000000001E-2</c:v>
                </c:pt>
                <c:pt idx="14">
                  <c:v>1.1258000000000001E-2</c:v>
                </c:pt>
                <c:pt idx="15">
                  <c:v>2.9440000000000001E-2</c:v>
                </c:pt>
                <c:pt idx="16">
                  <c:v>3.9238000000000002E-2</c:v>
                </c:pt>
                <c:pt idx="17">
                  <c:v>4.5067000000000003E-2</c:v>
                </c:pt>
                <c:pt idx="18">
                  <c:v>4.7169999999999997E-2</c:v>
                </c:pt>
                <c:pt idx="19">
                  <c:v>4.7252000000000002E-2</c:v>
                </c:pt>
                <c:pt idx="20">
                  <c:v>4.9758999999999998E-2</c:v>
                </c:pt>
                <c:pt idx="21">
                  <c:v>5.2318999999999997E-2</c:v>
                </c:pt>
                <c:pt idx="22">
                  <c:v>5.2734000000000003E-2</c:v>
                </c:pt>
                <c:pt idx="23">
                  <c:v>5.6362000000000002E-2</c:v>
                </c:pt>
                <c:pt idx="24">
                  <c:v>5.8902000000000003E-2</c:v>
                </c:pt>
                <c:pt idx="25">
                  <c:v>6.0850000000000001E-2</c:v>
                </c:pt>
                <c:pt idx="26">
                  <c:v>6.8454000000000001E-2</c:v>
                </c:pt>
                <c:pt idx="27">
                  <c:v>7.0675000000000002E-2</c:v>
                </c:pt>
                <c:pt idx="28">
                  <c:v>6.3841999999999996E-2</c:v>
                </c:pt>
                <c:pt idx="29">
                  <c:v>6.2058000000000002E-2</c:v>
                </c:pt>
                <c:pt idx="30">
                  <c:v>5.5606999999999997E-2</c:v>
                </c:pt>
                <c:pt idx="31">
                  <c:v>5.8761000000000001E-2</c:v>
                </c:pt>
                <c:pt idx="32">
                  <c:v>6.5439999999999998E-2</c:v>
                </c:pt>
                <c:pt idx="33">
                  <c:v>7.2326000000000001E-2</c:v>
                </c:pt>
                <c:pt idx="34">
                  <c:v>6.6847000000000004E-2</c:v>
                </c:pt>
                <c:pt idx="35">
                  <c:v>4.7466000000000001E-2</c:v>
                </c:pt>
                <c:pt idx="36">
                  <c:v>6.4376000000000003E-2</c:v>
                </c:pt>
                <c:pt idx="37">
                  <c:v>6.5869999999999998E-2</c:v>
                </c:pt>
                <c:pt idx="38">
                  <c:v>6.1294000000000001E-2</c:v>
                </c:pt>
                <c:pt idx="39">
                  <c:v>6.5628000000000006E-2</c:v>
                </c:pt>
                <c:pt idx="40">
                  <c:v>6.8532999999999997E-2</c:v>
                </c:pt>
                <c:pt idx="41">
                  <c:v>7.9562999999999995E-2</c:v>
                </c:pt>
                <c:pt idx="42">
                  <c:v>8.5930000000000006E-2</c:v>
                </c:pt>
                <c:pt idx="43">
                  <c:v>9.1047000000000003E-2</c:v>
                </c:pt>
                <c:pt idx="44">
                  <c:v>8.8623999999999994E-2</c:v>
                </c:pt>
                <c:pt idx="45">
                  <c:v>9.1073000000000001E-2</c:v>
                </c:pt>
                <c:pt idx="46">
                  <c:v>9.2663999999999996E-2</c:v>
                </c:pt>
                <c:pt idx="47">
                  <c:v>0.104034</c:v>
                </c:pt>
                <c:pt idx="48">
                  <c:v>0.10627</c:v>
                </c:pt>
                <c:pt idx="49">
                  <c:v>0.111469</c:v>
                </c:pt>
                <c:pt idx="50">
                  <c:v>0.11569500000000001</c:v>
                </c:pt>
                <c:pt idx="51">
                  <c:v>0.118586</c:v>
                </c:pt>
                <c:pt idx="52">
                  <c:v>0.12957099999999999</c:v>
                </c:pt>
                <c:pt idx="53">
                  <c:v>0.13684399999999999</c:v>
                </c:pt>
                <c:pt idx="54">
                  <c:v>0.147033</c:v>
                </c:pt>
                <c:pt idx="55">
                  <c:v>0.15040500000000001</c:v>
                </c:pt>
                <c:pt idx="56">
                  <c:v>0.153221</c:v>
                </c:pt>
                <c:pt idx="57">
                  <c:v>0.17272499999999999</c:v>
                </c:pt>
                <c:pt idx="58">
                  <c:v>0.17848800000000001</c:v>
                </c:pt>
                <c:pt idx="59">
                  <c:v>0.19411800000000001</c:v>
                </c:pt>
                <c:pt idx="60">
                  <c:v>0.208563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1BB-444A-BC62-78ADF37000B0}"/>
            </c:ext>
          </c:extLst>
        </c:ser>
        <c:ser>
          <c:idx val="2"/>
          <c:order val="3"/>
          <c:tx>
            <c:strRef>
              <c:f>'gemini_delta-trend'!$K$2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'gemini_delta-trend'!$K$3:$K$64</c:f>
              <c:numCache>
                <c:formatCode>General</c:formatCode>
                <c:ptCount val="62"/>
                <c:pt idx="0">
                  <c:v>0</c:v>
                </c:pt>
                <c:pt idx="1">
                  <c:v>1.5300000000000001E-4</c:v>
                </c:pt>
                <c:pt idx="2">
                  <c:v>4.8710000000000003E-3</c:v>
                </c:pt>
                <c:pt idx="3">
                  <c:v>4.3680000000000004E-3</c:v>
                </c:pt>
                <c:pt idx="4">
                  <c:v>9.5989999999999999E-3</c:v>
                </c:pt>
                <c:pt idx="5">
                  <c:v>-5.1989999999999996E-3</c:v>
                </c:pt>
                <c:pt idx="6">
                  <c:v>-2.6189999999999998E-3</c:v>
                </c:pt>
                <c:pt idx="7">
                  <c:v>7.2499999999999995E-4</c:v>
                </c:pt>
                <c:pt idx="8">
                  <c:v>1.0817999999999999E-2</c:v>
                </c:pt>
                <c:pt idx="9">
                  <c:v>1.2045999999999999E-2</c:v>
                </c:pt>
                <c:pt idx="10">
                  <c:v>1.5706999999999999E-2</c:v>
                </c:pt>
                <c:pt idx="11">
                  <c:v>1.5741000000000002E-2</c:v>
                </c:pt>
                <c:pt idx="12">
                  <c:v>1.9033000000000001E-2</c:v>
                </c:pt>
                <c:pt idx="13">
                  <c:v>2.5121999999999998E-2</c:v>
                </c:pt>
                <c:pt idx="14">
                  <c:v>2.8879999999999999E-2</c:v>
                </c:pt>
                <c:pt idx="15">
                  <c:v>2.9871000000000002E-2</c:v>
                </c:pt>
                <c:pt idx="16">
                  <c:v>2.8617E-2</c:v>
                </c:pt>
                <c:pt idx="17">
                  <c:v>3.2661999999999997E-2</c:v>
                </c:pt>
                <c:pt idx="18">
                  <c:v>3.7339999999999998E-2</c:v>
                </c:pt>
                <c:pt idx="19">
                  <c:v>3.9907999999999999E-2</c:v>
                </c:pt>
                <c:pt idx="20">
                  <c:v>4.4166999999999998E-2</c:v>
                </c:pt>
                <c:pt idx="21">
                  <c:v>4.4616999999999997E-2</c:v>
                </c:pt>
                <c:pt idx="22">
                  <c:v>3.2965000000000001E-2</c:v>
                </c:pt>
                <c:pt idx="23">
                  <c:v>3.8256999999999999E-2</c:v>
                </c:pt>
                <c:pt idx="24">
                  <c:v>4.4006000000000003E-2</c:v>
                </c:pt>
                <c:pt idx="25">
                  <c:v>5.237E-2</c:v>
                </c:pt>
                <c:pt idx="26">
                  <c:v>5.4751000000000001E-2</c:v>
                </c:pt>
                <c:pt idx="27">
                  <c:v>5.5538999999999998E-2</c:v>
                </c:pt>
                <c:pt idx="28">
                  <c:v>4.5671999999999997E-2</c:v>
                </c:pt>
                <c:pt idx="29">
                  <c:v>5.0411999999999998E-2</c:v>
                </c:pt>
                <c:pt idx="30">
                  <c:v>3.5207000000000002E-2</c:v>
                </c:pt>
                <c:pt idx="31">
                  <c:v>3.0041999999999999E-2</c:v>
                </c:pt>
                <c:pt idx="32">
                  <c:v>2.3727999999999999E-2</c:v>
                </c:pt>
                <c:pt idx="33">
                  <c:v>2.2672999999999999E-2</c:v>
                </c:pt>
                <c:pt idx="34">
                  <c:v>2.6898999999999999E-2</c:v>
                </c:pt>
                <c:pt idx="35">
                  <c:v>8.2170000000000003E-3</c:v>
                </c:pt>
                <c:pt idx="36">
                  <c:v>6.9049999999999997E-3</c:v>
                </c:pt>
                <c:pt idx="37">
                  <c:v>9.8700000000000003E-3</c:v>
                </c:pt>
                <c:pt idx="38">
                  <c:v>1.507E-2</c:v>
                </c:pt>
                <c:pt idx="39">
                  <c:v>2.1468999999999999E-2</c:v>
                </c:pt>
                <c:pt idx="40">
                  <c:v>2.8178000000000002E-2</c:v>
                </c:pt>
                <c:pt idx="41">
                  <c:v>3.1959000000000001E-2</c:v>
                </c:pt>
                <c:pt idx="42">
                  <c:v>3.8425000000000001E-2</c:v>
                </c:pt>
                <c:pt idx="43">
                  <c:v>4.4493999999999999E-2</c:v>
                </c:pt>
                <c:pt idx="44">
                  <c:v>4.6240999999999997E-2</c:v>
                </c:pt>
                <c:pt idx="45">
                  <c:v>5.8290000000000002E-2</c:v>
                </c:pt>
                <c:pt idx="46">
                  <c:v>6.1163000000000002E-2</c:v>
                </c:pt>
                <c:pt idx="47">
                  <c:v>9.0679999999999997E-2</c:v>
                </c:pt>
                <c:pt idx="48">
                  <c:v>0.104005</c:v>
                </c:pt>
                <c:pt idx="49">
                  <c:v>0.112613</c:v>
                </c:pt>
                <c:pt idx="50">
                  <c:v>0.115955</c:v>
                </c:pt>
                <c:pt idx="51">
                  <c:v>0.121838</c:v>
                </c:pt>
                <c:pt idx="52">
                  <c:v>0.147005</c:v>
                </c:pt>
                <c:pt idx="53">
                  <c:v>0.15657599999999999</c:v>
                </c:pt>
                <c:pt idx="54">
                  <c:v>0.16114300000000001</c:v>
                </c:pt>
                <c:pt idx="55">
                  <c:v>0.17019999999999999</c:v>
                </c:pt>
                <c:pt idx="56">
                  <c:v>0.172291</c:v>
                </c:pt>
                <c:pt idx="57">
                  <c:v>0.174536</c:v>
                </c:pt>
                <c:pt idx="58">
                  <c:v>0.18263799999999999</c:v>
                </c:pt>
                <c:pt idx="59">
                  <c:v>0.134656</c:v>
                </c:pt>
                <c:pt idx="60">
                  <c:v>0.168457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1BB-444A-BC62-78ADF37000B0}"/>
            </c:ext>
          </c:extLst>
        </c:ser>
        <c:ser>
          <c:idx val="3"/>
          <c:order val="4"/>
          <c:tx>
            <c:strRef>
              <c:f>'gemini_delta-trend'!$L$2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-4.6600000000000001E-3</c:v>
                </c:pt>
                <c:pt idx="2">
                  <c:v>-5.9839999999999997E-3</c:v>
                </c:pt>
                <c:pt idx="3">
                  <c:v>-1.0423E-2</c:v>
                </c:pt>
                <c:pt idx="4">
                  <c:v>-1.1502999999999999E-2</c:v>
                </c:pt>
                <c:pt idx="5">
                  <c:v>-1.2598E-2</c:v>
                </c:pt>
                <c:pt idx="6">
                  <c:v>-1.5357000000000001E-2</c:v>
                </c:pt>
                <c:pt idx="7">
                  <c:v>-2.0351999999999999E-2</c:v>
                </c:pt>
                <c:pt idx="8">
                  <c:v>-2.1142000000000001E-2</c:v>
                </c:pt>
                <c:pt idx="9">
                  <c:v>-3.7073000000000002E-2</c:v>
                </c:pt>
                <c:pt idx="10">
                  <c:v>-3.9098000000000001E-2</c:v>
                </c:pt>
                <c:pt idx="11">
                  <c:v>-3.9738999999999997E-2</c:v>
                </c:pt>
                <c:pt idx="12">
                  <c:v>-4.2784000000000003E-2</c:v>
                </c:pt>
                <c:pt idx="13">
                  <c:v>-4.7010999999999997E-2</c:v>
                </c:pt>
                <c:pt idx="14">
                  <c:v>-4.7921999999999999E-2</c:v>
                </c:pt>
                <c:pt idx="15">
                  <c:v>-7.6006000000000004E-2</c:v>
                </c:pt>
                <c:pt idx="16">
                  <c:v>-9.7245999999999999E-2</c:v>
                </c:pt>
                <c:pt idx="17">
                  <c:v>-0.110886</c:v>
                </c:pt>
                <c:pt idx="18">
                  <c:v>-0.114941</c:v>
                </c:pt>
                <c:pt idx="19">
                  <c:v>-0.119146</c:v>
                </c:pt>
                <c:pt idx="20">
                  <c:v>-0.121254</c:v>
                </c:pt>
                <c:pt idx="21">
                  <c:v>-0.12239800000000001</c:v>
                </c:pt>
                <c:pt idx="22">
                  <c:v>-0.12282899999999999</c:v>
                </c:pt>
                <c:pt idx="23">
                  <c:v>-0.125336</c:v>
                </c:pt>
                <c:pt idx="24">
                  <c:v>-0.13066900000000001</c:v>
                </c:pt>
                <c:pt idx="25">
                  <c:v>-0.132853</c:v>
                </c:pt>
                <c:pt idx="26">
                  <c:v>-0.139457</c:v>
                </c:pt>
                <c:pt idx="27">
                  <c:v>-0.14329700000000001</c:v>
                </c:pt>
                <c:pt idx="28">
                  <c:v>-0.144982</c:v>
                </c:pt>
                <c:pt idx="29">
                  <c:v>-0.14580499999999999</c:v>
                </c:pt>
                <c:pt idx="30">
                  <c:v>-0.14848900000000001</c:v>
                </c:pt>
                <c:pt idx="31">
                  <c:v>-0.15153</c:v>
                </c:pt>
                <c:pt idx="32">
                  <c:v>-0.15498700000000001</c:v>
                </c:pt>
                <c:pt idx="33">
                  <c:v>-0.17829500000000001</c:v>
                </c:pt>
                <c:pt idx="34">
                  <c:v>-0.19603599999999999</c:v>
                </c:pt>
                <c:pt idx="35">
                  <c:v>-0.19785800000000001</c:v>
                </c:pt>
                <c:pt idx="36">
                  <c:v>-0.20180600000000001</c:v>
                </c:pt>
                <c:pt idx="37">
                  <c:v>-0.20718700000000001</c:v>
                </c:pt>
                <c:pt idx="38">
                  <c:v>-0.210536</c:v>
                </c:pt>
                <c:pt idx="39">
                  <c:v>-0.21115800000000001</c:v>
                </c:pt>
                <c:pt idx="40">
                  <c:v>-0.212897</c:v>
                </c:pt>
                <c:pt idx="41">
                  <c:v>-0.21531400000000001</c:v>
                </c:pt>
                <c:pt idx="42">
                  <c:v>-0.22176999999999999</c:v>
                </c:pt>
                <c:pt idx="43">
                  <c:v>-0.22966900000000001</c:v>
                </c:pt>
                <c:pt idx="44">
                  <c:v>-0.231544</c:v>
                </c:pt>
                <c:pt idx="45">
                  <c:v>-0.23371500000000001</c:v>
                </c:pt>
                <c:pt idx="46">
                  <c:v>-0.23647699999999999</c:v>
                </c:pt>
                <c:pt idx="47">
                  <c:v>-0.23785999999999999</c:v>
                </c:pt>
                <c:pt idx="48">
                  <c:v>-0.238873</c:v>
                </c:pt>
                <c:pt idx="49">
                  <c:v>-0.24183499999999999</c:v>
                </c:pt>
                <c:pt idx="50">
                  <c:v>-0.245064</c:v>
                </c:pt>
                <c:pt idx="51">
                  <c:v>-0.246813</c:v>
                </c:pt>
                <c:pt idx="52">
                  <c:v>-0.246918</c:v>
                </c:pt>
                <c:pt idx="53">
                  <c:v>-0.247253</c:v>
                </c:pt>
                <c:pt idx="54">
                  <c:v>-0.24834700000000001</c:v>
                </c:pt>
                <c:pt idx="55">
                  <c:v>-0.24954100000000001</c:v>
                </c:pt>
                <c:pt idx="56">
                  <c:v>-0.250666</c:v>
                </c:pt>
                <c:pt idx="57">
                  <c:v>-0.25274799999999997</c:v>
                </c:pt>
                <c:pt idx="58">
                  <c:v>-0.25512800000000002</c:v>
                </c:pt>
                <c:pt idx="59">
                  <c:v>-0.25620399999999999</c:v>
                </c:pt>
                <c:pt idx="60">
                  <c:v>-0.25800200000000001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1BB-444A-BC62-78ADF3700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-0.16297800000000001</c:v>
                </c:pt>
                <c:pt idx="2">
                  <c:v>-0.24582599999999999</c:v>
                </c:pt>
                <c:pt idx="3">
                  <c:v>-0.27609600000000001</c:v>
                </c:pt>
                <c:pt idx="4">
                  <c:v>-0.286939</c:v>
                </c:pt>
                <c:pt idx="5">
                  <c:v>-0.29638500000000001</c:v>
                </c:pt>
                <c:pt idx="6">
                  <c:v>-0.30784</c:v>
                </c:pt>
                <c:pt idx="7">
                  <c:v>-0.32052799999999998</c:v>
                </c:pt>
                <c:pt idx="8">
                  <c:v>-0.33213999999999999</c:v>
                </c:pt>
                <c:pt idx="9">
                  <c:v>-0.34492099999999998</c:v>
                </c:pt>
                <c:pt idx="10">
                  <c:v>-0.40773100000000001</c:v>
                </c:pt>
                <c:pt idx="11">
                  <c:v>-0.47291499999999997</c:v>
                </c:pt>
                <c:pt idx="12">
                  <c:v>-0.482956</c:v>
                </c:pt>
                <c:pt idx="13">
                  <c:v>-0.489203</c:v>
                </c:pt>
                <c:pt idx="14">
                  <c:v>-0.49775900000000001</c:v>
                </c:pt>
                <c:pt idx="15">
                  <c:v>-0.51297099999999995</c:v>
                </c:pt>
                <c:pt idx="16">
                  <c:v>-0.52842999999999996</c:v>
                </c:pt>
                <c:pt idx="17">
                  <c:v>-0.55148399999999997</c:v>
                </c:pt>
                <c:pt idx="18">
                  <c:v>-0.57213999999999998</c:v>
                </c:pt>
                <c:pt idx="19">
                  <c:v>-0.57768299999999995</c:v>
                </c:pt>
                <c:pt idx="20">
                  <c:v>-0.586229</c:v>
                </c:pt>
                <c:pt idx="21">
                  <c:v>-0.59004999999999996</c:v>
                </c:pt>
                <c:pt idx="22">
                  <c:v>-0.592136</c:v>
                </c:pt>
                <c:pt idx="23">
                  <c:v>-0.59439900000000001</c:v>
                </c:pt>
                <c:pt idx="24">
                  <c:v>-0.60275599999999996</c:v>
                </c:pt>
                <c:pt idx="25">
                  <c:v>-0.61558199999999996</c:v>
                </c:pt>
                <c:pt idx="26">
                  <c:v>-0.61974499999999999</c:v>
                </c:pt>
                <c:pt idx="27">
                  <c:v>-0.62192800000000004</c:v>
                </c:pt>
                <c:pt idx="28">
                  <c:v>-0.62377700000000003</c:v>
                </c:pt>
                <c:pt idx="29">
                  <c:v>-0.62402800000000003</c:v>
                </c:pt>
                <c:pt idx="30">
                  <c:v>-0.63039599999999996</c:v>
                </c:pt>
                <c:pt idx="31">
                  <c:v>-0.63286699999999996</c:v>
                </c:pt>
                <c:pt idx="32">
                  <c:v>-0.64764200000000005</c:v>
                </c:pt>
                <c:pt idx="33">
                  <c:v>-0.65469699999999997</c:v>
                </c:pt>
                <c:pt idx="34">
                  <c:v>-0.66105999999999998</c:v>
                </c:pt>
                <c:pt idx="35">
                  <c:v>-0.66744700000000001</c:v>
                </c:pt>
                <c:pt idx="36">
                  <c:v>-0.66813</c:v>
                </c:pt>
                <c:pt idx="37">
                  <c:v>-0.66849000000000003</c:v>
                </c:pt>
                <c:pt idx="38">
                  <c:v>-0.68412300000000004</c:v>
                </c:pt>
                <c:pt idx="39">
                  <c:v>-0.69196800000000003</c:v>
                </c:pt>
                <c:pt idx="40">
                  <c:v>-0.69648500000000002</c:v>
                </c:pt>
                <c:pt idx="41">
                  <c:v>-0.71851799999999999</c:v>
                </c:pt>
                <c:pt idx="42">
                  <c:v>-0.72344799999999998</c:v>
                </c:pt>
                <c:pt idx="43">
                  <c:v>-0.72545700000000002</c:v>
                </c:pt>
                <c:pt idx="44">
                  <c:v>-0.72585999999999995</c:v>
                </c:pt>
                <c:pt idx="45">
                  <c:v>-0.726217</c:v>
                </c:pt>
                <c:pt idx="46">
                  <c:v>-0.73257000000000005</c:v>
                </c:pt>
                <c:pt idx="47">
                  <c:v>-0.733599</c:v>
                </c:pt>
                <c:pt idx="48">
                  <c:v>-0.75048599999999999</c:v>
                </c:pt>
                <c:pt idx="49">
                  <c:v>-0.75039599999999995</c:v>
                </c:pt>
                <c:pt idx="50">
                  <c:v>-0.75644599999999995</c:v>
                </c:pt>
                <c:pt idx="51">
                  <c:v>-0.75809199999999999</c:v>
                </c:pt>
                <c:pt idx="52">
                  <c:v>-0.75717800000000002</c:v>
                </c:pt>
                <c:pt idx="53">
                  <c:v>-0.76407499999999995</c:v>
                </c:pt>
                <c:pt idx="54">
                  <c:v>-0.76304300000000003</c:v>
                </c:pt>
                <c:pt idx="55">
                  <c:v>-0.76319899999999996</c:v>
                </c:pt>
                <c:pt idx="56">
                  <c:v>-0.77988299999999999</c:v>
                </c:pt>
                <c:pt idx="57">
                  <c:v>-0.77977300000000005</c:v>
                </c:pt>
                <c:pt idx="58">
                  <c:v>-0.78341400000000005</c:v>
                </c:pt>
                <c:pt idx="59">
                  <c:v>-0.78402099999999997</c:v>
                </c:pt>
                <c:pt idx="60">
                  <c:v>-0.78947299999999998</c:v>
                </c:pt>
                <c:pt idx="61">
                  <c:v>-0.79353099999999999</c:v>
                </c:pt>
                <c:pt idx="62">
                  <c:v>-0.79550600000000005</c:v>
                </c:pt>
                <c:pt idx="63">
                  <c:v>-0.79772900000000002</c:v>
                </c:pt>
                <c:pt idx="64">
                  <c:v>-0.80438900000000002</c:v>
                </c:pt>
                <c:pt idx="65">
                  <c:v>-0.81750900000000004</c:v>
                </c:pt>
                <c:pt idx="66">
                  <c:v>-0.82034200000000002</c:v>
                </c:pt>
                <c:pt idx="67">
                  <c:v>-0.82038199999999994</c:v>
                </c:pt>
                <c:pt idx="68">
                  <c:v>-0.82617399999999996</c:v>
                </c:pt>
                <c:pt idx="69">
                  <c:v>-0.82249700000000003</c:v>
                </c:pt>
                <c:pt idx="70">
                  <c:v>-0.82440800000000003</c:v>
                </c:pt>
                <c:pt idx="71">
                  <c:v>-0.84248699999999999</c:v>
                </c:pt>
                <c:pt idx="72">
                  <c:v>-0.84248500000000004</c:v>
                </c:pt>
                <c:pt idx="73">
                  <c:v>-0.84431199999999995</c:v>
                </c:pt>
                <c:pt idx="74">
                  <c:v>-0.84618099999999996</c:v>
                </c:pt>
                <c:pt idx="75">
                  <c:v>-0.83724200000000004</c:v>
                </c:pt>
                <c:pt idx="76">
                  <c:v>-0.86990199999999995</c:v>
                </c:pt>
                <c:pt idx="77">
                  <c:v>-0.86634800000000001</c:v>
                </c:pt>
                <c:pt idx="78">
                  <c:v>-0.87327399999999999</c:v>
                </c:pt>
                <c:pt idx="79">
                  <c:v>-0.88244500000000003</c:v>
                </c:pt>
                <c:pt idx="80">
                  <c:v>-0.88395599999999996</c:v>
                </c:pt>
                <c:pt idx="81">
                  <c:v>-0.886741</c:v>
                </c:pt>
                <c:pt idx="82">
                  <c:v>-0.88530500000000001</c:v>
                </c:pt>
                <c:pt idx="83">
                  <c:v>-0.88930900000000002</c:v>
                </c:pt>
                <c:pt idx="84">
                  <c:v>-0.90041499999999997</c:v>
                </c:pt>
                <c:pt idx="85">
                  <c:v>-0.90325800000000001</c:v>
                </c:pt>
                <c:pt idx="86">
                  <c:v>-0.89852100000000001</c:v>
                </c:pt>
                <c:pt idx="87">
                  <c:v>-0.89550700000000005</c:v>
                </c:pt>
                <c:pt idx="88">
                  <c:v>-0.92108000000000001</c:v>
                </c:pt>
                <c:pt idx="89">
                  <c:v>-0.91811699999999996</c:v>
                </c:pt>
                <c:pt idx="90">
                  <c:v>-0.930419</c:v>
                </c:pt>
                <c:pt idx="91">
                  <c:v>-0.91947900000000005</c:v>
                </c:pt>
                <c:pt idx="92">
                  <c:v>-0.94284400000000002</c:v>
                </c:pt>
                <c:pt idx="93">
                  <c:v>-0.94842400000000004</c:v>
                </c:pt>
                <c:pt idx="94">
                  <c:v>-0.94402699999999995</c:v>
                </c:pt>
                <c:pt idx="95">
                  <c:v>-0.95042300000000002</c:v>
                </c:pt>
                <c:pt idx="96">
                  <c:v>-0.96353200000000006</c:v>
                </c:pt>
                <c:pt idx="97">
                  <c:v>-0.96969899999999998</c:v>
                </c:pt>
                <c:pt idx="98">
                  <c:v>-0.96162300000000001</c:v>
                </c:pt>
                <c:pt idx="99">
                  <c:v>-0.97634399999999999</c:v>
                </c:pt>
                <c:pt idx="100">
                  <c:v>-0.96533599999999997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E4-C946-9910-10A2718F03A8}"/>
            </c:ext>
          </c:extLst>
        </c:ser>
        <c:ser>
          <c:idx val="4"/>
          <c:order val="1"/>
          <c:tx>
            <c:strRef>
              <c:f>'gemini_delta-trend'!$O$2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-9.9307000000000006E-2</c:v>
                </c:pt>
                <c:pt idx="2">
                  <c:v>-0.173869</c:v>
                </c:pt>
                <c:pt idx="3">
                  <c:v>-0.20075200000000001</c:v>
                </c:pt>
                <c:pt idx="4">
                  <c:v>-0.20866699999999999</c:v>
                </c:pt>
                <c:pt idx="5">
                  <c:v>-0.21884400000000001</c:v>
                </c:pt>
                <c:pt idx="6">
                  <c:v>-0.21610399999999999</c:v>
                </c:pt>
                <c:pt idx="7">
                  <c:v>-0.23777999999999999</c:v>
                </c:pt>
                <c:pt idx="8">
                  <c:v>-0.23601900000000001</c:v>
                </c:pt>
                <c:pt idx="9">
                  <c:v>-0.25044699999999998</c:v>
                </c:pt>
                <c:pt idx="10">
                  <c:v>-0.35729699999999998</c:v>
                </c:pt>
                <c:pt idx="11">
                  <c:v>-0.362599</c:v>
                </c:pt>
                <c:pt idx="12">
                  <c:v>-0.38847100000000001</c:v>
                </c:pt>
                <c:pt idx="13">
                  <c:v>-0.40465600000000002</c:v>
                </c:pt>
                <c:pt idx="14">
                  <c:v>-0.41593000000000002</c:v>
                </c:pt>
                <c:pt idx="15">
                  <c:v>-0.433006</c:v>
                </c:pt>
                <c:pt idx="16">
                  <c:v>-0.45334999999999998</c:v>
                </c:pt>
                <c:pt idx="17">
                  <c:v>-0.46279599999999999</c:v>
                </c:pt>
                <c:pt idx="18">
                  <c:v>-0.49012699999999998</c:v>
                </c:pt>
                <c:pt idx="19">
                  <c:v>-0.46679700000000002</c:v>
                </c:pt>
                <c:pt idx="20">
                  <c:v>-0.49234699999999998</c:v>
                </c:pt>
                <c:pt idx="21">
                  <c:v>-0.48829899999999998</c:v>
                </c:pt>
                <c:pt idx="22">
                  <c:v>-0.48472199999999999</c:v>
                </c:pt>
                <c:pt idx="23">
                  <c:v>-0.49791800000000003</c:v>
                </c:pt>
                <c:pt idx="24">
                  <c:v>-0.50880700000000001</c:v>
                </c:pt>
                <c:pt idx="25">
                  <c:v>-0.51807499999999995</c:v>
                </c:pt>
                <c:pt idx="26">
                  <c:v>-0.51309899999999997</c:v>
                </c:pt>
                <c:pt idx="27">
                  <c:v>-0.51534100000000005</c:v>
                </c:pt>
                <c:pt idx="28">
                  <c:v>-0.51350700000000005</c:v>
                </c:pt>
                <c:pt idx="29">
                  <c:v>-0.50463899999999995</c:v>
                </c:pt>
                <c:pt idx="30">
                  <c:v>-0.50835300000000005</c:v>
                </c:pt>
                <c:pt idx="31">
                  <c:v>-0.52330600000000005</c:v>
                </c:pt>
                <c:pt idx="32">
                  <c:v>-0.53795800000000005</c:v>
                </c:pt>
                <c:pt idx="33">
                  <c:v>-0.54788499999999996</c:v>
                </c:pt>
                <c:pt idx="34">
                  <c:v>-0.55284699999999998</c:v>
                </c:pt>
                <c:pt idx="35">
                  <c:v>-0.52400999999999998</c:v>
                </c:pt>
                <c:pt idx="36">
                  <c:v>-0.48958699999999999</c:v>
                </c:pt>
                <c:pt idx="37">
                  <c:v>-0.50522100000000003</c:v>
                </c:pt>
                <c:pt idx="38">
                  <c:v>-0.46477000000000002</c:v>
                </c:pt>
                <c:pt idx="39">
                  <c:v>-0.50674600000000003</c:v>
                </c:pt>
                <c:pt idx="40">
                  <c:v>-0.52012899999999995</c:v>
                </c:pt>
                <c:pt idx="41">
                  <c:v>-0.56191899999999995</c:v>
                </c:pt>
                <c:pt idx="42">
                  <c:v>-0.63694899999999999</c:v>
                </c:pt>
                <c:pt idx="43">
                  <c:v>-0.64041199999999998</c:v>
                </c:pt>
                <c:pt idx="44">
                  <c:v>-0.65079299999999995</c:v>
                </c:pt>
                <c:pt idx="45">
                  <c:v>-0.62543899999999997</c:v>
                </c:pt>
                <c:pt idx="46">
                  <c:v>-0.66006100000000001</c:v>
                </c:pt>
                <c:pt idx="47">
                  <c:v>-0.64410199999999995</c:v>
                </c:pt>
                <c:pt idx="48">
                  <c:v>-0.66257600000000005</c:v>
                </c:pt>
                <c:pt idx="49">
                  <c:v>-0.66310500000000006</c:v>
                </c:pt>
                <c:pt idx="50">
                  <c:v>-0.67803999999999998</c:v>
                </c:pt>
                <c:pt idx="51">
                  <c:v>-0.67049000000000003</c:v>
                </c:pt>
                <c:pt idx="52">
                  <c:v>-0.67255299999999996</c:v>
                </c:pt>
                <c:pt idx="53">
                  <c:v>-0.68476499999999996</c:v>
                </c:pt>
                <c:pt idx="54">
                  <c:v>-0.67613199999999996</c:v>
                </c:pt>
                <c:pt idx="55">
                  <c:v>-0.68628699999999998</c:v>
                </c:pt>
                <c:pt idx="56">
                  <c:v>-0.68811699999999998</c:v>
                </c:pt>
                <c:pt idx="57">
                  <c:v>-0.69000799999999995</c:v>
                </c:pt>
                <c:pt idx="58">
                  <c:v>-0.67173300000000002</c:v>
                </c:pt>
                <c:pt idx="59">
                  <c:v>-0.67518999999999996</c:v>
                </c:pt>
                <c:pt idx="60">
                  <c:v>-0.72119200000000006</c:v>
                </c:pt>
                <c:pt idx="61">
                  <c:v>-0.72933400000000004</c:v>
                </c:pt>
                <c:pt idx="62">
                  <c:v>-0.724074</c:v>
                </c:pt>
                <c:pt idx="63">
                  <c:v>-0.72787000000000002</c:v>
                </c:pt>
                <c:pt idx="64">
                  <c:v>-0.73428099999999996</c:v>
                </c:pt>
                <c:pt idx="65">
                  <c:v>-0.73586600000000002</c:v>
                </c:pt>
                <c:pt idx="66">
                  <c:v>-0.73515200000000003</c:v>
                </c:pt>
                <c:pt idx="67">
                  <c:v>-0.74421199999999998</c:v>
                </c:pt>
                <c:pt idx="68">
                  <c:v>-0.74343800000000004</c:v>
                </c:pt>
                <c:pt idx="69">
                  <c:v>-0.750031</c:v>
                </c:pt>
                <c:pt idx="70">
                  <c:v>-0.75302500000000006</c:v>
                </c:pt>
                <c:pt idx="71">
                  <c:v>-0.75255099999999997</c:v>
                </c:pt>
                <c:pt idx="72">
                  <c:v>-0.71839900000000001</c:v>
                </c:pt>
                <c:pt idx="73">
                  <c:v>-0.76349900000000004</c:v>
                </c:pt>
                <c:pt idx="74">
                  <c:v>-0.77768199999999998</c:v>
                </c:pt>
                <c:pt idx="75">
                  <c:v>-0.76714199999999999</c:v>
                </c:pt>
                <c:pt idx="76">
                  <c:v>-0.760046</c:v>
                </c:pt>
                <c:pt idx="77">
                  <c:v>-0.77440799999999999</c:v>
                </c:pt>
                <c:pt idx="78">
                  <c:v>-0.76912999999999998</c:v>
                </c:pt>
                <c:pt idx="79">
                  <c:v>-0.80436200000000002</c:v>
                </c:pt>
                <c:pt idx="80">
                  <c:v>-0.78378800000000004</c:v>
                </c:pt>
                <c:pt idx="81">
                  <c:v>-0.78738799999999998</c:v>
                </c:pt>
                <c:pt idx="82">
                  <c:v>-0.80367100000000002</c:v>
                </c:pt>
                <c:pt idx="83">
                  <c:v>-0.79139400000000004</c:v>
                </c:pt>
                <c:pt idx="84">
                  <c:v>-0.80696999999999997</c:v>
                </c:pt>
                <c:pt idx="85">
                  <c:v>-0.73008899999999999</c:v>
                </c:pt>
                <c:pt idx="86">
                  <c:v>-0.77736099999999997</c:v>
                </c:pt>
                <c:pt idx="87">
                  <c:v>-0.76844999999999997</c:v>
                </c:pt>
                <c:pt idx="88">
                  <c:v>-0.79658099999999998</c:v>
                </c:pt>
                <c:pt idx="89">
                  <c:v>-0.82223400000000002</c:v>
                </c:pt>
                <c:pt idx="90">
                  <c:v>-0.80335000000000001</c:v>
                </c:pt>
                <c:pt idx="91">
                  <c:v>-0.80967900000000004</c:v>
                </c:pt>
                <c:pt idx="92">
                  <c:v>-0.81601400000000002</c:v>
                </c:pt>
                <c:pt idx="93">
                  <c:v>-0.78371599999999997</c:v>
                </c:pt>
                <c:pt idx="94">
                  <c:v>-0.8276</c:v>
                </c:pt>
                <c:pt idx="95">
                  <c:v>-0.82120700000000002</c:v>
                </c:pt>
                <c:pt idx="96">
                  <c:v>-0.83645199999999997</c:v>
                </c:pt>
                <c:pt idx="97">
                  <c:v>-0.84242600000000001</c:v>
                </c:pt>
                <c:pt idx="98">
                  <c:v>-0.83081300000000002</c:v>
                </c:pt>
                <c:pt idx="99">
                  <c:v>-0.86101300000000003</c:v>
                </c:pt>
                <c:pt idx="100">
                  <c:v>-0.85173100000000002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4-C946-9910-10A2718F03A8}"/>
            </c:ext>
          </c:extLst>
        </c:ser>
        <c:ser>
          <c:idx val="1"/>
          <c:order val="2"/>
          <c:tx>
            <c:strRef>
              <c:f>'gemini_delta-trend'!$P$2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-0.120939</c:v>
                </c:pt>
                <c:pt idx="3">
                  <c:v>-0.24698300000000001</c:v>
                </c:pt>
                <c:pt idx="4">
                  <c:v>-0.28446399999999999</c:v>
                </c:pt>
                <c:pt idx="5">
                  <c:v>-0.28740500000000002</c:v>
                </c:pt>
                <c:pt idx="6">
                  <c:v>-0.30526599999999998</c:v>
                </c:pt>
                <c:pt idx="7">
                  <c:v>-0.298651</c:v>
                </c:pt>
                <c:pt idx="8">
                  <c:v>-0.294437</c:v>
                </c:pt>
                <c:pt idx="9">
                  <c:v>-0.28421400000000002</c:v>
                </c:pt>
                <c:pt idx="10">
                  <c:v>-0.28894799999999998</c:v>
                </c:pt>
                <c:pt idx="11">
                  <c:v>-0.33011800000000002</c:v>
                </c:pt>
                <c:pt idx="12">
                  <c:v>-0.31475900000000001</c:v>
                </c:pt>
                <c:pt idx="13">
                  <c:v>-0.29758299999999999</c:v>
                </c:pt>
                <c:pt idx="14">
                  <c:v>-0.323882</c:v>
                </c:pt>
                <c:pt idx="15">
                  <c:v>-0.33624599999999999</c:v>
                </c:pt>
                <c:pt idx="16">
                  <c:v>-0.34664499999999998</c:v>
                </c:pt>
                <c:pt idx="17">
                  <c:v>-0.375718</c:v>
                </c:pt>
                <c:pt idx="18">
                  <c:v>-0.39700400000000002</c:v>
                </c:pt>
                <c:pt idx="19">
                  <c:v>-0.37015300000000001</c:v>
                </c:pt>
                <c:pt idx="20">
                  <c:v>-0.394289</c:v>
                </c:pt>
                <c:pt idx="21">
                  <c:v>-0.391486</c:v>
                </c:pt>
                <c:pt idx="22">
                  <c:v>-0.38776500000000003</c:v>
                </c:pt>
                <c:pt idx="23">
                  <c:v>-0.395397</c:v>
                </c:pt>
                <c:pt idx="24">
                  <c:v>-0.41220699999999999</c:v>
                </c:pt>
                <c:pt idx="25">
                  <c:v>-0.42371199999999998</c:v>
                </c:pt>
                <c:pt idx="26">
                  <c:v>-0.413441</c:v>
                </c:pt>
                <c:pt idx="27">
                  <c:v>-0.41661999999999999</c:v>
                </c:pt>
                <c:pt idx="28">
                  <c:v>-0.41638199999999997</c:v>
                </c:pt>
                <c:pt idx="29">
                  <c:v>-0.41530600000000001</c:v>
                </c:pt>
                <c:pt idx="30">
                  <c:v>-0.41766199999999998</c:v>
                </c:pt>
                <c:pt idx="31">
                  <c:v>-0.43512000000000001</c:v>
                </c:pt>
                <c:pt idx="32">
                  <c:v>-0.44930300000000001</c:v>
                </c:pt>
                <c:pt idx="33">
                  <c:v>-0.425792</c:v>
                </c:pt>
                <c:pt idx="34">
                  <c:v>-0.46304899999999999</c:v>
                </c:pt>
                <c:pt idx="35">
                  <c:v>-0.42434500000000003</c:v>
                </c:pt>
                <c:pt idx="36">
                  <c:v>-0.41745700000000002</c:v>
                </c:pt>
                <c:pt idx="37">
                  <c:v>-0.43302200000000002</c:v>
                </c:pt>
                <c:pt idx="38">
                  <c:v>-0.41041</c:v>
                </c:pt>
                <c:pt idx="39">
                  <c:v>-0.45006000000000002</c:v>
                </c:pt>
                <c:pt idx="40">
                  <c:v>-0.46789999999999998</c:v>
                </c:pt>
                <c:pt idx="41">
                  <c:v>-0.44371100000000002</c:v>
                </c:pt>
                <c:pt idx="42">
                  <c:v>-0.48839700000000003</c:v>
                </c:pt>
                <c:pt idx="43">
                  <c:v>-0.48205100000000001</c:v>
                </c:pt>
                <c:pt idx="44">
                  <c:v>-0.497861</c:v>
                </c:pt>
                <c:pt idx="45">
                  <c:v>-0.49458299999999999</c:v>
                </c:pt>
                <c:pt idx="46">
                  <c:v>-0.50748300000000002</c:v>
                </c:pt>
                <c:pt idx="47">
                  <c:v>-0.52851300000000001</c:v>
                </c:pt>
                <c:pt idx="48">
                  <c:v>-0.54444599999999999</c:v>
                </c:pt>
                <c:pt idx="49">
                  <c:v>-0.546848</c:v>
                </c:pt>
                <c:pt idx="50">
                  <c:v>-0.55696800000000002</c:v>
                </c:pt>
                <c:pt idx="51">
                  <c:v>-0.54993999999999998</c:v>
                </c:pt>
                <c:pt idx="52">
                  <c:v>-0.46020100000000003</c:v>
                </c:pt>
                <c:pt idx="53">
                  <c:v>-0.51325699999999996</c:v>
                </c:pt>
                <c:pt idx="54">
                  <c:v>-0.508301</c:v>
                </c:pt>
                <c:pt idx="55">
                  <c:v>-0.47927399999999998</c:v>
                </c:pt>
                <c:pt idx="56">
                  <c:v>-0.49490400000000001</c:v>
                </c:pt>
                <c:pt idx="57">
                  <c:v>-0.49814900000000001</c:v>
                </c:pt>
                <c:pt idx="58">
                  <c:v>-0.46853499999999998</c:v>
                </c:pt>
                <c:pt idx="59">
                  <c:v>-0.46385900000000002</c:v>
                </c:pt>
                <c:pt idx="60">
                  <c:v>-0.49249399999999999</c:v>
                </c:pt>
                <c:pt idx="61">
                  <c:v>-0.50169900000000001</c:v>
                </c:pt>
                <c:pt idx="62">
                  <c:v>-0.50695400000000002</c:v>
                </c:pt>
                <c:pt idx="63">
                  <c:v>-0.52526200000000001</c:v>
                </c:pt>
                <c:pt idx="64">
                  <c:v>-0.53209200000000001</c:v>
                </c:pt>
                <c:pt idx="65">
                  <c:v>-0.52364200000000005</c:v>
                </c:pt>
                <c:pt idx="66">
                  <c:v>-0.525841</c:v>
                </c:pt>
                <c:pt idx="67">
                  <c:v>-0.53468800000000005</c:v>
                </c:pt>
                <c:pt idx="68">
                  <c:v>-0.52895199999999998</c:v>
                </c:pt>
                <c:pt idx="69">
                  <c:v>-0.52874699999999997</c:v>
                </c:pt>
                <c:pt idx="70">
                  <c:v>-0.53357500000000002</c:v>
                </c:pt>
                <c:pt idx="71">
                  <c:v>-0.498728</c:v>
                </c:pt>
                <c:pt idx="72">
                  <c:v>-0.51679200000000003</c:v>
                </c:pt>
                <c:pt idx="73">
                  <c:v>-0.51666699999999999</c:v>
                </c:pt>
                <c:pt idx="74">
                  <c:v>-0.51375300000000002</c:v>
                </c:pt>
                <c:pt idx="75">
                  <c:v>-0.52901200000000004</c:v>
                </c:pt>
                <c:pt idx="76">
                  <c:v>-0.56897200000000003</c:v>
                </c:pt>
                <c:pt idx="77">
                  <c:v>-0.52920299999999998</c:v>
                </c:pt>
                <c:pt idx="78">
                  <c:v>-0.53162299999999996</c:v>
                </c:pt>
                <c:pt idx="79">
                  <c:v>-0.54319700000000004</c:v>
                </c:pt>
                <c:pt idx="80">
                  <c:v>-0.56284199999999995</c:v>
                </c:pt>
                <c:pt idx="81">
                  <c:v>-0.56717899999999999</c:v>
                </c:pt>
                <c:pt idx="82">
                  <c:v>-0.58873699999999995</c:v>
                </c:pt>
                <c:pt idx="83">
                  <c:v>-0.58560000000000001</c:v>
                </c:pt>
                <c:pt idx="84">
                  <c:v>-0.59406599999999998</c:v>
                </c:pt>
                <c:pt idx="85">
                  <c:v>-0.54777799999999999</c:v>
                </c:pt>
                <c:pt idx="86">
                  <c:v>-0.58204299999999998</c:v>
                </c:pt>
                <c:pt idx="87">
                  <c:v>-0.58754200000000001</c:v>
                </c:pt>
                <c:pt idx="88">
                  <c:v>-0.60289400000000004</c:v>
                </c:pt>
                <c:pt idx="89">
                  <c:v>-0.61526999999999998</c:v>
                </c:pt>
                <c:pt idx="90">
                  <c:v>-0.61626599999999998</c:v>
                </c:pt>
                <c:pt idx="91">
                  <c:v>-0.63444900000000004</c:v>
                </c:pt>
                <c:pt idx="92">
                  <c:v>-0.63899399999999995</c:v>
                </c:pt>
                <c:pt idx="93">
                  <c:v>-0.61651</c:v>
                </c:pt>
                <c:pt idx="94">
                  <c:v>-0.64686699999999997</c:v>
                </c:pt>
                <c:pt idx="95">
                  <c:v>-0.64502099999999996</c:v>
                </c:pt>
                <c:pt idx="96">
                  <c:v>-0.66612800000000005</c:v>
                </c:pt>
                <c:pt idx="97">
                  <c:v>-0.66658799999999996</c:v>
                </c:pt>
                <c:pt idx="98">
                  <c:v>-0.67045100000000002</c:v>
                </c:pt>
                <c:pt idx="99">
                  <c:v>-0.67421699999999996</c:v>
                </c:pt>
                <c:pt idx="100">
                  <c:v>-0.68309600000000004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E4-C946-9910-10A2718F03A8}"/>
            </c:ext>
          </c:extLst>
        </c:ser>
        <c:ser>
          <c:idx val="2"/>
          <c:order val="3"/>
          <c:tx>
            <c:strRef>
              <c:f>'gemini_delta-trend'!$Q$2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'gemini_delta-trend'!$Q$3:$Q$104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-7.8498999999999999E-2</c:v>
                </c:pt>
                <c:pt idx="3">
                  <c:v>-0.16451099999999999</c:v>
                </c:pt>
                <c:pt idx="4">
                  <c:v>-0.18556600000000001</c:v>
                </c:pt>
                <c:pt idx="5">
                  <c:v>-0.19378600000000001</c:v>
                </c:pt>
                <c:pt idx="6">
                  <c:v>-0.19952900000000001</c:v>
                </c:pt>
                <c:pt idx="7">
                  <c:v>-0.20107900000000001</c:v>
                </c:pt>
                <c:pt idx="8">
                  <c:v>-0.194853</c:v>
                </c:pt>
                <c:pt idx="9">
                  <c:v>-0.17186499999999999</c:v>
                </c:pt>
                <c:pt idx="10">
                  <c:v>-0.185534</c:v>
                </c:pt>
                <c:pt idx="11">
                  <c:v>-0.223249</c:v>
                </c:pt>
                <c:pt idx="12">
                  <c:v>-0.229019</c:v>
                </c:pt>
                <c:pt idx="13">
                  <c:v>-0.232465</c:v>
                </c:pt>
                <c:pt idx="14">
                  <c:v>-0.20979100000000001</c:v>
                </c:pt>
                <c:pt idx="15">
                  <c:v>-0.23098399999999999</c:v>
                </c:pt>
                <c:pt idx="16">
                  <c:v>-0.25353900000000001</c:v>
                </c:pt>
                <c:pt idx="17">
                  <c:v>-0.28313300000000002</c:v>
                </c:pt>
                <c:pt idx="18">
                  <c:v>-0.30088799999999999</c:v>
                </c:pt>
                <c:pt idx="19">
                  <c:v>-0.29649700000000001</c:v>
                </c:pt>
                <c:pt idx="20">
                  <c:v>-0.31769900000000001</c:v>
                </c:pt>
                <c:pt idx="21">
                  <c:v>-0.326013</c:v>
                </c:pt>
                <c:pt idx="22">
                  <c:v>-0.32111400000000001</c:v>
                </c:pt>
                <c:pt idx="23">
                  <c:v>-0.31426300000000001</c:v>
                </c:pt>
                <c:pt idx="24">
                  <c:v>-0.32353500000000002</c:v>
                </c:pt>
                <c:pt idx="25">
                  <c:v>-0.320822</c:v>
                </c:pt>
                <c:pt idx="26">
                  <c:v>-0.32227600000000001</c:v>
                </c:pt>
                <c:pt idx="27">
                  <c:v>-0.318799</c:v>
                </c:pt>
                <c:pt idx="28">
                  <c:v>-0.31800099999999998</c:v>
                </c:pt>
                <c:pt idx="29">
                  <c:v>-0.32087900000000003</c:v>
                </c:pt>
                <c:pt idx="30">
                  <c:v>-0.32471</c:v>
                </c:pt>
                <c:pt idx="31">
                  <c:v>-0.34485199999999999</c:v>
                </c:pt>
                <c:pt idx="32">
                  <c:v>-0.35936499999999999</c:v>
                </c:pt>
                <c:pt idx="33">
                  <c:v>-0.365284</c:v>
                </c:pt>
                <c:pt idx="34">
                  <c:v>-0.374581</c:v>
                </c:pt>
                <c:pt idx="35">
                  <c:v>-0.377743</c:v>
                </c:pt>
                <c:pt idx="36">
                  <c:v>-0.36093199999999998</c:v>
                </c:pt>
                <c:pt idx="37">
                  <c:v>-0.39829500000000001</c:v>
                </c:pt>
                <c:pt idx="38">
                  <c:v>-0.31917800000000002</c:v>
                </c:pt>
                <c:pt idx="39">
                  <c:v>-0.34983300000000001</c:v>
                </c:pt>
                <c:pt idx="40">
                  <c:v>-0.37297999999999998</c:v>
                </c:pt>
                <c:pt idx="41">
                  <c:v>-0.406138</c:v>
                </c:pt>
                <c:pt idx="42">
                  <c:v>-0.43859500000000001</c:v>
                </c:pt>
                <c:pt idx="43">
                  <c:v>-0.446413</c:v>
                </c:pt>
                <c:pt idx="44">
                  <c:v>-0.45927000000000001</c:v>
                </c:pt>
                <c:pt idx="45">
                  <c:v>-0.46997299999999997</c:v>
                </c:pt>
                <c:pt idx="46">
                  <c:v>-0.46315400000000001</c:v>
                </c:pt>
                <c:pt idx="47">
                  <c:v>-0.46966000000000002</c:v>
                </c:pt>
                <c:pt idx="48">
                  <c:v>-0.48436600000000002</c:v>
                </c:pt>
                <c:pt idx="49">
                  <c:v>-0.490199</c:v>
                </c:pt>
                <c:pt idx="50">
                  <c:v>-0.494232</c:v>
                </c:pt>
                <c:pt idx="51">
                  <c:v>-0.49060799999999999</c:v>
                </c:pt>
                <c:pt idx="52">
                  <c:v>-0.445023</c:v>
                </c:pt>
                <c:pt idx="53">
                  <c:v>-0.50156900000000004</c:v>
                </c:pt>
                <c:pt idx="54">
                  <c:v>-0.49575900000000001</c:v>
                </c:pt>
                <c:pt idx="55">
                  <c:v>-0.50544800000000001</c:v>
                </c:pt>
                <c:pt idx="56">
                  <c:v>-0.53606699999999996</c:v>
                </c:pt>
                <c:pt idx="57">
                  <c:v>-0.53442699999999999</c:v>
                </c:pt>
                <c:pt idx="58">
                  <c:v>-0.44791399999999998</c:v>
                </c:pt>
                <c:pt idx="59">
                  <c:v>-0.44846399999999997</c:v>
                </c:pt>
                <c:pt idx="60">
                  <c:v>-0.46038299999999999</c:v>
                </c:pt>
                <c:pt idx="61">
                  <c:v>-0.46406900000000001</c:v>
                </c:pt>
                <c:pt idx="62">
                  <c:v>-0.45733000000000001</c:v>
                </c:pt>
                <c:pt idx="63">
                  <c:v>-0.46957599999999999</c:v>
                </c:pt>
                <c:pt idx="64">
                  <c:v>-0.47460999999999998</c:v>
                </c:pt>
                <c:pt idx="65">
                  <c:v>-0.46516299999999999</c:v>
                </c:pt>
                <c:pt idx="66">
                  <c:v>-0.46942299999999998</c:v>
                </c:pt>
                <c:pt idx="67">
                  <c:v>-0.48031200000000002</c:v>
                </c:pt>
                <c:pt idx="68">
                  <c:v>-0.488593</c:v>
                </c:pt>
                <c:pt idx="69">
                  <c:v>-0.49166900000000002</c:v>
                </c:pt>
                <c:pt idx="70">
                  <c:v>-0.49380800000000002</c:v>
                </c:pt>
                <c:pt idx="71">
                  <c:v>-0.43026599999999998</c:v>
                </c:pt>
                <c:pt idx="72">
                  <c:v>-0.48586699999999999</c:v>
                </c:pt>
                <c:pt idx="73">
                  <c:v>-0.36067700000000003</c:v>
                </c:pt>
                <c:pt idx="74">
                  <c:v>-0.39000499999999999</c:v>
                </c:pt>
                <c:pt idx="75">
                  <c:v>-0.40539500000000001</c:v>
                </c:pt>
                <c:pt idx="76">
                  <c:v>-0.42828100000000002</c:v>
                </c:pt>
                <c:pt idx="77">
                  <c:v>-0.42840099999999998</c:v>
                </c:pt>
                <c:pt idx="78">
                  <c:v>-0.45747399999999999</c:v>
                </c:pt>
                <c:pt idx="79">
                  <c:v>-0.482458</c:v>
                </c:pt>
                <c:pt idx="80">
                  <c:v>-0.46714600000000001</c:v>
                </c:pt>
                <c:pt idx="81">
                  <c:v>-0.47046399999999999</c:v>
                </c:pt>
                <c:pt idx="82">
                  <c:v>-0.48250199999999999</c:v>
                </c:pt>
                <c:pt idx="83">
                  <c:v>-0.47866500000000001</c:v>
                </c:pt>
                <c:pt idx="84">
                  <c:v>-0.48581200000000002</c:v>
                </c:pt>
                <c:pt idx="85">
                  <c:v>-0.46376400000000001</c:v>
                </c:pt>
                <c:pt idx="86">
                  <c:v>-0.50180400000000003</c:v>
                </c:pt>
                <c:pt idx="87">
                  <c:v>-0.50976100000000002</c:v>
                </c:pt>
                <c:pt idx="88">
                  <c:v>-0.51072899999999999</c:v>
                </c:pt>
                <c:pt idx="89">
                  <c:v>-0.52863199999999999</c:v>
                </c:pt>
                <c:pt idx="90">
                  <c:v>-0.527362</c:v>
                </c:pt>
                <c:pt idx="91">
                  <c:v>-0.53938399999999997</c:v>
                </c:pt>
                <c:pt idx="92">
                  <c:v>-0.55040900000000004</c:v>
                </c:pt>
                <c:pt idx="93">
                  <c:v>-0.50388500000000003</c:v>
                </c:pt>
                <c:pt idx="94">
                  <c:v>-0.51858599999999999</c:v>
                </c:pt>
                <c:pt idx="95">
                  <c:v>-0.51567600000000002</c:v>
                </c:pt>
                <c:pt idx="96">
                  <c:v>-0.52969699999999997</c:v>
                </c:pt>
                <c:pt idx="97">
                  <c:v>-0.52750200000000003</c:v>
                </c:pt>
                <c:pt idx="98">
                  <c:v>-0.53233399999999997</c:v>
                </c:pt>
                <c:pt idx="99">
                  <c:v>-0.54558399999999996</c:v>
                </c:pt>
                <c:pt idx="100">
                  <c:v>-0.54631700000000005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0E4-C946-9910-10A2718F03A8}"/>
            </c:ext>
          </c:extLst>
        </c:ser>
        <c:ser>
          <c:idx val="3"/>
          <c:order val="4"/>
          <c:tx>
            <c:strRef>
              <c:f>'gemini_delta-trend'!$R$2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-1.8009000000000001E-2</c:v>
                </c:pt>
                <c:pt idx="3">
                  <c:v>-0.13525899999999999</c:v>
                </c:pt>
                <c:pt idx="4">
                  <c:v>-0.16104099999999999</c:v>
                </c:pt>
                <c:pt idx="5">
                  <c:v>-0.168965</c:v>
                </c:pt>
                <c:pt idx="6">
                  <c:v>-0.17733099999999999</c:v>
                </c:pt>
                <c:pt idx="7">
                  <c:v>-0.19097</c:v>
                </c:pt>
                <c:pt idx="8">
                  <c:v>-0.19428599999999999</c:v>
                </c:pt>
                <c:pt idx="9">
                  <c:v>-0.20729</c:v>
                </c:pt>
                <c:pt idx="10">
                  <c:v>-0.29347299999999998</c:v>
                </c:pt>
                <c:pt idx="11">
                  <c:v>-0.34630100000000003</c:v>
                </c:pt>
                <c:pt idx="12">
                  <c:v>-0.35424800000000001</c:v>
                </c:pt>
                <c:pt idx="13">
                  <c:v>-0.35560399999999998</c:v>
                </c:pt>
                <c:pt idx="14">
                  <c:v>-0.36507400000000001</c:v>
                </c:pt>
                <c:pt idx="15">
                  <c:v>-0.37881500000000001</c:v>
                </c:pt>
                <c:pt idx="16">
                  <c:v>-0.39791300000000002</c:v>
                </c:pt>
                <c:pt idx="17">
                  <c:v>-0.429921</c:v>
                </c:pt>
                <c:pt idx="18">
                  <c:v>-0.45526</c:v>
                </c:pt>
                <c:pt idx="19">
                  <c:v>-0.45780700000000002</c:v>
                </c:pt>
                <c:pt idx="20">
                  <c:v>-0.45935500000000001</c:v>
                </c:pt>
                <c:pt idx="21">
                  <c:v>-0.46277200000000002</c:v>
                </c:pt>
                <c:pt idx="22">
                  <c:v>-0.46503100000000003</c:v>
                </c:pt>
                <c:pt idx="23">
                  <c:v>-0.47089300000000001</c:v>
                </c:pt>
                <c:pt idx="24">
                  <c:v>-0.48467700000000002</c:v>
                </c:pt>
                <c:pt idx="25">
                  <c:v>-0.49332199999999998</c:v>
                </c:pt>
                <c:pt idx="26">
                  <c:v>-0.49385499999999999</c:v>
                </c:pt>
                <c:pt idx="27">
                  <c:v>-0.49511100000000002</c:v>
                </c:pt>
                <c:pt idx="28">
                  <c:v>-0.49888900000000003</c:v>
                </c:pt>
                <c:pt idx="29">
                  <c:v>-0.50471699999999997</c:v>
                </c:pt>
                <c:pt idx="30">
                  <c:v>-0.507579</c:v>
                </c:pt>
                <c:pt idx="31">
                  <c:v>-0.51539100000000004</c:v>
                </c:pt>
                <c:pt idx="32">
                  <c:v>-0.52995599999999998</c:v>
                </c:pt>
                <c:pt idx="33">
                  <c:v>-0.53806600000000004</c:v>
                </c:pt>
                <c:pt idx="34">
                  <c:v>-0.54793499999999995</c:v>
                </c:pt>
                <c:pt idx="35">
                  <c:v>-0.55931799999999998</c:v>
                </c:pt>
                <c:pt idx="36">
                  <c:v>-0.56135000000000002</c:v>
                </c:pt>
                <c:pt idx="37">
                  <c:v>-0.56518500000000005</c:v>
                </c:pt>
                <c:pt idx="38">
                  <c:v>-0.57203700000000002</c:v>
                </c:pt>
                <c:pt idx="39">
                  <c:v>-0.58968600000000004</c:v>
                </c:pt>
                <c:pt idx="40">
                  <c:v>-0.60023400000000005</c:v>
                </c:pt>
                <c:pt idx="41">
                  <c:v>-0.62029400000000001</c:v>
                </c:pt>
                <c:pt idx="42">
                  <c:v>-0.62496200000000002</c:v>
                </c:pt>
                <c:pt idx="43">
                  <c:v>-0.62587700000000002</c:v>
                </c:pt>
                <c:pt idx="44">
                  <c:v>-0.62612699999999999</c:v>
                </c:pt>
                <c:pt idx="45">
                  <c:v>-0.63060099999999997</c:v>
                </c:pt>
                <c:pt idx="46">
                  <c:v>-0.63245099999999999</c:v>
                </c:pt>
                <c:pt idx="47">
                  <c:v>-0.63872600000000002</c:v>
                </c:pt>
                <c:pt idx="48">
                  <c:v>-0.65365600000000001</c:v>
                </c:pt>
                <c:pt idx="49">
                  <c:v>-0.656057</c:v>
                </c:pt>
                <c:pt idx="50">
                  <c:v>-0.66080099999999997</c:v>
                </c:pt>
                <c:pt idx="51">
                  <c:v>-0.66207700000000003</c:v>
                </c:pt>
                <c:pt idx="52">
                  <c:v>-0.66661300000000001</c:v>
                </c:pt>
                <c:pt idx="53">
                  <c:v>-0.67633900000000002</c:v>
                </c:pt>
                <c:pt idx="54">
                  <c:v>-0.67625800000000003</c:v>
                </c:pt>
                <c:pt idx="55">
                  <c:v>-0.67431600000000003</c:v>
                </c:pt>
                <c:pt idx="56">
                  <c:v>-0.69751799999999997</c:v>
                </c:pt>
                <c:pt idx="57">
                  <c:v>-0.70415899999999998</c:v>
                </c:pt>
                <c:pt idx="58">
                  <c:v>-0.70573600000000003</c:v>
                </c:pt>
                <c:pt idx="59">
                  <c:v>-0.70694000000000001</c:v>
                </c:pt>
                <c:pt idx="60">
                  <c:v>-0.71557400000000004</c:v>
                </c:pt>
                <c:pt idx="61">
                  <c:v>-0.718144</c:v>
                </c:pt>
                <c:pt idx="62">
                  <c:v>-0.72244200000000003</c:v>
                </c:pt>
                <c:pt idx="63">
                  <c:v>-0.724217</c:v>
                </c:pt>
                <c:pt idx="64">
                  <c:v>-0.73489400000000005</c:v>
                </c:pt>
                <c:pt idx="65">
                  <c:v>-0.76285999999999998</c:v>
                </c:pt>
                <c:pt idx="66">
                  <c:v>-0.77117400000000003</c:v>
                </c:pt>
                <c:pt idx="67">
                  <c:v>-0.77307400000000004</c:v>
                </c:pt>
                <c:pt idx="68">
                  <c:v>-0.77986900000000003</c:v>
                </c:pt>
                <c:pt idx="69">
                  <c:v>-0.77954500000000004</c:v>
                </c:pt>
                <c:pt idx="70">
                  <c:v>-0.77705000000000002</c:v>
                </c:pt>
                <c:pt idx="71">
                  <c:v>-0.79009300000000005</c:v>
                </c:pt>
                <c:pt idx="72">
                  <c:v>-0.79177299999999995</c:v>
                </c:pt>
                <c:pt idx="73">
                  <c:v>-0.792319</c:v>
                </c:pt>
                <c:pt idx="74">
                  <c:v>-0.79396199999999995</c:v>
                </c:pt>
                <c:pt idx="75">
                  <c:v>-0.79803299999999999</c:v>
                </c:pt>
                <c:pt idx="76">
                  <c:v>-0.800122</c:v>
                </c:pt>
                <c:pt idx="77">
                  <c:v>-0.79260399999999998</c:v>
                </c:pt>
                <c:pt idx="78">
                  <c:v>-0.81621200000000005</c:v>
                </c:pt>
                <c:pt idx="79">
                  <c:v>-0.82610700000000004</c:v>
                </c:pt>
                <c:pt idx="80">
                  <c:v>-0.82288499999999998</c:v>
                </c:pt>
                <c:pt idx="81">
                  <c:v>-0.83368500000000001</c:v>
                </c:pt>
                <c:pt idx="82">
                  <c:v>-0.83218400000000003</c:v>
                </c:pt>
                <c:pt idx="83">
                  <c:v>-0.83844700000000005</c:v>
                </c:pt>
                <c:pt idx="84">
                  <c:v>-0.84558999999999995</c:v>
                </c:pt>
                <c:pt idx="85">
                  <c:v>-0.84591499999999997</c:v>
                </c:pt>
                <c:pt idx="86">
                  <c:v>-0.84774700000000003</c:v>
                </c:pt>
                <c:pt idx="87">
                  <c:v>-0.85247600000000001</c:v>
                </c:pt>
                <c:pt idx="88">
                  <c:v>-0.85761900000000002</c:v>
                </c:pt>
                <c:pt idx="89">
                  <c:v>-0.86119299999999999</c:v>
                </c:pt>
                <c:pt idx="90">
                  <c:v>-0.87098299999999995</c:v>
                </c:pt>
                <c:pt idx="91">
                  <c:v>-0.86532799999999999</c:v>
                </c:pt>
                <c:pt idx="92">
                  <c:v>-0.87881799999999999</c:v>
                </c:pt>
                <c:pt idx="93">
                  <c:v>-0.88364200000000004</c:v>
                </c:pt>
                <c:pt idx="94">
                  <c:v>-0.875305</c:v>
                </c:pt>
                <c:pt idx="95">
                  <c:v>-0.88373900000000005</c:v>
                </c:pt>
                <c:pt idx="96">
                  <c:v>-0.90153899999999998</c:v>
                </c:pt>
                <c:pt idx="97">
                  <c:v>-0.90561000000000003</c:v>
                </c:pt>
                <c:pt idx="98">
                  <c:v>-0.89309700000000003</c:v>
                </c:pt>
                <c:pt idx="99">
                  <c:v>-0.91797399999999996</c:v>
                </c:pt>
                <c:pt idx="100">
                  <c:v>-0.91516299999999995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0E4-C946-9910-10A2718F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'gemini_delta-trend'!$T$2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-3.0155999999999999E-2</c:v>
                </c:pt>
                <c:pt idx="2">
                  <c:v>-3.5296000000000001E-2</c:v>
                </c:pt>
                <c:pt idx="3">
                  <c:v>-7.0091000000000001E-2</c:v>
                </c:pt>
                <c:pt idx="4">
                  <c:v>-7.5004000000000001E-2</c:v>
                </c:pt>
                <c:pt idx="5">
                  <c:v>-0.114264</c:v>
                </c:pt>
                <c:pt idx="6">
                  <c:v>-0.12564400000000001</c:v>
                </c:pt>
                <c:pt idx="7">
                  <c:v>-0.133354</c:v>
                </c:pt>
                <c:pt idx="8">
                  <c:v>-0.145677</c:v>
                </c:pt>
                <c:pt idx="9">
                  <c:v>-0.15487899999999999</c:v>
                </c:pt>
                <c:pt idx="10">
                  <c:v>-0.159521</c:v>
                </c:pt>
                <c:pt idx="11">
                  <c:v>-0.16021299999999999</c:v>
                </c:pt>
                <c:pt idx="12">
                  <c:v>-0.165463</c:v>
                </c:pt>
                <c:pt idx="13">
                  <c:v>-0.192354</c:v>
                </c:pt>
                <c:pt idx="14">
                  <c:v>-0.203404</c:v>
                </c:pt>
                <c:pt idx="15">
                  <c:v>-0.20901400000000001</c:v>
                </c:pt>
                <c:pt idx="16">
                  <c:v>-0.21564700000000001</c:v>
                </c:pt>
                <c:pt idx="17">
                  <c:v>-0.22789899999999999</c:v>
                </c:pt>
                <c:pt idx="18">
                  <c:v>-0.233458</c:v>
                </c:pt>
                <c:pt idx="19">
                  <c:v>-0.24118000000000001</c:v>
                </c:pt>
                <c:pt idx="20">
                  <c:v>-0.25962200000000002</c:v>
                </c:pt>
                <c:pt idx="21">
                  <c:v>-0.26831199999999999</c:v>
                </c:pt>
                <c:pt idx="22">
                  <c:v>-0.26980500000000002</c:v>
                </c:pt>
                <c:pt idx="23">
                  <c:v>-0.27346599999999999</c:v>
                </c:pt>
                <c:pt idx="24">
                  <c:v>-0.285138</c:v>
                </c:pt>
                <c:pt idx="25">
                  <c:v>-0.29225299999999999</c:v>
                </c:pt>
                <c:pt idx="26">
                  <c:v>-0.30003099999999999</c:v>
                </c:pt>
                <c:pt idx="27">
                  <c:v>-0.30596400000000001</c:v>
                </c:pt>
                <c:pt idx="28">
                  <c:v>-0.31095800000000001</c:v>
                </c:pt>
                <c:pt idx="29">
                  <c:v>-0.31419200000000003</c:v>
                </c:pt>
                <c:pt idx="30">
                  <c:v>-0.32980599999999999</c:v>
                </c:pt>
                <c:pt idx="31">
                  <c:v>-0.34392899999999998</c:v>
                </c:pt>
                <c:pt idx="32">
                  <c:v>-0.34807500000000002</c:v>
                </c:pt>
                <c:pt idx="33">
                  <c:v>-0.35228799999999999</c:v>
                </c:pt>
                <c:pt idx="34">
                  <c:v>-0.36438799999999999</c:v>
                </c:pt>
                <c:pt idx="35">
                  <c:v>-0.38800000000000001</c:v>
                </c:pt>
                <c:pt idx="36">
                  <c:v>-0.40697</c:v>
                </c:pt>
                <c:pt idx="37">
                  <c:v>-0.41555199999999998</c:v>
                </c:pt>
                <c:pt idx="38">
                  <c:v>-0.42227599999999998</c:v>
                </c:pt>
                <c:pt idx="39">
                  <c:v>-0.42408400000000002</c:v>
                </c:pt>
                <c:pt idx="40">
                  <c:v>-0.42805700000000002</c:v>
                </c:pt>
                <c:pt idx="41">
                  <c:v>-0.43346099999999999</c:v>
                </c:pt>
                <c:pt idx="42">
                  <c:v>-0.43663000000000002</c:v>
                </c:pt>
                <c:pt idx="43">
                  <c:v>-0.44144800000000001</c:v>
                </c:pt>
                <c:pt idx="44">
                  <c:v>-0.44354500000000002</c:v>
                </c:pt>
                <c:pt idx="45">
                  <c:v>-0.44722600000000001</c:v>
                </c:pt>
                <c:pt idx="46">
                  <c:v>-0.45061800000000002</c:v>
                </c:pt>
                <c:pt idx="47">
                  <c:v>-0.450631</c:v>
                </c:pt>
                <c:pt idx="48">
                  <c:v>-0.45363900000000001</c:v>
                </c:pt>
                <c:pt idx="49">
                  <c:v>-0.460061</c:v>
                </c:pt>
                <c:pt idx="50">
                  <c:v>-0.46479700000000002</c:v>
                </c:pt>
                <c:pt idx="51">
                  <c:v>-0.468586</c:v>
                </c:pt>
                <c:pt idx="52">
                  <c:v>-0.46995300000000001</c:v>
                </c:pt>
                <c:pt idx="53">
                  <c:v>-0.471026</c:v>
                </c:pt>
                <c:pt idx="54">
                  <c:v>-0.47239500000000001</c:v>
                </c:pt>
                <c:pt idx="55">
                  <c:v>-0.47506300000000001</c:v>
                </c:pt>
                <c:pt idx="56">
                  <c:v>-0.47673199999999999</c:v>
                </c:pt>
                <c:pt idx="57">
                  <c:v>-0.48085099999999997</c:v>
                </c:pt>
                <c:pt idx="58">
                  <c:v>-0.48441099999999998</c:v>
                </c:pt>
                <c:pt idx="59">
                  <c:v>-0.48574000000000001</c:v>
                </c:pt>
                <c:pt idx="60">
                  <c:v>-0.48918099999999998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73-AE4F-85FD-45892BFF2CA0}"/>
            </c:ext>
          </c:extLst>
        </c:ser>
        <c:ser>
          <c:idx val="4"/>
          <c:order val="1"/>
          <c:tx>
            <c:strRef>
              <c:f>'gemini_delta-trend'!$U$2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'gemini_delta-trend'!$U$3:$U$63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-3.5369999999999999E-2</c:v>
                </c:pt>
                <c:pt idx="2">
                  <c:v>-3.9633000000000002E-2</c:v>
                </c:pt>
                <c:pt idx="3">
                  <c:v>-6.8113000000000007E-2</c:v>
                </c:pt>
                <c:pt idx="4">
                  <c:v>-7.1115999999999999E-2</c:v>
                </c:pt>
                <c:pt idx="5">
                  <c:v>-9.7751000000000005E-2</c:v>
                </c:pt>
                <c:pt idx="6">
                  <c:v>-0.101927</c:v>
                </c:pt>
                <c:pt idx="7">
                  <c:v>-0.106923</c:v>
                </c:pt>
                <c:pt idx="8">
                  <c:v>-0.110668</c:v>
                </c:pt>
                <c:pt idx="9">
                  <c:v>-0.113396</c:v>
                </c:pt>
                <c:pt idx="10">
                  <c:v>-0.105892</c:v>
                </c:pt>
                <c:pt idx="11">
                  <c:v>-0.107075</c:v>
                </c:pt>
                <c:pt idx="12">
                  <c:v>-0.112155</c:v>
                </c:pt>
                <c:pt idx="13">
                  <c:v>-0.13697200000000001</c:v>
                </c:pt>
                <c:pt idx="14">
                  <c:v>-0.165021</c:v>
                </c:pt>
                <c:pt idx="15">
                  <c:v>-0.16991200000000001</c:v>
                </c:pt>
                <c:pt idx="16">
                  <c:v>-0.175346</c:v>
                </c:pt>
                <c:pt idx="17">
                  <c:v>-0.18368999999999999</c:v>
                </c:pt>
                <c:pt idx="18">
                  <c:v>-0.18665899999999999</c:v>
                </c:pt>
                <c:pt idx="19">
                  <c:v>-0.19007299999999999</c:v>
                </c:pt>
                <c:pt idx="20">
                  <c:v>-0.18528800000000001</c:v>
                </c:pt>
                <c:pt idx="21">
                  <c:v>-0.187057</c:v>
                </c:pt>
                <c:pt idx="22">
                  <c:v>-0.18908</c:v>
                </c:pt>
                <c:pt idx="23">
                  <c:v>-0.19232199999999999</c:v>
                </c:pt>
                <c:pt idx="24">
                  <c:v>-0.20346800000000001</c:v>
                </c:pt>
                <c:pt idx="25">
                  <c:v>-0.20651600000000001</c:v>
                </c:pt>
                <c:pt idx="26">
                  <c:v>-0.20463200000000001</c:v>
                </c:pt>
                <c:pt idx="27">
                  <c:v>-0.20785000000000001</c:v>
                </c:pt>
                <c:pt idx="28">
                  <c:v>-0.207951</c:v>
                </c:pt>
                <c:pt idx="29">
                  <c:v>-0.214172</c:v>
                </c:pt>
                <c:pt idx="30">
                  <c:v>-0.221134</c:v>
                </c:pt>
                <c:pt idx="31">
                  <c:v>-0.22246099999999999</c:v>
                </c:pt>
                <c:pt idx="32">
                  <c:v>-0.217918</c:v>
                </c:pt>
                <c:pt idx="33">
                  <c:v>-0.22720199999999999</c:v>
                </c:pt>
                <c:pt idx="34">
                  <c:v>-0.21859400000000001</c:v>
                </c:pt>
                <c:pt idx="35">
                  <c:v>-0.24204700000000001</c:v>
                </c:pt>
                <c:pt idx="36">
                  <c:v>-0.25209199999999998</c:v>
                </c:pt>
                <c:pt idx="37">
                  <c:v>-0.25834299999999999</c:v>
                </c:pt>
                <c:pt idx="38">
                  <c:v>-0.25822600000000001</c:v>
                </c:pt>
                <c:pt idx="39">
                  <c:v>-0.25175700000000001</c:v>
                </c:pt>
                <c:pt idx="40">
                  <c:v>-0.25220500000000001</c:v>
                </c:pt>
                <c:pt idx="41">
                  <c:v>-0.24340400000000001</c:v>
                </c:pt>
                <c:pt idx="42">
                  <c:v>-0.25531599999999999</c:v>
                </c:pt>
                <c:pt idx="43">
                  <c:v>-0.260158</c:v>
                </c:pt>
                <c:pt idx="44">
                  <c:v>-0.26528299999999999</c:v>
                </c:pt>
                <c:pt idx="45">
                  <c:v>-0.26576300000000003</c:v>
                </c:pt>
                <c:pt idx="46">
                  <c:v>-0.26734000000000002</c:v>
                </c:pt>
                <c:pt idx="47">
                  <c:v>-0.25837599999999999</c:v>
                </c:pt>
                <c:pt idx="48">
                  <c:v>-0.26568700000000001</c:v>
                </c:pt>
                <c:pt idx="49">
                  <c:v>-0.26956200000000002</c:v>
                </c:pt>
                <c:pt idx="50">
                  <c:v>-0.26858100000000001</c:v>
                </c:pt>
                <c:pt idx="51">
                  <c:v>-0.26401400000000003</c:v>
                </c:pt>
                <c:pt idx="52">
                  <c:v>-0.26636900000000002</c:v>
                </c:pt>
                <c:pt idx="53">
                  <c:v>-0.25629800000000003</c:v>
                </c:pt>
                <c:pt idx="54">
                  <c:v>-0.23596900000000001</c:v>
                </c:pt>
                <c:pt idx="55">
                  <c:v>-0.23474500000000001</c:v>
                </c:pt>
                <c:pt idx="56">
                  <c:v>-0.23430999999999999</c:v>
                </c:pt>
                <c:pt idx="57">
                  <c:v>-0.23386999999999999</c:v>
                </c:pt>
                <c:pt idx="58">
                  <c:v>-0.236876</c:v>
                </c:pt>
                <c:pt idx="59">
                  <c:v>-0.23308499999999999</c:v>
                </c:pt>
                <c:pt idx="60">
                  <c:v>-0.25151000000000001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3-AE4F-85FD-45892BFF2CA0}"/>
            </c:ext>
          </c:extLst>
        </c:ser>
        <c:ser>
          <c:idx val="1"/>
          <c:order val="2"/>
          <c:tx>
            <c:strRef>
              <c:f>'gemini_delta-trend'!$V$2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-4.19E-2</c:v>
                </c:pt>
                <c:pt idx="2">
                  <c:v>-4.2265999999999998E-2</c:v>
                </c:pt>
                <c:pt idx="3">
                  <c:v>-3.8725000000000002E-2</c:v>
                </c:pt>
                <c:pt idx="4">
                  <c:v>-3.9488000000000002E-2</c:v>
                </c:pt>
                <c:pt idx="5">
                  <c:v>-5.9166000000000003E-2</c:v>
                </c:pt>
                <c:pt idx="6">
                  <c:v>-5.8630000000000002E-2</c:v>
                </c:pt>
                <c:pt idx="7">
                  <c:v>-6.0517000000000001E-2</c:v>
                </c:pt>
                <c:pt idx="8">
                  <c:v>-6.9990999999999998E-2</c:v>
                </c:pt>
                <c:pt idx="9">
                  <c:v>-7.177E-2</c:v>
                </c:pt>
                <c:pt idx="10">
                  <c:v>-6.7209000000000005E-2</c:v>
                </c:pt>
                <c:pt idx="11">
                  <c:v>-6.9757E-2</c:v>
                </c:pt>
                <c:pt idx="12">
                  <c:v>-6.8753999999999996E-2</c:v>
                </c:pt>
                <c:pt idx="13">
                  <c:v>-6.7653000000000005E-2</c:v>
                </c:pt>
                <c:pt idx="14">
                  <c:v>-6.6767000000000007E-2</c:v>
                </c:pt>
                <c:pt idx="15">
                  <c:v>-7.2658E-2</c:v>
                </c:pt>
                <c:pt idx="16">
                  <c:v>-8.5171999999999998E-2</c:v>
                </c:pt>
                <c:pt idx="17">
                  <c:v>-0.101419</c:v>
                </c:pt>
                <c:pt idx="18">
                  <c:v>-0.10563699999999999</c:v>
                </c:pt>
                <c:pt idx="19">
                  <c:v>-0.106402</c:v>
                </c:pt>
                <c:pt idx="20">
                  <c:v>-0.102371</c:v>
                </c:pt>
                <c:pt idx="21">
                  <c:v>-9.6178E-2</c:v>
                </c:pt>
                <c:pt idx="22">
                  <c:v>-9.9423999999999998E-2</c:v>
                </c:pt>
                <c:pt idx="23">
                  <c:v>-9.2701000000000006E-2</c:v>
                </c:pt>
                <c:pt idx="24">
                  <c:v>-8.3373000000000003E-2</c:v>
                </c:pt>
                <c:pt idx="25">
                  <c:v>-7.7883999999999995E-2</c:v>
                </c:pt>
                <c:pt idx="26">
                  <c:v>-7.3271000000000003E-2</c:v>
                </c:pt>
                <c:pt idx="27">
                  <c:v>-7.1479000000000001E-2</c:v>
                </c:pt>
                <c:pt idx="28">
                  <c:v>-7.5213000000000002E-2</c:v>
                </c:pt>
                <c:pt idx="29">
                  <c:v>-5.9492999999999997E-2</c:v>
                </c:pt>
                <c:pt idx="30">
                  <c:v>-6.6934999999999995E-2</c:v>
                </c:pt>
                <c:pt idx="31">
                  <c:v>-6.6461000000000006E-2</c:v>
                </c:pt>
                <c:pt idx="32">
                  <c:v>-5.2382999999999999E-2</c:v>
                </c:pt>
                <c:pt idx="33">
                  <c:v>-5.9431999999999999E-2</c:v>
                </c:pt>
                <c:pt idx="34">
                  <c:v>-6.1582999999999999E-2</c:v>
                </c:pt>
                <c:pt idx="35">
                  <c:v>-7.3326000000000002E-2</c:v>
                </c:pt>
                <c:pt idx="36">
                  <c:v>-7.5098999999999999E-2</c:v>
                </c:pt>
                <c:pt idx="37">
                  <c:v>-8.4984000000000004E-2</c:v>
                </c:pt>
                <c:pt idx="38">
                  <c:v>-9.4370999999999997E-2</c:v>
                </c:pt>
                <c:pt idx="39">
                  <c:v>-0.101908</c:v>
                </c:pt>
                <c:pt idx="40">
                  <c:v>-0.111535</c:v>
                </c:pt>
                <c:pt idx="41">
                  <c:v>-0.11916499999999999</c:v>
                </c:pt>
                <c:pt idx="42">
                  <c:v>-0.12493600000000001</c:v>
                </c:pt>
                <c:pt idx="43">
                  <c:v>-0.124445</c:v>
                </c:pt>
                <c:pt idx="44">
                  <c:v>-0.126861</c:v>
                </c:pt>
                <c:pt idx="45">
                  <c:v>-0.126585</c:v>
                </c:pt>
                <c:pt idx="46">
                  <c:v>-0.12776899999999999</c:v>
                </c:pt>
                <c:pt idx="47">
                  <c:v>-0.119837</c:v>
                </c:pt>
                <c:pt idx="48">
                  <c:v>-0.11990199999999999</c:v>
                </c:pt>
                <c:pt idx="49">
                  <c:v>-0.123056</c:v>
                </c:pt>
                <c:pt idx="50">
                  <c:v>-0.116062</c:v>
                </c:pt>
                <c:pt idx="51">
                  <c:v>-0.11594500000000001</c:v>
                </c:pt>
                <c:pt idx="52">
                  <c:v>-0.116355</c:v>
                </c:pt>
                <c:pt idx="53">
                  <c:v>-0.110578</c:v>
                </c:pt>
                <c:pt idx="54">
                  <c:v>-0.10628799999999999</c:v>
                </c:pt>
                <c:pt idx="55">
                  <c:v>-0.10413</c:v>
                </c:pt>
                <c:pt idx="56">
                  <c:v>-0.101808</c:v>
                </c:pt>
                <c:pt idx="57">
                  <c:v>-0.100317</c:v>
                </c:pt>
                <c:pt idx="58">
                  <c:v>-9.9975999999999995E-2</c:v>
                </c:pt>
                <c:pt idx="59">
                  <c:v>-7.1015999999999996E-2</c:v>
                </c:pt>
                <c:pt idx="60">
                  <c:v>-7.3568999999999996E-2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173-AE4F-85FD-45892BFF2CA0}"/>
            </c:ext>
          </c:extLst>
        </c:ser>
        <c:ser>
          <c:idx val="2"/>
          <c:order val="3"/>
          <c:tx>
            <c:strRef>
              <c:f>'gemini_delta-trend'!$W$2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'gemini_delta-trend'!$W$3:$W$64</c:f>
              <c:numCache>
                <c:formatCode>General</c:formatCode>
                <c:ptCount val="62"/>
                <c:pt idx="0">
                  <c:v>0</c:v>
                </c:pt>
                <c:pt idx="1">
                  <c:v>1.3600000000000001E-3</c:v>
                </c:pt>
                <c:pt idx="2">
                  <c:v>2.1789999999999999E-3</c:v>
                </c:pt>
                <c:pt idx="3">
                  <c:v>-4.6025000000000003E-2</c:v>
                </c:pt>
                <c:pt idx="4">
                  <c:v>-5.3395999999999999E-2</c:v>
                </c:pt>
                <c:pt idx="5">
                  <c:v>-7.9710000000000003E-2</c:v>
                </c:pt>
                <c:pt idx="6">
                  <c:v>-7.8761999999999999E-2</c:v>
                </c:pt>
                <c:pt idx="7">
                  <c:v>-7.6077000000000006E-2</c:v>
                </c:pt>
                <c:pt idx="8">
                  <c:v>-7.3809E-2</c:v>
                </c:pt>
                <c:pt idx="9">
                  <c:v>-7.4578000000000005E-2</c:v>
                </c:pt>
                <c:pt idx="10">
                  <c:v>-6.7867999999999998E-2</c:v>
                </c:pt>
                <c:pt idx="11">
                  <c:v>-6.7989999999999995E-2</c:v>
                </c:pt>
                <c:pt idx="12">
                  <c:v>-6.7058999999999994E-2</c:v>
                </c:pt>
                <c:pt idx="13">
                  <c:v>-9.4985E-2</c:v>
                </c:pt>
                <c:pt idx="14">
                  <c:v>-9.4437999999999994E-2</c:v>
                </c:pt>
                <c:pt idx="15">
                  <c:v>-8.6209999999999995E-2</c:v>
                </c:pt>
                <c:pt idx="16">
                  <c:v>-9.0708999999999998E-2</c:v>
                </c:pt>
                <c:pt idx="17">
                  <c:v>-0.106929</c:v>
                </c:pt>
                <c:pt idx="18">
                  <c:v>-0.111799</c:v>
                </c:pt>
                <c:pt idx="19">
                  <c:v>-0.119217</c:v>
                </c:pt>
                <c:pt idx="20">
                  <c:v>-0.15329799999999999</c:v>
                </c:pt>
                <c:pt idx="21">
                  <c:v>-0.15226500000000001</c:v>
                </c:pt>
                <c:pt idx="22">
                  <c:v>-0.145565</c:v>
                </c:pt>
                <c:pt idx="23">
                  <c:v>-0.144952</c:v>
                </c:pt>
                <c:pt idx="24">
                  <c:v>-0.144591</c:v>
                </c:pt>
                <c:pt idx="25">
                  <c:v>-0.13899900000000001</c:v>
                </c:pt>
                <c:pt idx="26">
                  <c:v>-0.1464</c:v>
                </c:pt>
                <c:pt idx="27">
                  <c:v>-0.14543800000000001</c:v>
                </c:pt>
                <c:pt idx="28">
                  <c:v>-0.142655</c:v>
                </c:pt>
                <c:pt idx="29">
                  <c:v>-0.14460899999999999</c:v>
                </c:pt>
                <c:pt idx="30">
                  <c:v>-0.14260800000000001</c:v>
                </c:pt>
                <c:pt idx="31">
                  <c:v>-0.13845099999999999</c:v>
                </c:pt>
                <c:pt idx="32">
                  <c:v>-0.125473</c:v>
                </c:pt>
                <c:pt idx="33">
                  <c:v>-0.13825200000000001</c:v>
                </c:pt>
                <c:pt idx="34">
                  <c:v>-0.14094100000000001</c:v>
                </c:pt>
                <c:pt idx="35">
                  <c:v>-0.173457</c:v>
                </c:pt>
                <c:pt idx="36">
                  <c:v>-0.18124499999999999</c:v>
                </c:pt>
                <c:pt idx="37">
                  <c:v>-0.183007</c:v>
                </c:pt>
                <c:pt idx="38">
                  <c:v>-0.170848</c:v>
                </c:pt>
                <c:pt idx="39">
                  <c:v>-0.168213</c:v>
                </c:pt>
                <c:pt idx="40">
                  <c:v>-0.16771</c:v>
                </c:pt>
                <c:pt idx="41">
                  <c:v>-0.16289500000000001</c:v>
                </c:pt>
                <c:pt idx="42">
                  <c:v>-0.166329</c:v>
                </c:pt>
                <c:pt idx="43">
                  <c:v>-0.16928699999999999</c:v>
                </c:pt>
                <c:pt idx="44">
                  <c:v>-0.17155599999999999</c:v>
                </c:pt>
                <c:pt idx="45">
                  <c:v>-0.18771299999999999</c:v>
                </c:pt>
                <c:pt idx="46">
                  <c:v>-0.19316900000000001</c:v>
                </c:pt>
                <c:pt idx="47">
                  <c:v>-0.188916</c:v>
                </c:pt>
                <c:pt idx="48">
                  <c:v>-0.17321800000000001</c:v>
                </c:pt>
                <c:pt idx="49">
                  <c:v>-0.16939599999999999</c:v>
                </c:pt>
                <c:pt idx="50">
                  <c:v>-0.16536200000000001</c:v>
                </c:pt>
                <c:pt idx="51">
                  <c:v>-0.15819</c:v>
                </c:pt>
                <c:pt idx="52">
                  <c:v>-0.15639800000000001</c:v>
                </c:pt>
                <c:pt idx="53">
                  <c:v>-0.154254</c:v>
                </c:pt>
                <c:pt idx="54">
                  <c:v>-0.14874999999999999</c:v>
                </c:pt>
                <c:pt idx="55">
                  <c:v>-0.144039</c:v>
                </c:pt>
                <c:pt idx="56">
                  <c:v>-0.141483</c:v>
                </c:pt>
                <c:pt idx="57">
                  <c:v>-0.139706</c:v>
                </c:pt>
                <c:pt idx="58">
                  <c:v>-0.13758799999999999</c:v>
                </c:pt>
                <c:pt idx="59">
                  <c:v>-0.13287599999999999</c:v>
                </c:pt>
                <c:pt idx="60">
                  <c:v>-0.14432600000000001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173-AE4F-85FD-45892BFF2CA0}"/>
            </c:ext>
          </c:extLst>
        </c:ser>
        <c:ser>
          <c:idx val="3"/>
          <c:order val="4"/>
          <c:tx>
            <c:strRef>
              <c:f>'gemini_delta-trend'!$X$2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'gemini_delta-trend'!$X$3:$X$64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-7.8879999999999992E-3</c:v>
                </c:pt>
                <c:pt idx="2">
                  <c:v>-1.1604E-2</c:v>
                </c:pt>
                <c:pt idx="3">
                  <c:v>-2.0471E-2</c:v>
                </c:pt>
                <c:pt idx="4">
                  <c:v>-2.2873999999999999E-2</c:v>
                </c:pt>
                <c:pt idx="5">
                  <c:v>-2.9302999999999999E-2</c:v>
                </c:pt>
                <c:pt idx="6">
                  <c:v>-3.4251999999999998E-2</c:v>
                </c:pt>
                <c:pt idx="7">
                  <c:v>-4.2308999999999999E-2</c:v>
                </c:pt>
                <c:pt idx="8">
                  <c:v>-4.7989999999999998E-2</c:v>
                </c:pt>
                <c:pt idx="9">
                  <c:v>-7.5964000000000004E-2</c:v>
                </c:pt>
                <c:pt idx="10">
                  <c:v>-7.979E-2</c:v>
                </c:pt>
                <c:pt idx="11">
                  <c:v>-7.9920000000000005E-2</c:v>
                </c:pt>
                <c:pt idx="12">
                  <c:v>-8.0893000000000007E-2</c:v>
                </c:pt>
                <c:pt idx="13">
                  <c:v>-8.6301000000000003E-2</c:v>
                </c:pt>
                <c:pt idx="14">
                  <c:v>-9.7370999999999999E-2</c:v>
                </c:pt>
                <c:pt idx="15">
                  <c:v>-0.11755400000000001</c:v>
                </c:pt>
                <c:pt idx="16">
                  <c:v>-0.14114199999999999</c:v>
                </c:pt>
                <c:pt idx="17">
                  <c:v>-0.16322300000000001</c:v>
                </c:pt>
                <c:pt idx="18">
                  <c:v>-0.17177899999999999</c:v>
                </c:pt>
                <c:pt idx="19">
                  <c:v>-0.189549</c:v>
                </c:pt>
                <c:pt idx="20">
                  <c:v>-0.195131</c:v>
                </c:pt>
                <c:pt idx="21">
                  <c:v>-0.19702700000000001</c:v>
                </c:pt>
                <c:pt idx="22">
                  <c:v>-0.197547</c:v>
                </c:pt>
                <c:pt idx="23">
                  <c:v>-0.197794</c:v>
                </c:pt>
                <c:pt idx="24">
                  <c:v>-0.20988699999999999</c:v>
                </c:pt>
                <c:pt idx="25">
                  <c:v>-0.21371899999999999</c:v>
                </c:pt>
                <c:pt idx="26">
                  <c:v>-0.21443699999999999</c:v>
                </c:pt>
                <c:pt idx="27">
                  <c:v>-0.215783</c:v>
                </c:pt>
                <c:pt idx="28">
                  <c:v>-0.21943399999999999</c:v>
                </c:pt>
                <c:pt idx="29">
                  <c:v>-0.22095600000000001</c:v>
                </c:pt>
                <c:pt idx="30">
                  <c:v>-0.222692</c:v>
                </c:pt>
                <c:pt idx="31">
                  <c:v>-0.227164</c:v>
                </c:pt>
                <c:pt idx="32">
                  <c:v>-0.235841</c:v>
                </c:pt>
                <c:pt idx="33">
                  <c:v>-0.28648600000000002</c:v>
                </c:pt>
                <c:pt idx="34">
                  <c:v>-0.31484299999999998</c:v>
                </c:pt>
                <c:pt idx="35">
                  <c:v>-0.31833</c:v>
                </c:pt>
                <c:pt idx="36">
                  <c:v>-0.32130199999999998</c:v>
                </c:pt>
                <c:pt idx="37">
                  <c:v>-0.329428</c:v>
                </c:pt>
                <c:pt idx="38">
                  <c:v>-0.33568100000000001</c:v>
                </c:pt>
                <c:pt idx="39">
                  <c:v>-0.33891300000000002</c:v>
                </c:pt>
                <c:pt idx="40">
                  <c:v>-0.34255200000000002</c:v>
                </c:pt>
                <c:pt idx="41">
                  <c:v>-0.34707300000000002</c:v>
                </c:pt>
                <c:pt idx="42">
                  <c:v>-0.35329700000000003</c:v>
                </c:pt>
                <c:pt idx="43">
                  <c:v>-0.358153</c:v>
                </c:pt>
                <c:pt idx="44">
                  <c:v>-0.36092200000000002</c:v>
                </c:pt>
                <c:pt idx="45">
                  <c:v>-0.36284</c:v>
                </c:pt>
                <c:pt idx="46">
                  <c:v>-0.36816300000000002</c:v>
                </c:pt>
                <c:pt idx="47">
                  <c:v>-0.37228699999999998</c:v>
                </c:pt>
                <c:pt idx="48">
                  <c:v>-0.37517899999999998</c:v>
                </c:pt>
                <c:pt idx="49">
                  <c:v>-0.38084200000000001</c:v>
                </c:pt>
                <c:pt idx="50">
                  <c:v>-0.38783400000000001</c:v>
                </c:pt>
                <c:pt idx="51">
                  <c:v>-0.39255699999999999</c:v>
                </c:pt>
                <c:pt idx="52">
                  <c:v>-0.39318199999999998</c:v>
                </c:pt>
                <c:pt idx="53">
                  <c:v>-0.39453700000000003</c:v>
                </c:pt>
                <c:pt idx="54">
                  <c:v>-0.39701399999999998</c:v>
                </c:pt>
                <c:pt idx="55">
                  <c:v>-0.39860899999999999</c:v>
                </c:pt>
                <c:pt idx="56">
                  <c:v>-0.40081600000000001</c:v>
                </c:pt>
                <c:pt idx="57">
                  <c:v>-0.40521400000000002</c:v>
                </c:pt>
                <c:pt idx="58">
                  <c:v>-0.40993200000000002</c:v>
                </c:pt>
                <c:pt idx="59">
                  <c:v>-0.41210599999999997</c:v>
                </c:pt>
                <c:pt idx="60">
                  <c:v>-0.41546899999999998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173-AE4F-85FD-45892BFF2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'deepseek-chat_metrics'!$J$34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'deepseek-chat_metrics'!$J$35:$J$38</c:f>
              <c:numCache>
                <c:formatCode>0.0000</c:formatCode>
                <c:ptCount val="4"/>
                <c:pt idx="0">
                  <c:v>0.162436</c:v>
                </c:pt>
                <c:pt idx="1">
                  <c:v>9.6419000000000005E-2</c:v>
                </c:pt>
                <c:pt idx="2">
                  <c:v>-0.44068400000000002</c:v>
                </c:pt>
                <c:pt idx="3">
                  <c:v>-0.17890400000000001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4-D945-BCDA-728BA79678E0}"/>
            </c:ext>
          </c:extLst>
        </c:ser>
        <c:ser>
          <c:idx val="4"/>
          <c:order val="1"/>
          <c:tx>
            <c:strRef>
              <c:f>'deepseek-chat_metrics'!$K$34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'deepseek-chat_metrics'!$K$35:$K$38</c:f>
              <c:numCache>
                <c:formatCode>0.0000</c:formatCode>
                <c:ptCount val="4"/>
                <c:pt idx="0">
                  <c:v>0.63500100000000004</c:v>
                </c:pt>
                <c:pt idx="1">
                  <c:v>0.42116999999999999</c:v>
                </c:pt>
                <c:pt idx="2">
                  <c:v>6.9775000000000004E-2</c:v>
                </c:pt>
                <c:pt idx="3">
                  <c:v>0.215975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4-D945-BCDA-728BA79678E0}"/>
            </c:ext>
          </c:extLst>
        </c:ser>
        <c:ser>
          <c:idx val="1"/>
          <c:order val="2"/>
          <c:tx>
            <c:strRef>
              <c:f>'deepseek-chat_metrics'!$L$34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'deepseek-chat_metrics'!$L$35:$L$38</c:f>
              <c:numCache>
                <c:formatCode>0.0000</c:formatCode>
                <c:ptCount val="4"/>
                <c:pt idx="0">
                  <c:v>1.184159</c:v>
                </c:pt>
                <c:pt idx="1">
                  <c:v>0.60755499999999996</c:v>
                </c:pt>
                <c:pt idx="2">
                  <c:v>0.52893100000000004</c:v>
                </c:pt>
                <c:pt idx="3">
                  <c:v>0.33307300000000001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4-D945-BCDA-728BA79678E0}"/>
            </c:ext>
          </c:extLst>
        </c:ser>
        <c:ser>
          <c:idx val="3"/>
          <c:order val="3"/>
          <c:tx>
            <c:strRef>
              <c:f>'deepseek-chat_metrics'!$N$34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'deepseek-chat_metrics'!$N$35:$N$38</c:f>
              <c:numCache>
                <c:formatCode>0.0000</c:formatCode>
                <c:ptCount val="4"/>
                <c:pt idx="0">
                  <c:v>0.82058500000000001</c:v>
                </c:pt>
                <c:pt idx="1">
                  <c:v>0.44041599999999997</c:v>
                </c:pt>
                <c:pt idx="2">
                  <c:v>0.25089499999999998</c:v>
                </c:pt>
                <c:pt idx="3">
                  <c:v>4.7010999999999997E-2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A4-D945-BCDA-728BA79678E0}"/>
            </c:ext>
          </c:extLst>
        </c:ser>
        <c:ser>
          <c:idx val="2"/>
          <c:order val="4"/>
          <c:tx>
            <c:strRef>
              <c:f>'deepseek-chat_metrics'!$M$34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A4-D945-BCDA-728BA79678E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'deepseek-chat_metrics'!$I$35:$I$38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'deepseek-chat_metrics'!$M$35:$M$38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17A4-D945-BCDA-728BA796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'deepseek-chat_delta-trend'!$B$2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-9.3179999999999999E-3</c:v>
                </c:pt>
                <c:pt idx="2">
                  <c:v>-1.0853E-2</c:v>
                </c:pt>
                <c:pt idx="3">
                  <c:v>-1.2588E-2</c:v>
                </c:pt>
                <c:pt idx="4">
                  <c:v>-1.7526E-2</c:v>
                </c:pt>
                <c:pt idx="5">
                  <c:v>-2.1080999999999999E-2</c:v>
                </c:pt>
                <c:pt idx="6">
                  <c:v>-6.9220000000000002E-3</c:v>
                </c:pt>
                <c:pt idx="7">
                  <c:v>-1.5785E-2</c:v>
                </c:pt>
                <c:pt idx="8">
                  <c:v>-1.9980000000000001E-2</c:v>
                </c:pt>
                <c:pt idx="9">
                  <c:v>-2.1066000000000001E-2</c:v>
                </c:pt>
                <c:pt idx="10">
                  <c:v>-3.9449999999999999E-2</c:v>
                </c:pt>
                <c:pt idx="11">
                  <c:v>-4.6678999999999998E-2</c:v>
                </c:pt>
                <c:pt idx="12">
                  <c:v>-4.6378999999999997E-2</c:v>
                </c:pt>
                <c:pt idx="13">
                  <c:v>-3.9671999999999999E-2</c:v>
                </c:pt>
                <c:pt idx="14">
                  <c:v>-5.2588999999999997E-2</c:v>
                </c:pt>
                <c:pt idx="15">
                  <c:v>-2.9354000000000002E-2</c:v>
                </c:pt>
                <c:pt idx="16">
                  <c:v>-4.7882000000000001E-2</c:v>
                </c:pt>
                <c:pt idx="17">
                  <c:v>-4.598E-2</c:v>
                </c:pt>
                <c:pt idx="18">
                  <c:v>-4.7808000000000003E-2</c:v>
                </c:pt>
                <c:pt idx="19">
                  <c:v>-9.9950000000000004E-3</c:v>
                </c:pt>
                <c:pt idx="20">
                  <c:v>-1.9546000000000001E-2</c:v>
                </c:pt>
                <c:pt idx="21">
                  <c:v>-1.6983999999999999E-2</c:v>
                </c:pt>
                <c:pt idx="22">
                  <c:v>-1.0315E-2</c:v>
                </c:pt>
                <c:pt idx="23">
                  <c:v>-2.0976000000000002E-2</c:v>
                </c:pt>
                <c:pt idx="24">
                  <c:v>-2.0001000000000001E-2</c:v>
                </c:pt>
                <c:pt idx="25">
                  <c:v>-1.5453E-2</c:v>
                </c:pt>
                <c:pt idx="26">
                  <c:v>-6.1479999999999998E-3</c:v>
                </c:pt>
                <c:pt idx="27">
                  <c:v>-3.323E-3</c:v>
                </c:pt>
                <c:pt idx="28">
                  <c:v>-4.5000000000000003E-5</c:v>
                </c:pt>
                <c:pt idx="29">
                  <c:v>6.1390000000000004E-3</c:v>
                </c:pt>
                <c:pt idx="30">
                  <c:v>8.2279999999999992E-3</c:v>
                </c:pt>
                <c:pt idx="31">
                  <c:v>-8.6899999999999998E-4</c:v>
                </c:pt>
                <c:pt idx="32">
                  <c:v>-6.5259999999999997E-3</c:v>
                </c:pt>
                <c:pt idx="33">
                  <c:v>-1.1679999999999999E-2</c:v>
                </c:pt>
                <c:pt idx="34">
                  <c:v>-1.3129E-2</c:v>
                </c:pt>
                <c:pt idx="35">
                  <c:v>-2.3768999999999998E-2</c:v>
                </c:pt>
                <c:pt idx="36">
                  <c:v>-2.8302999999999998E-2</c:v>
                </c:pt>
                <c:pt idx="37">
                  <c:v>-2.7129E-2</c:v>
                </c:pt>
                <c:pt idx="38">
                  <c:v>-2.7827999999999999E-2</c:v>
                </c:pt>
                <c:pt idx="39">
                  <c:v>-2.6610999999999999E-2</c:v>
                </c:pt>
                <c:pt idx="40">
                  <c:v>-2.7775000000000001E-2</c:v>
                </c:pt>
                <c:pt idx="41">
                  <c:v>-3.2689999999999997E-2</c:v>
                </c:pt>
                <c:pt idx="42">
                  <c:v>-3.3514000000000002E-2</c:v>
                </c:pt>
                <c:pt idx="43">
                  <c:v>-3.4667999999999997E-2</c:v>
                </c:pt>
                <c:pt idx="44">
                  <c:v>-3.5410999999999998E-2</c:v>
                </c:pt>
                <c:pt idx="45">
                  <c:v>-4.1318000000000001E-2</c:v>
                </c:pt>
                <c:pt idx="46">
                  <c:v>-4.0874000000000001E-2</c:v>
                </c:pt>
                <c:pt idx="47">
                  <c:v>-4.2936000000000002E-2</c:v>
                </c:pt>
                <c:pt idx="48">
                  <c:v>-4.0176999999999997E-2</c:v>
                </c:pt>
                <c:pt idx="49">
                  <c:v>-2.7643999999999998E-2</c:v>
                </c:pt>
                <c:pt idx="50">
                  <c:v>-3.0033000000000001E-2</c:v>
                </c:pt>
                <c:pt idx="51">
                  <c:v>-3.0138000000000002E-2</c:v>
                </c:pt>
                <c:pt idx="52">
                  <c:v>-3.3142999999999999E-2</c:v>
                </c:pt>
                <c:pt idx="53">
                  <c:v>2.2374999999999999E-2</c:v>
                </c:pt>
                <c:pt idx="54">
                  <c:v>2.5929000000000001E-2</c:v>
                </c:pt>
                <c:pt idx="55">
                  <c:v>1.7069999999999998E-2</c:v>
                </c:pt>
                <c:pt idx="56">
                  <c:v>1.5061E-2</c:v>
                </c:pt>
                <c:pt idx="57">
                  <c:v>4.2895999999999997E-2</c:v>
                </c:pt>
                <c:pt idx="58">
                  <c:v>4.9503999999999999E-2</c:v>
                </c:pt>
                <c:pt idx="59">
                  <c:v>5.1455000000000001E-2</c:v>
                </c:pt>
                <c:pt idx="60">
                  <c:v>5.8935000000000001E-2</c:v>
                </c:pt>
                <c:pt idx="61">
                  <c:v>6.0699000000000003E-2</c:v>
                </c:pt>
                <c:pt idx="62">
                  <c:v>6.1060000000000003E-2</c:v>
                </c:pt>
                <c:pt idx="63">
                  <c:v>6.2562000000000006E-2</c:v>
                </c:pt>
                <c:pt idx="64">
                  <c:v>5.9361999999999998E-2</c:v>
                </c:pt>
                <c:pt idx="65">
                  <c:v>6.0379000000000002E-2</c:v>
                </c:pt>
                <c:pt idx="66">
                  <c:v>5.5715000000000001E-2</c:v>
                </c:pt>
                <c:pt idx="67">
                  <c:v>5.4317999999999998E-2</c:v>
                </c:pt>
                <c:pt idx="68">
                  <c:v>4.7593000000000003E-2</c:v>
                </c:pt>
                <c:pt idx="69">
                  <c:v>5.5515000000000002E-2</c:v>
                </c:pt>
                <c:pt idx="70">
                  <c:v>6.1539000000000003E-2</c:v>
                </c:pt>
                <c:pt idx="71">
                  <c:v>7.4592000000000006E-2</c:v>
                </c:pt>
                <c:pt idx="72">
                  <c:v>7.5323000000000001E-2</c:v>
                </c:pt>
                <c:pt idx="73">
                  <c:v>7.6046000000000002E-2</c:v>
                </c:pt>
                <c:pt idx="74">
                  <c:v>0.111319</c:v>
                </c:pt>
                <c:pt idx="75">
                  <c:v>9.5822000000000004E-2</c:v>
                </c:pt>
                <c:pt idx="76">
                  <c:v>9.8323999999999995E-2</c:v>
                </c:pt>
                <c:pt idx="77">
                  <c:v>9.3106999999999995E-2</c:v>
                </c:pt>
                <c:pt idx="78">
                  <c:v>8.8272000000000003E-2</c:v>
                </c:pt>
                <c:pt idx="79">
                  <c:v>8.9530999999999999E-2</c:v>
                </c:pt>
                <c:pt idx="80">
                  <c:v>0.10573399999999999</c:v>
                </c:pt>
                <c:pt idx="81">
                  <c:v>0.109475</c:v>
                </c:pt>
                <c:pt idx="82">
                  <c:v>9.9884000000000001E-2</c:v>
                </c:pt>
                <c:pt idx="83">
                  <c:v>9.7781999999999994E-2</c:v>
                </c:pt>
                <c:pt idx="84">
                  <c:v>0.106085</c:v>
                </c:pt>
                <c:pt idx="85">
                  <c:v>0.104334</c:v>
                </c:pt>
                <c:pt idx="86">
                  <c:v>0.107295</c:v>
                </c:pt>
                <c:pt idx="87">
                  <c:v>0.111553</c:v>
                </c:pt>
                <c:pt idx="88">
                  <c:v>0.103343</c:v>
                </c:pt>
                <c:pt idx="89">
                  <c:v>0.122047</c:v>
                </c:pt>
                <c:pt idx="90">
                  <c:v>0.125917</c:v>
                </c:pt>
                <c:pt idx="91">
                  <c:v>0.122428</c:v>
                </c:pt>
                <c:pt idx="92">
                  <c:v>0.128557</c:v>
                </c:pt>
                <c:pt idx="93">
                  <c:v>0.13376399999999999</c:v>
                </c:pt>
                <c:pt idx="94">
                  <c:v>0.137429</c:v>
                </c:pt>
                <c:pt idx="95">
                  <c:v>0.141043</c:v>
                </c:pt>
                <c:pt idx="96">
                  <c:v>0.144069</c:v>
                </c:pt>
                <c:pt idx="97">
                  <c:v>0.14454700000000001</c:v>
                </c:pt>
                <c:pt idx="98">
                  <c:v>0.14119399999999999</c:v>
                </c:pt>
                <c:pt idx="99">
                  <c:v>0.16031799999999999</c:v>
                </c:pt>
                <c:pt idx="100">
                  <c:v>0.162436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58-614A-89E2-1D93E1663036}"/>
            </c:ext>
          </c:extLst>
        </c:ser>
        <c:ser>
          <c:idx val="4"/>
          <c:order val="1"/>
          <c:tx>
            <c:strRef>
              <c:f>'deepseek-chat_delta-trend'!$C$2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'deepseek-chat_delta-trend'!$C$3:$C$103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-5.2490000000000002E-3</c:v>
                </c:pt>
                <c:pt idx="2">
                  <c:v>7.1599999999999997E-3</c:v>
                </c:pt>
                <c:pt idx="3">
                  <c:v>1.5192000000000001E-2</c:v>
                </c:pt>
                <c:pt idx="4">
                  <c:v>2.8309000000000001E-2</c:v>
                </c:pt>
                <c:pt idx="5">
                  <c:v>3.5070999999999998E-2</c:v>
                </c:pt>
                <c:pt idx="6">
                  <c:v>4.9421E-2</c:v>
                </c:pt>
                <c:pt idx="7">
                  <c:v>8.0213000000000007E-2</c:v>
                </c:pt>
                <c:pt idx="8">
                  <c:v>8.4445000000000006E-2</c:v>
                </c:pt>
                <c:pt idx="9">
                  <c:v>0.100092</c:v>
                </c:pt>
                <c:pt idx="10">
                  <c:v>6.5850000000000006E-2</c:v>
                </c:pt>
                <c:pt idx="11">
                  <c:v>5.7867000000000002E-2</c:v>
                </c:pt>
                <c:pt idx="12">
                  <c:v>6.1587000000000003E-2</c:v>
                </c:pt>
                <c:pt idx="13">
                  <c:v>7.1028999999999995E-2</c:v>
                </c:pt>
                <c:pt idx="14">
                  <c:v>6.7166000000000003E-2</c:v>
                </c:pt>
                <c:pt idx="15">
                  <c:v>7.9406000000000004E-2</c:v>
                </c:pt>
                <c:pt idx="16">
                  <c:v>6.2477999999999999E-2</c:v>
                </c:pt>
                <c:pt idx="17">
                  <c:v>7.3012999999999995E-2</c:v>
                </c:pt>
                <c:pt idx="18">
                  <c:v>7.9757999999999996E-2</c:v>
                </c:pt>
                <c:pt idx="19">
                  <c:v>0.105588</c:v>
                </c:pt>
                <c:pt idx="20">
                  <c:v>9.4738000000000003E-2</c:v>
                </c:pt>
                <c:pt idx="21">
                  <c:v>0.102505</c:v>
                </c:pt>
                <c:pt idx="22">
                  <c:v>0.11047999999999999</c:v>
                </c:pt>
                <c:pt idx="23">
                  <c:v>9.8691000000000001E-2</c:v>
                </c:pt>
                <c:pt idx="24">
                  <c:v>0.10564999999999999</c:v>
                </c:pt>
                <c:pt idx="25">
                  <c:v>0.111945</c:v>
                </c:pt>
                <c:pt idx="26">
                  <c:v>0.115171</c:v>
                </c:pt>
                <c:pt idx="27">
                  <c:v>0.117871</c:v>
                </c:pt>
                <c:pt idx="28">
                  <c:v>0.120675</c:v>
                </c:pt>
                <c:pt idx="29">
                  <c:v>0.12311900000000001</c:v>
                </c:pt>
                <c:pt idx="30">
                  <c:v>0.127057</c:v>
                </c:pt>
                <c:pt idx="31">
                  <c:v>0.113438</c:v>
                </c:pt>
                <c:pt idx="32">
                  <c:v>0.117108</c:v>
                </c:pt>
                <c:pt idx="33">
                  <c:v>0.1245</c:v>
                </c:pt>
                <c:pt idx="34">
                  <c:v>0.12596099999999999</c:v>
                </c:pt>
                <c:pt idx="35">
                  <c:v>0.121764</c:v>
                </c:pt>
                <c:pt idx="36">
                  <c:v>0.128524</c:v>
                </c:pt>
                <c:pt idx="37">
                  <c:v>0.12557599999999999</c:v>
                </c:pt>
                <c:pt idx="38">
                  <c:v>0.128887</c:v>
                </c:pt>
                <c:pt idx="39">
                  <c:v>0.13667099999999999</c:v>
                </c:pt>
                <c:pt idx="40">
                  <c:v>0.13573499999999999</c:v>
                </c:pt>
                <c:pt idx="41">
                  <c:v>0.19484899999999999</c:v>
                </c:pt>
                <c:pt idx="42">
                  <c:v>0.203815</c:v>
                </c:pt>
                <c:pt idx="43">
                  <c:v>0.200625</c:v>
                </c:pt>
                <c:pt idx="44">
                  <c:v>0.206012</c:v>
                </c:pt>
                <c:pt idx="45">
                  <c:v>0.20074800000000001</c:v>
                </c:pt>
                <c:pt idx="46">
                  <c:v>0.20503299999999999</c:v>
                </c:pt>
                <c:pt idx="47">
                  <c:v>0.202769</c:v>
                </c:pt>
                <c:pt idx="48">
                  <c:v>0.208699</c:v>
                </c:pt>
                <c:pt idx="49">
                  <c:v>0.21421899999999999</c:v>
                </c:pt>
                <c:pt idx="50">
                  <c:v>0.21872</c:v>
                </c:pt>
                <c:pt idx="51">
                  <c:v>0.225801</c:v>
                </c:pt>
                <c:pt idx="52">
                  <c:v>0.30847400000000003</c:v>
                </c:pt>
                <c:pt idx="53">
                  <c:v>0.28419699999999998</c:v>
                </c:pt>
                <c:pt idx="54">
                  <c:v>0.33141500000000002</c:v>
                </c:pt>
                <c:pt idx="55">
                  <c:v>0.31403799999999998</c:v>
                </c:pt>
                <c:pt idx="56">
                  <c:v>0.32128899999999999</c:v>
                </c:pt>
                <c:pt idx="57">
                  <c:v>0.32102700000000001</c:v>
                </c:pt>
                <c:pt idx="58">
                  <c:v>0.330374</c:v>
                </c:pt>
                <c:pt idx="59">
                  <c:v>0.34197100000000002</c:v>
                </c:pt>
                <c:pt idx="60">
                  <c:v>0.3468</c:v>
                </c:pt>
                <c:pt idx="61">
                  <c:v>0.36074800000000001</c:v>
                </c:pt>
                <c:pt idx="62">
                  <c:v>0.36591699999999999</c:v>
                </c:pt>
                <c:pt idx="63">
                  <c:v>0.37637999999999999</c:v>
                </c:pt>
                <c:pt idx="64">
                  <c:v>0.37632500000000002</c:v>
                </c:pt>
                <c:pt idx="65">
                  <c:v>0.38875399999999999</c:v>
                </c:pt>
                <c:pt idx="66">
                  <c:v>0.37870900000000002</c:v>
                </c:pt>
                <c:pt idx="67">
                  <c:v>0.40211599999999997</c:v>
                </c:pt>
                <c:pt idx="68">
                  <c:v>0.40451700000000002</c:v>
                </c:pt>
                <c:pt idx="69">
                  <c:v>0.416018</c:v>
                </c:pt>
                <c:pt idx="70">
                  <c:v>0.42566500000000002</c:v>
                </c:pt>
                <c:pt idx="71">
                  <c:v>0.42970199999999997</c:v>
                </c:pt>
                <c:pt idx="72">
                  <c:v>0.44411499999999998</c:v>
                </c:pt>
                <c:pt idx="73">
                  <c:v>0.44234299999999999</c:v>
                </c:pt>
                <c:pt idx="74">
                  <c:v>0.49212099999999998</c:v>
                </c:pt>
                <c:pt idx="75">
                  <c:v>0.47420699999999999</c:v>
                </c:pt>
                <c:pt idx="76">
                  <c:v>0.50737100000000002</c:v>
                </c:pt>
                <c:pt idx="77">
                  <c:v>0.48810199999999998</c:v>
                </c:pt>
                <c:pt idx="78">
                  <c:v>0.49603999999999998</c:v>
                </c:pt>
                <c:pt idx="79">
                  <c:v>0.53128600000000004</c:v>
                </c:pt>
                <c:pt idx="80">
                  <c:v>0.54409399999999997</c:v>
                </c:pt>
                <c:pt idx="81">
                  <c:v>0.54697300000000004</c:v>
                </c:pt>
                <c:pt idx="82">
                  <c:v>0.544516</c:v>
                </c:pt>
                <c:pt idx="83">
                  <c:v>0.55118400000000001</c:v>
                </c:pt>
                <c:pt idx="84">
                  <c:v>0.55884400000000001</c:v>
                </c:pt>
                <c:pt idx="85">
                  <c:v>0.55345999999999995</c:v>
                </c:pt>
                <c:pt idx="86">
                  <c:v>0.56017700000000004</c:v>
                </c:pt>
                <c:pt idx="87">
                  <c:v>0.568025</c:v>
                </c:pt>
                <c:pt idx="88">
                  <c:v>0.57296899999999995</c:v>
                </c:pt>
                <c:pt idx="89">
                  <c:v>0.58307299999999995</c:v>
                </c:pt>
                <c:pt idx="90">
                  <c:v>0.59253900000000004</c:v>
                </c:pt>
                <c:pt idx="91">
                  <c:v>0.59165100000000004</c:v>
                </c:pt>
                <c:pt idx="92">
                  <c:v>0.60252499999999998</c:v>
                </c:pt>
                <c:pt idx="93">
                  <c:v>0.60724100000000003</c:v>
                </c:pt>
                <c:pt idx="94">
                  <c:v>0.62207400000000002</c:v>
                </c:pt>
                <c:pt idx="95">
                  <c:v>0.63089300000000004</c:v>
                </c:pt>
                <c:pt idx="96">
                  <c:v>0.63802499999999995</c:v>
                </c:pt>
                <c:pt idx="97">
                  <c:v>0.63839599999999996</c:v>
                </c:pt>
                <c:pt idx="98">
                  <c:v>0.63594600000000001</c:v>
                </c:pt>
                <c:pt idx="99">
                  <c:v>0.64354900000000004</c:v>
                </c:pt>
                <c:pt idx="100">
                  <c:v>0.63500100000000004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8-614A-89E2-1D93E1663036}"/>
            </c:ext>
          </c:extLst>
        </c:ser>
        <c:ser>
          <c:idx val="1"/>
          <c:order val="2"/>
          <c:tx>
            <c:strRef>
              <c:f>'deepseek-chat_delta-trend'!$D$2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-2.4510000000000001E-3</c:v>
                </c:pt>
                <c:pt idx="2">
                  <c:v>1.1884E-2</c:v>
                </c:pt>
                <c:pt idx="3">
                  <c:v>2.2433999999999999E-2</c:v>
                </c:pt>
                <c:pt idx="4">
                  <c:v>2.8645E-2</c:v>
                </c:pt>
                <c:pt idx="5">
                  <c:v>2.8160999999999999E-2</c:v>
                </c:pt>
                <c:pt idx="6">
                  <c:v>5.3718000000000002E-2</c:v>
                </c:pt>
                <c:pt idx="7">
                  <c:v>7.1142999999999998E-2</c:v>
                </c:pt>
                <c:pt idx="8">
                  <c:v>0.107639</c:v>
                </c:pt>
                <c:pt idx="9">
                  <c:v>0.10738300000000001</c:v>
                </c:pt>
                <c:pt idx="10">
                  <c:v>9.6988000000000005E-2</c:v>
                </c:pt>
                <c:pt idx="11">
                  <c:v>0.10176200000000001</c:v>
                </c:pt>
                <c:pt idx="12">
                  <c:v>0.113991</c:v>
                </c:pt>
                <c:pt idx="13">
                  <c:v>0.12338499999999999</c:v>
                </c:pt>
                <c:pt idx="14">
                  <c:v>0.13576199999999999</c:v>
                </c:pt>
                <c:pt idx="15">
                  <c:v>0.14128399999999999</c:v>
                </c:pt>
                <c:pt idx="16">
                  <c:v>0.13669500000000001</c:v>
                </c:pt>
                <c:pt idx="17">
                  <c:v>0.154807</c:v>
                </c:pt>
                <c:pt idx="18">
                  <c:v>0.15759300000000001</c:v>
                </c:pt>
                <c:pt idx="19">
                  <c:v>0.207429</c:v>
                </c:pt>
                <c:pt idx="20">
                  <c:v>0.21809500000000001</c:v>
                </c:pt>
                <c:pt idx="21">
                  <c:v>0.23571700000000001</c:v>
                </c:pt>
                <c:pt idx="22">
                  <c:v>0.239872</c:v>
                </c:pt>
                <c:pt idx="23">
                  <c:v>0.23655000000000001</c:v>
                </c:pt>
                <c:pt idx="24">
                  <c:v>0.245362</c:v>
                </c:pt>
                <c:pt idx="25">
                  <c:v>0.25524799999999997</c:v>
                </c:pt>
                <c:pt idx="26">
                  <c:v>0.26035799999999998</c:v>
                </c:pt>
                <c:pt idx="27">
                  <c:v>0.26405899999999999</c:v>
                </c:pt>
                <c:pt idx="28">
                  <c:v>0.269015</c:v>
                </c:pt>
                <c:pt idx="29">
                  <c:v>0.26631199999999999</c:v>
                </c:pt>
                <c:pt idx="30">
                  <c:v>0.27022499999999999</c:v>
                </c:pt>
                <c:pt idx="31">
                  <c:v>0.23195199999999999</c:v>
                </c:pt>
                <c:pt idx="32">
                  <c:v>0.26221</c:v>
                </c:pt>
                <c:pt idx="33">
                  <c:v>0.28851199999999999</c:v>
                </c:pt>
                <c:pt idx="34">
                  <c:v>0.301709</c:v>
                </c:pt>
                <c:pt idx="35">
                  <c:v>0.30737900000000001</c:v>
                </c:pt>
                <c:pt idx="36">
                  <c:v>0.32834600000000003</c:v>
                </c:pt>
                <c:pt idx="37">
                  <c:v>0.35467199999999999</c:v>
                </c:pt>
                <c:pt idx="38">
                  <c:v>0.35590699999999997</c:v>
                </c:pt>
                <c:pt idx="39">
                  <c:v>0.36472599999999999</c:v>
                </c:pt>
                <c:pt idx="40">
                  <c:v>0.35811599999999999</c:v>
                </c:pt>
                <c:pt idx="41">
                  <c:v>0.41824099999999997</c:v>
                </c:pt>
                <c:pt idx="42">
                  <c:v>0.52417100000000005</c:v>
                </c:pt>
                <c:pt idx="43">
                  <c:v>0.54527300000000001</c:v>
                </c:pt>
                <c:pt idx="44">
                  <c:v>0.56424399999999997</c:v>
                </c:pt>
                <c:pt idx="45">
                  <c:v>0.57348200000000005</c:v>
                </c:pt>
                <c:pt idx="46">
                  <c:v>0.568963</c:v>
                </c:pt>
                <c:pt idx="47">
                  <c:v>0.54309099999999999</c:v>
                </c:pt>
                <c:pt idx="48">
                  <c:v>0.60112699999999997</c:v>
                </c:pt>
                <c:pt idx="49">
                  <c:v>0.61368199999999995</c:v>
                </c:pt>
                <c:pt idx="50">
                  <c:v>0.628081</c:v>
                </c:pt>
                <c:pt idx="51">
                  <c:v>0.61524699999999999</c:v>
                </c:pt>
                <c:pt idx="52">
                  <c:v>0.62869200000000003</c:v>
                </c:pt>
                <c:pt idx="53">
                  <c:v>0.64075099999999996</c:v>
                </c:pt>
                <c:pt idx="54">
                  <c:v>0.70641600000000004</c:v>
                </c:pt>
                <c:pt idx="55">
                  <c:v>0.69401599999999997</c:v>
                </c:pt>
                <c:pt idx="56">
                  <c:v>0.76440699999999995</c:v>
                </c:pt>
                <c:pt idx="57">
                  <c:v>0.75295800000000002</c:v>
                </c:pt>
                <c:pt idx="58">
                  <c:v>0.792076</c:v>
                </c:pt>
                <c:pt idx="59">
                  <c:v>0.77905000000000002</c:v>
                </c:pt>
                <c:pt idx="60">
                  <c:v>0.79566000000000003</c:v>
                </c:pt>
                <c:pt idx="61">
                  <c:v>0.83451600000000004</c:v>
                </c:pt>
                <c:pt idx="62">
                  <c:v>0.80309399999999997</c:v>
                </c:pt>
                <c:pt idx="63">
                  <c:v>0.85183900000000001</c:v>
                </c:pt>
                <c:pt idx="64">
                  <c:v>0.83539200000000002</c:v>
                </c:pt>
                <c:pt idx="65">
                  <c:v>0.83699699999999999</c:v>
                </c:pt>
                <c:pt idx="66">
                  <c:v>0.85359700000000005</c:v>
                </c:pt>
                <c:pt idx="67">
                  <c:v>0.77638200000000002</c:v>
                </c:pt>
                <c:pt idx="68">
                  <c:v>0.84915099999999999</c:v>
                </c:pt>
                <c:pt idx="69">
                  <c:v>0.86057700000000004</c:v>
                </c:pt>
                <c:pt idx="70">
                  <c:v>0.88351100000000005</c:v>
                </c:pt>
                <c:pt idx="71">
                  <c:v>0.84964399999999995</c:v>
                </c:pt>
                <c:pt idx="72">
                  <c:v>0.86213700000000004</c:v>
                </c:pt>
                <c:pt idx="73">
                  <c:v>0.84266300000000005</c:v>
                </c:pt>
                <c:pt idx="74">
                  <c:v>0.82652199999999998</c:v>
                </c:pt>
                <c:pt idx="75">
                  <c:v>0.86860800000000005</c:v>
                </c:pt>
                <c:pt idx="76">
                  <c:v>0.91643600000000003</c:v>
                </c:pt>
                <c:pt idx="77">
                  <c:v>0.90746400000000005</c:v>
                </c:pt>
                <c:pt idx="78">
                  <c:v>0.91834300000000002</c:v>
                </c:pt>
                <c:pt idx="79">
                  <c:v>0.96022799999999997</c:v>
                </c:pt>
                <c:pt idx="80">
                  <c:v>0.87646500000000005</c:v>
                </c:pt>
                <c:pt idx="81">
                  <c:v>0.96570500000000004</c:v>
                </c:pt>
                <c:pt idx="82">
                  <c:v>0.97822100000000001</c:v>
                </c:pt>
                <c:pt idx="83">
                  <c:v>0.98761299999999996</c:v>
                </c:pt>
                <c:pt idx="84">
                  <c:v>0.96814299999999998</c:v>
                </c:pt>
                <c:pt idx="85">
                  <c:v>0.98411499999999996</c:v>
                </c:pt>
                <c:pt idx="86">
                  <c:v>1.036805</c:v>
                </c:pt>
                <c:pt idx="87">
                  <c:v>1.0459830000000001</c:v>
                </c:pt>
                <c:pt idx="88">
                  <c:v>1.0277620000000001</c:v>
                </c:pt>
                <c:pt idx="89">
                  <c:v>1.0671550000000001</c:v>
                </c:pt>
                <c:pt idx="90">
                  <c:v>1.102125</c:v>
                </c:pt>
                <c:pt idx="91">
                  <c:v>1.09918</c:v>
                </c:pt>
                <c:pt idx="92">
                  <c:v>1.113081</c:v>
                </c:pt>
                <c:pt idx="93">
                  <c:v>1.1096710000000001</c:v>
                </c:pt>
                <c:pt idx="94">
                  <c:v>1.1525879999999999</c:v>
                </c:pt>
                <c:pt idx="95">
                  <c:v>1.1414569999999999</c:v>
                </c:pt>
                <c:pt idx="96">
                  <c:v>1.154752</c:v>
                </c:pt>
                <c:pt idx="97">
                  <c:v>1.1572480000000001</c:v>
                </c:pt>
                <c:pt idx="98">
                  <c:v>1.146768</c:v>
                </c:pt>
                <c:pt idx="99">
                  <c:v>1.146579</c:v>
                </c:pt>
                <c:pt idx="100">
                  <c:v>1.184159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858-614A-89E2-1D93E1663036}"/>
            </c:ext>
          </c:extLst>
        </c:ser>
        <c:ser>
          <c:idx val="2"/>
          <c:order val="3"/>
          <c:tx>
            <c:strRef>
              <c:f>'deepseek-chat_delta-trend'!$E$2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'deepseek-chat_delta-trend'!$E$3:$E$104</c:f>
              <c:numCache>
                <c:formatCode>General</c:formatCode>
                <c:ptCount val="10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858-614A-89E2-1D93E1663036}"/>
            </c:ext>
          </c:extLst>
        </c:ser>
        <c:ser>
          <c:idx val="3"/>
          <c:order val="4"/>
          <c:tx>
            <c:strRef>
              <c:f>'deepseek-chat_delta-trend'!$F$2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-7.352E-3</c:v>
                </c:pt>
                <c:pt idx="2">
                  <c:v>-4.7809999999999997E-3</c:v>
                </c:pt>
                <c:pt idx="3">
                  <c:v>2.1440000000000001E-3</c:v>
                </c:pt>
                <c:pt idx="4">
                  <c:v>-4.7410000000000004E-3</c:v>
                </c:pt>
                <c:pt idx="5">
                  <c:v>9.4339999999999997E-3</c:v>
                </c:pt>
                <c:pt idx="6">
                  <c:v>2.7786999999999999E-2</c:v>
                </c:pt>
                <c:pt idx="7">
                  <c:v>2.3047999999999999E-2</c:v>
                </c:pt>
                <c:pt idx="8">
                  <c:v>3.3715000000000002E-2</c:v>
                </c:pt>
                <c:pt idx="9">
                  <c:v>6.1335000000000001E-2</c:v>
                </c:pt>
                <c:pt idx="10">
                  <c:v>5.2025000000000002E-2</c:v>
                </c:pt>
                <c:pt idx="11">
                  <c:v>5.9568999999999997E-2</c:v>
                </c:pt>
                <c:pt idx="12">
                  <c:v>8.2492999999999997E-2</c:v>
                </c:pt>
                <c:pt idx="13">
                  <c:v>8.3059999999999995E-2</c:v>
                </c:pt>
                <c:pt idx="14">
                  <c:v>8.4302000000000002E-2</c:v>
                </c:pt>
                <c:pt idx="15">
                  <c:v>8.6682999999999996E-2</c:v>
                </c:pt>
                <c:pt idx="16">
                  <c:v>7.7330999999999997E-2</c:v>
                </c:pt>
                <c:pt idx="17">
                  <c:v>7.9565999999999998E-2</c:v>
                </c:pt>
                <c:pt idx="18">
                  <c:v>7.8348000000000001E-2</c:v>
                </c:pt>
                <c:pt idx="19">
                  <c:v>9.9479999999999999E-2</c:v>
                </c:pt>
                <c:pt idx="20">
                  <c:v>0.121929</c:v>
                </c:pt>
                <c:pt idx="21">
                  <c:v>0.12825</c:v>
                </c:pt>
                <c:pt idx="22">
                  <c:v>0.134685</c:v>
                </c:pt>
                <c:pt idx="23">
                  <c:v>0.122103</c:v>
                </c:pt>
                <c:pt idx="24">
                  <c:v>0.13301099999999999</c:v>
                </c:pt>
                <c:pt idx="25">
                  <c:v>0.13756299999999999</c:v>
                </c:pt>
                <c:pt idx="26">
                  <c:v>0.14235100000000001</c:v>
                </c:pt>
                <c:pt idx="27">
                  <c:v>0.154672</c:v>
                </c:pt>
                <c:pt idx="28">
                  <c:v>0.156608</c:v>
                </c:pt>
                <c:pt idx="29">
                  <c:v>0.153138</c:v>
                </c:pt>
                <c:pt idx="30">
                  <c:v>0.16160099999999999</c:v>
                </c:pt>
                <c:pt idx="31">
                  <c:v>0.15747</c:v>
                </c:pt>
                <c:pt idx="32">
                  <c:v>0.15455199999999999</c:v>
                </c:pt>
                <c:pt idx="33">
                  <c:v>0.164218</c:v>
                </c:pt>
                <c:pt idx="34">
                  <c:v>0.166905</c:v>
                </c:pt>
                <c:pt idx="35">
                  <c:v>0.16433600000000001</c:v>
                </c:pt>
                <c:pt idx="36">
                  <c:v>0.18104400000000001</c:v>
                </c:pt>
                <c:pt idx="37">
                  <c:v>0.18749399999999999</c:v>
                </c:pt>
                <c:pt idx="38">
                  <c:v>0.187498</c:v>
                </c:pt>
                <c:pt idx="39">
                  <c:v>0.20593500000000001</c:v>
                </c:pt>
                <c:pt idx="40">
                  <c:v>0.20441000000000001</c:v>
                </c:pt>
                <c:pt idx="41">
                  <c:v>0.19461200000000001</c:v>
                </c:pt>
                <c:pt idx="42">
                  <c:v>0.21779200000000001</c:v>
                </c:pt>
                <c:pt idx="43">
                  <c:v>0.25856699999999999</c:v>
                </c:pt>
                <c:pt idx="44">
                  <c:v>0.266598</c:v>
                </c:pt>
                <c:pt idx="45">
                  <c:v>0.26899299999999998</c:v>
                </c:pt>
                <c:pt idx="46">
                  <c:v>0.27025700000000002</c:v>
                </c:pt>
                <c:pt idx="47">
                  <c:v>0.26859899999999998</c:v>
                </c:pt>
                <c:pt idx="48">
                  <c:v>0.26934999999999998</c:v>
                </c:pt>
                <c:pt idx="49">
                  <c:v>0.27427499999999999</c:v>
                </c:pt>
                <c:pt idx="50">
                  <c:v>0.28041300000000002</c:v>
                </c:pt>
                <c:pt idx="51">
                  <c:v>0.27512599999999998</c:v>
                </c:pt>
                <c:pt idx="52">
                  <c:v>0.26327</c:v>
                </c:pt>
                <c:pt idx="53">
                  <c:v>0.26173299999999999</c:v>
                </c:pt>
                <c:pt idx="54">
                  <c:v>0.28088000000000002</c:v>
                </c:pt>
                <c:pt idx="55">
                  <c:v>0.28382000000000002</c:v>
                </c:pt>
                <c:pt idx="56">
                  <c:v>0.28575699999999998</c:v>
                </c:pt>
                <c:pt idx="57">
                  <c:v>0.288275</c:v>
                </c:pt>
                <c:pt idx="58">
                  <c:v>0.29536400000000002</c:v>
                </c:pt>
                <c:pt idx="59">
                  <c:v>0.30863000000000002</c:v>
                </c:pt>
                <c:pt idx="60">
                  <c:v>0.32169900000000001</c:v>
                </c:pt>
                <c:pt idx="61">
                  <c:v>0.33740599999999998</c:v>
                </c:pt>
                <c:pt idx="62">
                  <c:v>0.34989399999999998</c:v>
                </c:pt>
                <c:pt idx="63">
                  <c:v>0.35413299999999998</c:v>
                </c:pt>
                <c:pt idx="64">
                  <c:v>0.35792200000000002</c:v>
                </c:pt>
                <c:pt idx="65">
                  <c:v>0.36774600000000002</c:v>
                </c:pt>
                <c:pt idx="66">
                  <c:v>0.36287900000000001</c:v>
                </c:pt>
                <c:pt idx="67">
                  <c:v>0.34908400000000001</c:v>
                </c:pt>
                <c:pt idx="68">
                  <c:v>0.39050400000000002</c:v>
                </c:pt>
                <c:pt idx="69">
                  <c:v>0.39076300000000003</c:v>
                </c:pt>
                <c:pt idx="70">
                  <c:v>0.39830100000000002</c:v>
                </c:pt>
                <c:pt idx="71">
                  <c:v>0.39166099999999998</c:v>
                </c:pt>
                <c:pt idx="72">
                  <c:v>0.39939599999999997</c:v>
                </c:pt>
                <c:pt idx="73">
                  <c:v>0.44464100000000001</c:v>
                </c:pt>
                <c:pt idx="74">
                  <c:v>0.44639699999999999</c:v>
                </c:pt>
                <c:pt idx="75">
                  <c:v>0.49859999999999999</c:v>
                </c:pt>
                <c:pt idx="76">
                  <c:v>0.52243099999999998</c:v>
                </c:pt>
                <c:pt idx="77">
                  <c:v>0.51239800000000002</c:v>
                </c:pt>
                <c:pt idx="78">
                  <c:v>0.510884</c:v>
                </c:pt>
                <c:pt idx="79">
                  <c:v>0.57789800000000002</c:v>
                </c:pt>
                <c:pt idx="80">
                  <c:v>0.61836000000000002</c:v>
                </c:pt>
                <c:pt idx="81">
                  <c:v>0.61916300000000002</c:v>
                </c:pt>
                <c:pt idx="82">
                  <c:v>0.61399499999999996</c:v>
                </c:pt>
                <c:pt idx="83">
                  <c:v>0.63664200000000004</c:v>
                </c:pt>
                <c:pt idx="84">
                  <c:v>0.65121099999999998</c:v>
                </c:pt>
                <c:pt idx="85">
                  <c:v>0.65140500000000001</c:v>
                </c:pt>
                <c:pt idx="86">
                  <c:v>0.661493</c:v>
                </c:pt>
                <c:pt idx="87">
                  <c:v>0.66907300000000003</c:v>
                </c:pt>
                <c:pt idx="88">
                  <c:v>0.67425800000000002</c:v>
                </c:pt>
                <c:pt idx="89">
                  <c:v>0.69931900000000002</c:v>
                </c:pt>
                <c:pt idx="90">
                  <c:v>0.70560599999999996</c:v>
                </c:pt>
                <c:pt idx="91">
                  <c:v>0.71435599999999999</c:v>
                </c:pt>
                <c:pt idx="92">
                  <c:v>0.725051</c:v>
                </c:pt>
                <c:pt idx="93">
                  <c:v>0.73461799999999999</c:v>
                </c:pt>
                <c:pt idx="94">
                  <c:v>0.74655499999999997</c:v>
                </c:pt>
                <c:pt idx="95">
                  <c:v>0.74600699999999998</c:v>
                </c:pt>
                <c:pt idx="96">
                  <c:v>0.76738600000000001</c:v>
                </c:pt>
                <c:pt idx="97">
                  <c:v>0.80338399999999999</c:v>
                </c:pt>
                <c:pt idx="98">
                  <c:v>0.80463200000000001</c:v>
                </c:pt>
                <c:pt idx="99">
                  <c:v>0.82572800000000002</c:v>
                </c:pt>
                <c:pt idx="100">
                  <c:v>0.82058500000000001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858-614A-89E2-1D93E1663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43E-2"/>
          <c:y val="0.16060194444444442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'deepseek-chat_delta-trend'!$H$2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-1.495E-3</c:v>
                </c:pt>
                <c:pt idx="2">
                  <c:v>-2.6719999999999999E-3</c:v>
                </c:pt>
                <c:pt idx="3">
                  <c:v>-1.1479999999999999E-3</c:v>
                </c:pt>
                <c:pt idx="4">
                  <c:v>3.5300000000000002E-4</c:v>
                </c:pt>
                <c:pt idx="5">
                  <c:v>1.0549999999999999E-3</c:v>
                </c:pt>
                <c:pt idx="6">
                  <c:v>6.9099999999999999E-4</c:v>
                </c:pt>
                <c:pt idx="7">
                  <c:v>4.7790000000000003E-3</c:v>
                </c:pt>
                <c:pt idx="8">
                  <c:v>8.9390000000000008E-3</c:v>
                </c:pt>
                <c:pt idx="9">
                  <c:v>6.5839999999999996E-3</c:v>
                </c:pt>
                <c:pt idx="10">
                  <c:v>6.8139999999999997E-3</c:v>
                </c:pt>
                <c:pt idx="11">
                  <c:v>-2.5652999999999999E-2</c:v>
                </c:pt>
                <c:pt idx="12">
                  <c:v>-2.6804000000000001E-2</c:v>
                </c:pt>
                <c:pt idx="13">
                  <c:v>-2.6481999999999999E-2</c:v>
                </c:pt>
                <c:pt idx="14">
                  <c:v>-2.8708000000000001E-2</c:v>
                </c:pt>
                <c:pt idx="15">
                  <c:v>-2.7289999999999998E-2</c:v>
                </c:pt>
                <c:pt idx="16">
                  <c:v>-2.5940000000000001E-2</c:v>
                </c:pt>
                <c:pt idx="17">
                  <c:v>-2.0539000000000002E-2</c:v>
                </c:pt>
                <c:pt idx="18">
                  <c:v>-1.9852000000000002E-2</c:v>
                </c:pt>
                <c:pt idx="19">
                  <c:v>-1.5192000000000001E-2</c:v>
                </c:pt>
                <c:pt idx="20">
                  <c:v>-1.5396E-2</c:v>
                </c:pt>
                <c:pt idx="21">
                  <c:v>-1.6372000000000001E-2</c:v>
                </c:pt>
                <c:pt idx="22">
                  <c:v>-1.6806000000000001E-2</c:v>
                </c:pt>
                <c:pt idx="23">
                  <c:v>-1.3311E-2</c:v>
                </c:pt>
                <c:pt idx="24">
                  <c:v>-1.6924000000000002E-2</c:v>
                </c:pt>
                <c:pt idx="25">
                  <c:v>-1.5675000000000001E-2</c:v>
                </c:pt>
                <c:pt idx="26">
                  <c:v>-1.5442000000000001E-2</c:v>
                </c:pt>
                <c:pt idx="27">
                  <c:v>-1.8315000000000001E-2</c:v>
                </c:pt>
                <c:pt idx="28">
                  <c:v>-2.1115999999999999E-2</c:v>
                </c:pt>
                <c:pt idx="29">
                  <c:v>-2.5978999999999999E-2</c:v>
                </c:pt>
                <c:pt idx="30">
                  <c:v>-2.8634E-2</c:v>
                </c:pt>
                <c:pt idx="31">
                  <c:v>-1.9130000000000001E-2</c:v>
                </c:pt>
                <c:pt idx="32">
                  <c:v>2.9799999999999998E-4</c:v>
                </c:pt>
                <c:pt idx="33">
                  <c:v>4.6699999999999997E-3</c:v>
                </c:pt>
                <c:pt idx="34">
                  <c:v>3.5509999999999999E-3</c:v>
                </c:pt>
                <c:pt idx="35">
                  <c:v>3.7429999999999998E-3</c:v>
                </c:pt>
                <c:pt idx="36">
                  <c:v>1.5058999999999999E-2</c:v>
                </c:pt>
                <c:pt idx="37">
                  <c:v>1.2654E-2</c:v>
                </c:pt>
                <c:pt idx="38">
                  <c:v>1.3336000000000001E-2</c:v>
                </c:pt>
                <c:pt idx="39">
                  <c:v>1.8072000000000001E-2</c:v>
                </c:pt>
                <c:pt idx="40">
                  <c:v>1.8776000000000001E-2</c:v>
                </c:pt>
                <c:pt idx="41">
                  <c:v>1.9113999999999999E-2</c:v>
                </c:pt>
                <c:pt idx="42">
                  <c:v>1.6187E-2</c:v>
                </c:pt>
                <c:pt idx="43">
                  <c:v>1.6871000000000001E-2</c:v>
                </c:pt>
                <c:pt idx="44">
                  <c:v>1.7909999999999999E-2</c:v>
                </c:pt>
                <c:pt idx="45">
                  <c:v>1.6452000000000001E-2</c:v>
                </c:pt>
                <c:pt idx="46">
                  <c:v>2.1552999999999999E-2</c:v>
                </c:pt>
                <c:pt idx="47">
                  <c:v>4.7943E-2</c:v>
                </c:pt>
                <c:pt idx="48">
                  <c:v>5.9479999999999998E-2</c:v>
                </c:pt>
                <c:pt idx="49">
                  <c:v>6.9582000000000005E-2</c:v>
                </c:pt>
                <c:pt idx="50">
                  <c:v>7.7757999999999994E-2</c:v>
                </c:pt>
                <c:pt idx="51">
                  <c:v>8.6024000000000003E-2</c:v>
                </c:pt>
                <c:pt idx="52">
                  <c:v>8.6398000000000003E-2</c:v>
                </c:pt>
                <c:pt idx="53">
                  <c:v>8.9302000000000006E-2</c:v>
                </c:pt>
                <c:pt idx="54">
                  <c:v>9.1867000000000004E-2</c:v>
                </c:pt>
                <c:pt idx="55">
                  <c:v>9.2376E-2</c:v>
                </c:pt>
                <c:pt idx="56">
                  <c:v>9.2766000000000001E-2</c:v>
                </c:pt>
                <c:pt idx="57">
                  <c:v>8.7731000000000003E-2</c:v>
                </c:pt>
                <c:pt idx="58">
                  <c:v>9.5506999999999995E-2</c:v>
                </c:pt>
                <c:pt idx="59">
                  <c:v>9.6909999999999996E-2</c:v>
                </c:pt>
                <c:pt idx="60">
                  <c:v>9.6419000000000005E-2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AD-F147-985D-188249BE4C67}"/>
            </c:ext>
          </c:extLst>
        </c:ser>
        <c:ser>
          <c:idx val="4"/>
          <c:order val="1"/>
          <c:tx>
            <c:strRef>
              <c:f>'deepseek-chat_delta-trend'!$I$2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'deepseek-chat_delta-trend'!$I$3:$I$63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1.9449999999999999E-3</c:v>
                </c:pt>
                <c:pt idx="2">
                  <c:v>2.1440000000000001E-3</c:v>
                </c:pt>
                <c:pt idx="3">
                  <c:v>4.3940000000000003E-3</c:v>
                </c:pt>
                <c:pt idx="4">
                  <c:v>2.2399999999999998E-3</c:v>
                </c:pt>
                <c:pt idx="5">
                  <c:v>6.7019999999999996E-3</c:v>
                </c:pt>
                <c:pt idx="6">
                  <c:v>1.1735000000000001E-2</c:v>
                </c:pt>
                <c:pt idx="7">
                  <c:v>2.7451E-2</c:v>
                </c:pt>
                <c:pt idx="8">
                  <c:v>3.2015000000000002E-2</c:v>
                </c:pt>
                <c:pt idx="9">
                  <c:v>3.1175999999999999E-2</c:v>
                </c:pt>
                <c:pt idx="10">
                  <c:v>3.2273000000000003E-2</c:v>
                </c:pt>
                <c:pt idx="11">
                  <c:v>3.4784000000000002E-2</c:v>
                </c:pt>
                <c:pt idx="12">
                  <c:v>3.9548E-2</c:v>
                </c:pt>
                <c:pt idx="13">
                  <c:v>4.7010999999999997E-2</c:v>
                </c:pt>
                <c:pt idx="14">
                  <c:v>4.8541000000000001E-2</c:v>
                </c:pt>
                <c:pt idx="15">
                  <c:v>8.5813E-2</c:v>
                </c:pt>
                <c:pt idx="16">
                  <c:v>9.7591999999999998E-2</c:v>
                </c:pt>
                <c:pt idx="17">
                  <c:v>0.10303</c:v>
                </c:pt>
                <c:pt idx="18">
                  <c:v>0.11613800000000001</c:v>
                </c:pt>
                <c:pt idx="19">
                  <c:v>0.121431</c:v>
                </c:pt>
                <c:pt idx="20">
                  <c:v>0.14605000000000001</c:v>
                </c:pt>
                <c:pt idx="21">
                  <c:v>0.15310299999999999</c:v>
                </c:pt>
                <c:pt idx="22">
                  <c:v>0.15758900000000001</c:v>
                </c:pt>
                <c:pt idx="23">
                  <c:v>0.16983699999999999</c:v>
                </c:pt>
                <c:pt idx="24">
                  <c:v>0.17802499999999999</c:v>
                </c:pt>
                <c:pt idx="25">
                  <c:v>0.18258099999999999</c:v>
                </c:pt>
                <c:pt idx="26">
                  <c:v>0.18820799999999999</c:v>
                </c:pt>
                <c:pt idx="27">
                  <c:v>0.202094</c:v>
                </c:pt>
                <c:pt idx="28">
                  <c:v>0.204761</c:v>
                </c:pt>
                <c:pt idx="29">
                  <c:v>0.20827799999999999</c:v>
                </c:pt>
                <c:pt idx="30">
                  <c:v>0.21335699999999999</c:v>
                </c:pt>
                <c:pt idx="31">
                  <c:v>0.218667</c:v>
                </c:pt>
                <c:pt idx="32">
                  <c:v>0.23479700000000001</c:v>
                </c:pt>
                <c:pt idx="33">
                  <c:v>0.24238899999999999</c:v>
                </c:pt>
                <c:pt idx="34">
                  <c:v>0.23803099999999999</c:v>
                </c:pt>
                <c:pt idx="35">
                  <c:v>0.25052799999999997</c:v>
                </c:pt>
                <c:pt idx="36">
                  <c:v>0.26857599999999998</c:v>
                </c:pt>
                <c:pt idx="37">
                  <c:v>0.27857300000000002</c:v>
                </c:pt>
                <c:pt idx="38">
                  <c:v>0.290408</c:v>
                </c:pt>
                <c:pt idx="39">
                  <c:v>0.29247499999999998</c:v>
                </c:pt>
                <c:pt idx="40">
                  <c:v>0.30130200000000001</c:v>
                </c:pt>
                <c:pt idx="41">
                  <c:v>0.30486600000000003</c:v>
                </c:pt>
                <c:pt idx="42">
                  <c:v>0.293655</c:v>
                </c:pt>
                <c:pt idx="43">
                  <c:v>0.30556800000000001</c:v>
                </c:pt>
                <c:pt idx="44">
                  <c:v>0.31105100000000002</c:v>
                </c:pt>
                <c:pt idx="45">
                  <c:v>0.318602</c:v>
                </c:pt>
                <c:pt idx="46">
                  <c:v>0.31409700000000002</c:v>
                </c:pt>
                <c:pt idx="47">
                  <c:v>0.32858300000000001</c:v>
                </c:pt>
                <c:pt idx="48">
                  <c:v>0.35207500000000003</c:v>
                </c:pt>
                <c:pt idx="49">
                  <c:v>0.361321</c:v>
                </c:pt>
                <c:pt idx="50">
                  <c:v>0.379021</c:v>
                </c:pt>
                <c:pt idx="51">
                  <c:v>0.39266299999999998</c:v>
                </c:pt>
                <c:pt idx="52">
                  <c:v>0.4002</c:v>
                </c:pt>
                <c:pt idx="53">
                  <c:v>0.39915800000000001</c:v>
                </c:pt>
                <c:pt idx="54">
                  <c:v>0.39275900000000002</c:v>
                </c:pt>
                <c:pt idx="55">
                  <c:v>0.39822999999999997</c:v>
                </c:pt>
                <c:pt idx="56">
                  <c:v>0.40564499999999998</c:v>
                </c:pt>
                <c:pt idx="57">
                  <c:v>0.40190100000000001</c:v>
                </c:pt>
                <c:pt idx="58">
                  <c:v>0.40599499999999999</c:v>
                </c:pt>
                <c:pt idx="59">
                  <c:v>0.415765</c:v>
                </c:pt>
                <c:pt idx="60">
                  <c:v>0.42116999999999999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D-F147-985D-188249BE4C67}"/>
            </c:ext>
          </c:extLst>
        </c:ser>
        <c:ser>
          <c:idx val="1"/>
          <c:order val="2"/>
          <c:tx>
            <c:strRef>
              <c:f>'deepseek-chat_delta-trend'!$J$2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4.1799999999999997E-3</c:v>
                </c:pt>
                <c:pt idx="2">
                  <c:v>1.4801999999999999E-2</c:v>
                </c:pt>
                <c:pt idx="3">
                  <c:v>1.3573E-2</c:v>
                </c:pt>
                <c:pt idx="4">
                  <c:v>1.8563E-2</c:v>
                </c:pt>
                <c:pt idx="5">
                  <c:v>2.5566999999999999E-2</c:v>
                </c:pt>
                <c:pt idx="6">
                  <c:v>2.8908E-2</c:v>
                </c:pt>
                <c:pt idx="7">
                  <c:v>3.7224E-2</c:v>
                </c:pt>
                <c:pt idx="8">
                  <c:v>4.8515999999999997E-2</c:v>
                </c:pt>
                <c:pt idx="9">
                  <c:v>6.5047999999999995E-2</c:v>
                </c:pt>
                <c:pt idx="10">
                  <c:v>7.5636999999999996E-2</c:v>
                </c:pt>
                <c:pt idx="11">
                  <c:v>7.0250000000000007E-2</c:v>
                </c:pt>
                <c:pt idx="12">
                  <c:v>9.0315999999999994E-2</c:v>
                </c:pt>
                <c:pt idx="13">
                  <c:v>9.3588000000000005E-2</c:v>
                </c:pt>
                <c:pt idx="14">
                  <c:v>9.7489999999999993E-2</c:v>
                </c:pt>
                <c:pt idx="15">
                  <c:v>0.11698799999999999</c:v>
                </c:pt>
                <c:pt idx="16">
                  <c:v>0.15542900000000001</c:v>
                </c:pt>
                <c:pt idx="17">
                  <c:v>0.16450799999999999</c:v>
                </c:pt>
                <c:pt idx="18">
                  <c:v>0.183809</c:v>
                </c:pt>
                <c:pt idx="19">
                  <c:v>0.17698700000000001</c:v>
                </c:pt>
                <c:pt idx="20">
                  <c:v>0.20260300000000001</c:v>
                </c:pt>
                <c:pt idx="21">
                  <c:v>0.211426</c:v>
                </c:pt>
                <c:pt idx="22">
                  <c:v>0.21424499999999999</c:v>
                </c:pt>
                <c:pt idx="23">
                  <c:v>0.221058</c:v>
                </c:pt>
                <c:pt idx="24">
                  <c:v>0.22803100000000001</c:v>
                </c:pt>
                <c:pt idx="25">
                  <c:v>0.230237</c:v>
                </c:pt>
                <c:pt idx="26">
                  <c:v>0.23192599999999999</c:v>
                </c:pt>
                <c:pt idx="27">
                  <c:v>0.26610400000000001</c:v>
                </c:pt>
                <c:pt idx="28">
                  <c:v>0.31089</c:v>
                </c:pt>
                <c:pt idx="29">
                  <c:v>0.32564500000000002</c:v>
                </c:pt>
                <c:pt idx="30">
                  <c:v>0.33793499999999999</c:v>
                </c:pt>
                <c:pt idx="31">
                  <c:v>0.35170499999999999</c:v>
                </c:pt>
                <c:pt idx="32">
                  <c:v>0.35990800000000001</c:v>
                </c:pt>
                <c:pt idx="33">
                  <c:v>0.37298900000000001</c:v>
                </c:pt>
                <c:pt idx="34">
                  <c:v>0.39083200000000001</c:v>
                </c:pt>
                <c:pt idx="35">
                  <c:v>0.393513</c:v>
                </c:pt>
                <c:pt idx="36">
                  <c:v>0.387212</c:v>
                </c:pt>
                <c:pt idx="37">
                  <c:v>0.407337</c:v>
                </c:pt>
                <c:pt idx="38">
                  <c:v>0.417406</c:v>
                </c:pt>
                <c:pt idx="39">
                  <c:v>0.41992400000000002</c:v>
                </c:pt>
                <c:pt idx="40">
                  <c:v>0.44295000000000001</c:v>
                </c:pt>
                <c:pt idx="41">
                  <c:v>0.44706600000000002</c:v>
                </c:pt>
                <c:pt idx="42">
                  <c:v>0.44170199999999998</c:v>
                </c:pt>
                <c:pt idx="43">
                  <c:v>0.45934000000000003</c:v>
                </c:pt>
                <c:pt idx="44">
                  <c:v>0.473744</c:v>
                </c:pt>
                <c:pt idx="45">
                  <c:v>0.479933</c:v>
                </c:pt>
                <c:pt idx="46">
                  <c:v>0.48541800000000002</c:v>
                </c:pt>
                <c:pt idx="47">
                  <c:v>0.49768899999999999</c:v>
                </c:pt>
                <c:pt idx="48">
                  <c:v>0.52771599999999996</c:v>
                </c:pt>
                <c:pt idx="49">
                  <c:v>0.53380000000000005</c:v>
                </c:pt>
                <c:pt idx="50">
                  <c:v>0.53507899999999997</c:v>
                </c:pt>
                <c:pt idx="51">
                  <c:v>0.53901200000000005</c:v>
                </c:pt>
                <c:pt idx="52">
                  <c:v>0.55836200000000002</c:v>
                </c:pt>
                <c:pt idx="53">
                  <c:v>0.55698099999999995</c:v>
                </c:pt>
                <c:pt idx="54">
                  <c:v>0.56467400000000001</c:v>
                </c:pt>
                <c:pt idx="55">
                  <c:v>0.59224600000000005</c:v>
                </c:pt>
                <c:pt idx="56">
                  <c:v>0.59868299999999997</c:v>
                </c:pt>
                <c:pt idx="57">
                  <c:v>0.60612500000000002</c:v>
                </c:pt>
                <c:pt idx="58">
                  <c:v>0.59301800000000005</c:v>
                </c:pt>
                <c:pt idx="59">
                  <c:v>0.516293</c:v>
                </c:pt>
                <c:pt idx="60">
                  <c:v>0.60755499999999996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AD-F147-985D-188249BE4C67}"/>
            </c:ext>
          </c:extLst>
        </c:ser>
        <c:ser>
          <c:idx val="2"/>
          <c:order val="3"/>
          <c:tx>
            <c:strRef>
              <c:f>'deepseek-chat_delta-trend'!$K$2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'deepseek-chat_delta-trend'!$K$3:$K$64</c:f>
              <c:numCache>
                <c:formatCode>General</c:formatCode>
                <c:ptCount val="6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BAD-F147-985D-188249BE4C67}"/>
            </c:ext>
          </c:extLst>
        </c:ser>
        <c:ser>
          <c:idx val="3"/>
          <c:order val="4"/>
          <c:tx>
            <c:strRef>
              <c:f>'deepseek-chat_delta-trend'!$L$2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3.3310000000000002E-3</c:v>
                </c:pt>
                <c:pt idx="2">
                  <c:v>8.8889999999999993E-3</c:v>
                </c:pt>
                <c:pt idx="3">
                  <c:v>1.3833E-2</c:v>
                </c:pt>
                <c:pt idx="4">
                  <c:v>2.8455999999999999E-2</c:v>
                </c:pt>
                <c:pt idx="5">
                  <c:v>3.0530000000000002E-2</c:v>
                </c:pt>
                <c:pt idx="6">
                  <c:v>3.6833999999999999E-2</c:v>
                </c:pt>
                <c:pt idx="7">
                  <c:v>3.7495000000000001E-2</c:v>
                </c:pt>
                <c:pt idx="8">
                  <c:v>4.8901E-2</c:v>
                </c:pt>
                <c:pt idx="9">
                  <c:v>6.1100000000000002E-2</c:v>
                </c:pt>
                <c:pt idx="10">
                  <c:v>8.7995000000000004E-2</c:v>
                </c:pt>
                <c:pt idx="11">
                  <c:v>6.5126000000000003E-2</c:v>
                </c:pt>
                <c:pt idx="12">
                  <c:v>7.4649999999999994E-2</c:v>
                </c:pt>
                <c:pt idx="13">
                  <c:v>7.7810000000000004E-2</c:v>
                </c:pt>
                <c:pt idx="14">
                  <c:v>7.8479999999999994E-2</c:v>
                </c:pt>
                <c:pt idx="15">
                  <c:v>8.6610000000000006E-2</c:v>
                </c:pt>
                <c:pt idx="16">
                  <c:v>0.102144</c:v>
                </c:pt>
                <c:pt idx="17">
                  <c:v>0.106462</c:v>
                </c:pt>
                <c:pt idx="18">
                  <c:v>0.11919200000000001</c:v>
                </c:pt>
                <c:pt idx="19">
                  <c:v>0.12002500000000001</c:v>
                </c:pt>
                <c:pt idx="20">
                  <c:v>0.122846</c:v>
                </c:pt>
                <c:pt idx="21">
                  <c:v>0.12628800000000001</c:v>
                </c:pt>
                <c:pt idx="22">
                  <c:v>0.134578</c:v>
                </c:pt>
                <c:pt idx="23">
                  <c:v>0.14347199999999999</c:v>
                </c:pt>
                <c:pt idx="24">
                  <c:v>0.146643</c:v>
                </c:pt>
                <c:pt idx="25">
                  <c:v>0.149677</c:v>
                </c:pt>
                <c:pt idx="26">
                  <c:v>0.15146999999999999</c:v>
                </c:pt>
                <c:pt idx="27">
                  <c:v>0.147398</c:v>
                </c:pt>
                <c:pt idx="28">
                  <c:v>0.14494599999999999</c:v>
                </c:pt>
                <c:pt idx="29">
                  <c:v>0.14993899999999999</c:v>
                </c:pt>
                <c:pt idx="30">
                  <c:v>0.15168899999999999</c:v>
                </c:pt>
                <c:pt idx="31">
                  <c:v>0.17899699999999999</c:v>
                </c:pt>
                <c:pt idx="32">
                  <c:v>0.19597000000000001</c:v>
                </c:pt>
                <c:pt idx="33">
                  <c:v>0.202177</c:v>
                </c:pt>
                <c:pt idx="34">
                  <c:v>0.20974899999999999</c:v>
                </c:pt>
                <c:pt idx="35">
                  <c:v>0.21673200000000001</c:v>
                </c:pt>
                <c:pt idx="36">
                  <c:v>0.22731000000000001</c:v>
                </c:pt>
                <c:pt idx="37">
                  <c:v>0.23808199999999999</c:v>
                </c:pt>
                <c:pt idx="38">
                  <c:v>0.24138200000000001</c:v>
                </c:pt>
                <c:pt idx="39">
                  <c:v>0.226661</c:v>
                </c:pt>
                <c:pt idx="40">
                  <c:v>0.240429</c:v>
                </c:pt>
                <c:pt idx="41">
                  <c:v>0.24675800000000001</c:v>
                </c:pt>
                <c:pt idx="42">
                  <c:v>0.23421400000000001</c:v>
                </c:pt>
                <c:pt idx="43">
                  <c:v>0.236036</c:v>
                </c:pt>
                <c:pt idx="44">
                  <c:v>0.24162500000000001</c:v>
                </c:pt>
                <c:pt idx="45">
                  <c:v>0.27021699999999998</c:v>
                </c:pt>
                <c:pt idx="46">
                  <c:v>0.272453</c:v>
                </c:pt>
                <c:pt idx="47">
                  <c:v>0.29157100000000002</c:v>
                </c:pt>
                <c:pt idx="48">
                  <c:v>0.30535000000000001</c:v>
                </c:pt>
                <c:pt idx="49">
                  <c:v>0.314444</c:v>
                </c:pt>
                <c:pt idx="50">
                  <c:v>0.32400200000000001</c:v>
                </c:pt>
                <c:pt idx="51">
                  <c:v>0.34100200000000003</c:v>
                </c:pt>
                <c:pt idx="52">
                  <c:v>0.34694900000000001</c:v>
                </c:pt>
                <c:pt idx="53">
                  <c:v>0.356906</c:v>
                </c:pt>
                <c:pt idx="54">
                  <c:v>0.36497099999999999</c:v>
                </c:pt>
                <c:pt idx="55">
                  <c:v>0.37239299999999997</c:v>
                </c:pt>
                <c:pt idx="56">
                  <c:v>0.37940800000000002</c:v>
                </c:pt>
                <c:pt idx="57">
                  <c:v>0.41684599999999999</c:v>
                </c:pt>
                <c:pt idx="58">
                  <c:v>0.42923899999999998</c:v>
                </c:pt>
                <c:pt idx="59">
                  <c:v>0.42985299999999999</c:v>
                </c:pt>
                <c:pt idx="60">
                  <c:v>0.44041599999999997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BAD-F147-985D-188249BE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'deepseek-chat_delta-trend'!$N$2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-1.5734000000000001E-2</c:v>
                </c:pt>
                <c:pt idx="2">
                  <c:v>-1.3063E-2</c:v>
                </c:pt>
                <c:pt idx="3">
                  <c:v>-1.3554999999999999E-2</c:v>
                </c:pt>
                <c:pt idx="4">
                  <c:v>-3.3798000000000002E-2</c:v>
                </c:pt>
                <c:pt idx="5">
                  <c:v>-4.8267999999999998E-2</c:v>
                </c:pt>
                <c:pt idx="6">
                  <c:v>-9.5452999999999996E-2</c:v>
                </c:pt>
                <c:pt idx="7">
                  <c:v>-8.5568000000000005E-2</c:v>
                </c:pt>
                <c:pt idx="8">
                  <c:v>-7.5643000000000002E-2</c:v>
                </c:pt>
                <c:pt idx="9">
                  <c:v>-8.6717000000000002E-2</c:v>
                </c:pt>
                <c:pt idx="10">
                  <c:v>-0.120589</c:v>
                </c:pt>
                <c:pt idx="11">
                  <c:v>-0.14333499999999999</c:v>
                </c:pt>
                <c:pt idx="12">
                  <c:v>-0.14863699999999999</c:v>
                </c:pt>
                <c:pt idx="13">
                  <c:v>-0.148203</c:v>
                </c:pt>
                <c:pt idx="14">
                  <c:v>-0.162276</c:v>
                </c:pt>
                <c:pt idx="15">
                  <c:v>-0.189833</c:v>
                </c:pt>
                <c:pt idx="16">
                  <c:v>-0.22738800000000001</c:v>
                </c:pt>
                <c:pt idx="17">
                  <c:v>-0.23896600000000001</c:v>
                </c:pt>
                <c:pt idx="18">
                  <c:v>-0.24496799999999999</c:v>
                </c:pt>
                <c:pt idx="19">
                  <c:v>-0.23341600000000001</c:v>
                </c:pt>
                <c:pt idx="20">
                  <c:v>-0.25357299999999999</c:v>
                </c:pt>
                <c:pt idx="21">
                  <c:v>-0.25907200000000002</c:v>
                </c:pt>
                <c:pt idx="22">
                  <c:v>-0.25227899999999998</c:v>
                </c:pt>
                <c:pt idx="23">
                  <c:v>-0.27203100000000002</c:v>
                </c:pt>
                <c:pt idx="24">
                  <c:v>-0.27281100000000003</c:v>
                </c:pt>
                <c:pt idx="25">
                  <c:v>-0.27393299999999998</c:v>
                </c:pt>
                <c:pt idx="26">
                  <c:v>-0.26982600000000001</c:v>
                </c:pt>
                <c:pt idx="27">
                  <c:v>-0.26701900000000001</c:v>
                </c:pt>
                <c:pt idx="28">
                  <c:v>-0.27003899999999997</c:v>
                </c:pt>
                <c:pt idx="29">
                  <c:v>-0.27214100000000002</c:v>
                </c:pt>
                <c:pt idx="30">
                  <c:v>-0.27265200000000001</c:v>
                </c:pt>
                <c:pt idx="31">
                  <c:v>-0.28332499999999999</c:v>
                </c:pt>
                <c:pt idx="32">
                  <c:v>-0.28884300000000002</c:v>
                </c:pt>
                <c:pt idx="33">
                  <c:v>-0.28975200000000001</c:v>
                </c:pt>
                <c:pt idx="34">
                  <c:v>-0.29418</c:v>
                </c:pt>
                <c:pt idx="35">
                  <c:v>-0.319102</c:v>
                </c:pt>
                <c:pt idx="36">
                  <c:v>-0.33630399999999999</c:v>
                </c:pt>
                <c:pt idx="37">
                  <c:v>-0.336092</c:v>
                </c:pt>
                <c:pt idx="38">
                  <c:v>-0.34945199999999998</c:v>
                </c:pt>
                <c:pt idx="39">
                  <c:v>-0.35616500000000001</c:v>
                </c:pt>
                <c:pt idx="40">
                  <c:v>-0.36142800000000003</c:v>
                </c:pt>
                <c:pt idx="41">
                  <c:v>-0.35291699999999998</c:v>
                </c:pt>
                <c:pt idx="42">
                  <c:v>-0.37003799999999998</c:v>
                </c:pt>
                <c:pt idx="43">
                  <c:v>-0.37053399999999997</c:v>
                </c:pt>
                <c:pt idx="44">
                  <c:v>-0.37006499999999998</c:v>
                </c:pt>
                <c:pt idx="45">
                  <c:v>-0.37837100000000001</c:v>
                </c:pt>
                <c:pt idx="46">
                  <c:v>-0.376747</c:v>
                </c:pt>
                <c:pt idx="47">
                  <c:v>-0.38352000000000003</c:v>
                </c:pt>
                <c:pt idx="48">
                  <c:v>-0.38162699999999999</c:v>
                </c:pt>
                <c:pt idx="49">
                  <c:v>-0.38076399999999999</c:v>
                </c:pt>
                <c:pt idx="50">
                  <c:v>-0.39067600000000002</c:v>
                </c:pt>
                <c:pt idx="51">
                  <c:v>-0.39542100000000002</c:v>
                </c:pt>
                <c:pt idx="52">
                  <c:v>-0.40198499999999998</c:v>
                </c:pt>
                <c:pt idx="53">
                  <c:v>-0.31186000000000003</c:v>
                </c:pt>
                <c:pt idx="54">
                  <c:v>-0.357846</c:v>
                </c:pt>
                <c:pt idx="55">
                  <c:v>-0.36921700000000002</c:v>
                </c:pt>
                <c:pt idx="56">
                  <c:v>-0.371166</c:v>
                </c:pt>
                <c:pt idx="57">
                  <c:v>-0.35242000000000001</c:v>
                </c:pt>
                <c:pt idx="58">
                  <c:v>-0.36480899999999999</c:v>
                </c:pt>
                <c:pt idx="59">
                  <c:v>-0.35788700000000001</c:v>
                </c:pt>
                <c:pt idx="60">
                  <c:v>-0.36755199999999999</c:v>
                </c:pt>
                <c:pt idx="61">
                  <c:v>-0.370091</c:v>
                </c:pt>
                <c:pt idx="62">
                  <c:v>-0.37435400000000002</c:v>
                </c:pt>
                <c:pt idx="63">
                  <c:v>-0.39008999999999999</c:v>
                </c:pt>
                <c:pt idx="64">
                  <c:v>-0.39465800000000001</c:v>
                </c:pt>
                <c:pt idx="65">
                  <c:v>-0.39640599999999998</c:v>
                </c:pt>
                <c:pt idx="66">
                  <c:v>-0.40073700000000001</c:v>
                </c:pt>
                <c:pt idx="67">
                  <c:v>-0.40597899999999998</c:v>
                </c:pt>
                <c:pt idx="68">
                  <c:v>-0.40537000000000001</c:v>
                </c:pt>
                <c:pt idx="69">
                  <c:v>-0.41119800000000001</c:v>
                </c:pt>
                <c:pt idx="70">
                  <c:v>-0.40496799999999999</c:v>
                </c:pt>
                <c:pt idx="71">
                  <c:v>-0.406694</c:v>
                </c:pt>
                <c:pt idx="72">
                  <c:v>-0.40088800000000002</c:v>
                </c:pt>
                <c:pt idx="73">
                  <c:v>-0.416018</c:v>
                </c:pt>
                <c:pt idx="74">
                  <c:v>-0.43066599999999999</c:v>
                </c:pt>
                <c:pt idx="75">
                  <c:v>-0.44941500000000001</c:v>
                </c:pt>
                <c:pt idx="76">
                  <c:v>-0.45130700000000001</c:v>
                </c:pt>
                <c:pt idx="77">
                  <c:v>-0.46677800000000003</c:v>
                </c:pt>
                <c:pt idx="78">
                  <c:v>-0.473715</c:v>
                </c:pt>
                <c:pt idx="79">
                  <c:v>-0.48229499999999997</c:v>
                </c:pt>
                <c:pt idx="80">
                  <c:v>-0.41634100000000002</c:v>
                </c:pt>
                <c:pt idx="81">
                  <c:v>-0.42707200000000001</c:v>
                </c:pt>
                <c:pt idx="82">
                  <c:v>-0.44168499999999999</c:v>
                </c:pt>
                <c:pt idx="83">
                  <c:v>-0.44497799999999998</c:v>
                </c:pt>
                <c:pt idx="84">
                  <c:v>-0.4531</c:v>
                </c:pt>
                <c:pt idx="85">
                  <c:v>-0.457565</c:v>
                </c:pt>
                <c:pt idx="86">
                  <c:v>-0.44041599999999997</c:v>
                </c:pt>
                <c:pt idx="87">
                  <c:v>-0.43694699999999997</c:v>
                </c:pt>
                <c:pt idx="88">
                  <c:v>-0.426425</c:v>
                </c:pt>
                <c:pt idx="89">
                  <c:v>-0.430309</c:v>
                </c:pt>
                <c:pt idx="90">
                  <c:v>-0.43513099999999999</c:v>
                </c:pt>
                <c:pt idx="91">
                  <c:v>-0.42313800000000001</c:v>
                </c:pt>
                <c:pt idx="92">
                  <c:v>-0.42731400000000003</c:v>
                </c:pt>
                <c:pt idx="93">
                  <c:v>-0.42382900000000001</c:v>
                </c:pt>
                <c:pt idx="94">
                  <c:v>-0.43321700000000002</c:v>
                </c:pt>
                <c:pt idx="95">
                  <c:v>-0.43373299999999998</c:v>
                </c:pt>
                <c:pt idx="96">
                  <c:v>-0.43235600000000002</c:v>
                </c:pt>
                <c:pt idx="97">
                  <c:v>-0.43615799999999999</c:v>
                </c:pt>
                <c:pt idx="98">
                  <c:v>-0.42712299999999997</c:v>
                </c:pt>
                <c:pt idx="99">
                  <c:v>-0.43299100000000001</c:v>
                </c:pt>
                <c:pt idx="100">
                  <c:v>-0.44068400000000002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76-234B-B389-66F5CFAC41F5}"/>
            </c:ext>
          </c:extLst>
        </c:ser>
        <c:ser>
          <c:idx val="4"/>
          <c:order val="1"/>
          <c:tx>
            <c:strRef>
              <c:f>'deepseek-chat_delta-trend'!$O$2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'deepseek-chat_delta-trend'!$O$3:$O$103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-2.0303999999999999E-2</c:v>
                </c:pt>
                <c:pt idx="2">
                  <c:v>-1.3058999999999999E-2</c:v>
                </c:pt>
                <c:pt idx="3">
                  <c:v>-4.6649999999999999E-3</c:v>
                </c:pt>
                <c:pt idx="4">
                  <c:v>-5.5659999999999998E-3</c:v>
                </c:pt>
                <c:pt idx="5">
                  <c:v>9.3069999999999993E-3</c:v>
                </c:pt>
                <c:pt idx="6">
                  <c:v>5.2310000000000004E-3</c:v>
                </c:pt>
                <c:pt idx="7">
                  <c:v>8.2410000000000001E-3</c:v>
                </c:pt>
                <c:pt idx="8">
                  <c:v>2.9402999999999999E-2</c:v>
                </c:pt>
                <c:pt idx="9">
                  <c:v>1.6726999999999999E-2</c:v>
                </c:pt>
                <c:pt idx="10">
                  <c:v>7.3889999999999997E-3</c:v>
                </c:pt>
                <c:pt idx="11">
                  <c:v>6.6909999999999999E-3</c:v>
                </c:pt>
                <c:pt idx="12">
                  <c:v>1.0485E-2</c:v>
                </c:pt>
                <c:pt idx="13">
                  <c:v>1.8696999999999998E-2</c:v>
                </c:pt>
                <c:pt idx="14">
                  <c:v>9.5849999999999998E-3</c:v>
                </c:pt>
                <c:pt idx="15">
                  <c:v>-2.6930000000000001E-3</c:v>
                </c:pt>
                <c:pt idx="16">
                  <c:v>-2.1205999999999999E-2</c:v>
                </c:pt>
                <c:pt idx="17">
                  <c:v>-2.9763000000000001E-2</c:v>
                </c:pt>
                <c:pt idx="18">
                  <c:v>-3.0703999999999999E-2</c:v>
                </c:pt>
                <c:pt idx="19">
                  <c:v>-2.134E-3</c:v>
                </c:pt>
                <c:pt idx="20">
                  <c:v>-1.9303000000000001E-2</c:v>
                </c:pt>
                <c:pt idx="21">
                  <c:v>-2.4183E-2</c:v>
                </c:pt>
                <c:pt idx="22">
                  <c:v>-2.3046000000000001E-2</c:v>
                </c:pt>
                <c:pt idx="23">
                  <c:v>-5.8039E-2</c:v>
                </c:pt>
                <c:pt idx="24">
                  <c:v>-5.8484000000000001E-2</c:v>
                </c:pt>
                <c:pt idx="25">
                  <c:v>-5.3749999999999999E-2</c:v>
                </c:pt>
                <c:pt idx="26">
                  <c:v>-4.8759999999999998E-2</c:v>
                </c:pt>
                <c:pt idx="27">
                  <c:v>-4.6587999999999997E-2</c:v>
                </c:pt>
                <c:pt idx="28">
                  <c:v>-4.7965000000000001E-2</c:v>
                </c:pt>
                <c:pt idx="29">
                  <c:v>-6.0118999999999999E-2</c:v>
                </c:pt>
                <c:pt idx="30">
                  <c:v>-6.3903000000000001E-2</c:v>
                </c:pt>
                <c:pt idx="31">
                  <c:v>-6.8384E-2</c:v>
                </c:pt>
                <c:pt idx="32">
                  <c:v>-8.9385000000000006E-2</c:v>
                </c:pt>
                <c:pt idx="33">
                  <c:v>-7.2875999999999996E-2</c:v>
                </c:pt>
                <c:pt idx="34">
                  <c:v>-7.3363999999999999E-2</c:v>
                </c:pt>
                <c:pt idx="35">
                  <c:v>-9.5570000000000002E-2</c:v>
                </c:pt>
                <c:pt idx="36">
                  <c:v>-0.101383</c:v>
                </c:pt>
                <c:pt idx="37">
                  <c:v>-8.2279000000000005E-2</c:v>
                </c:pt>
                <c:pt idx="38">
                  <c:v>-8.4191000000000002E-2</c:v>
                </c:pt>
                <c:pt idx="39">
                  <c:v>-8.8909000000000002E-2</c:v>
                </c:pt>
                <c:pt idx="40">
                  <c:v>-0.10782</c:v>
                </c:pt>
                <c:pt idx="41">
                  <c:v>-0.101594</c:v>
                </c:pt>
                <c:pt idx="42">
                  <c:v>-0.124485</c:v>
                </c:pt>
                <c:pt idx="43">
                  <c:v>-0.108751</c:v>
                </c:pt>
                <c:pt idx="44">
                  <c:v>-0.107922</c:v>
                </c:pt>
                <c:pt idx="45">
                  <c:v>-0.120559</c:v>
                </c:pt>
                <c:pt idx="46">
                  <c:v>-0.114122</c:v>
                </c:pt>
                <c:pt idx="47">
                  <c:v>-0.121337</c:v>
                </c:pt>
                <c:pt idx="48">
                  <c:v>-0.119409</c:v>
                </c:pt>
                <c:pt idx="49">
                  <c:v>-0.108686</c:v>
                </c:pt>
                <c:pt idx="50">
                  <c:v>-0.114054</c:v>
                </c:pt>
                <c:pt idx="51">
                  <c:v>-0.12651100000000001</c:v>
                </c:pt>
                <c:pt idx="52">
                  <c:v>-0.134438</c:v>
                </c:pt>
                <c:pt idx="53">
                  <c:v>-8.6398000000000003E-2</c:v>
                </c:pt>
                <c:pt idx="54">
                  <c:v>-0.100436</c:v>
                </c:pt>
                <c:pt idx="55">
                  <c:v>-0.115412</c:v>
                </c:pt>
                <c:pt idx="56">
                  <c:v>-0.117686</c:v>
                </c:pt>
                <c:pt idx="57">
                  <c:v>-0.107598</c:v>
                </c:pt>
                <c:pt idx="58">
                  <c:v>-0.106504</c:v>
                </c:pt>
                <c:pt idx="59">
                  <c:v>-9.2794000000000001E-2</c:v>
                </c:pt>
                <c:pt idx="60">
                  <c:v>-6.5976000000000007E-2</c:v>
                </c:pt>
                <c:pt idx="61">
                  <c:v>-5.2629000000000002E-2</c:v>
                </c:pt>
                <c:pt idx="62">
                  <c:v>-6.0479999999999999E-2</c:v>
                </c:pt>
                <c:pt idx="63">
                  <c:v>-6.2746999999999997E-2</c:v>
                </c:pt>
                <c:pt idx="64">
                  <c:v>-7.8989000000000004E-2</c:v>
                </c:pt>
                <c:pt idx="65">
                  <c:v>-7.6716000000000006E-2</c:v>
                </c:pt>
                <c:pt idx="66">
                  <c:v>-7.2704000000000005E-2</c:v>
                </c:pt>
                <c:pt idx="67">
                  <c:v>-7.5568999999999997E-2</c:v>
                </c:pt>
                <c:pt idx="68">
                  <c:v>-5.7995999999999999E-2</c:v>
                </c:pt>
                <c:pt idx="69">
                  <c:v>-6.0617999999999998E-2</c:v>
                </c:pt>
                <c:pt idx="70">
                  <c:v>-5.9741000000000002E-2</c:v>
                </c:pt>
                <c:pt idx="71">
                  <c:v>-4.3645000000000003E-2</c:v>
                </c:pt>
                <c:pt idx="72">
                  <c:v>-4.1007000000000002E-2</c:v>
                </c:pt>
                <c:pt idx="73">
                  <c:v>-4.2762000000000001E-2</c:v>
                </c:pt>
                <c:pt idx="74">
                  <c:v>-4.4399000000000001E-2</c:v>
                </c:pt>
                <c:pt idx="75">
                  <c:v>-3.3730999999999997E-2</c:v>
                </c:pt>
                <c:pt idx="76">
                  <c:v>-3.2643999999999999E-2</c:v>
                </c:pt>
                <c:pt idx="77">
                  <c:v>-4.5187999999999999E-2</c:v>
                </c:pt>
                <c:pt idx="78">
                  <c:v>6.6904000000000005E-2</c:v>
                </c:pt>
                <c:pt idx="79">
                  <c:v>7.4081999999999995E-2</c:v>
                </c:pt>
                <c:pt idx="80">
                  <c:v>9.2656000000000002E-2</c:v>
                </c:pt>
                <c:pt idx="81">
                  <c:v>9.8668000000000006E-2</c:v>
                </c:pt>
                <c:pt idx="82">
                  <c:v>8.1077999999999997E-2</c:v>
                </c:pt>
                <c:pt idx="83">
                  <c:v>8.2649E-2</c:v>
                </c:pt>
                <c:pt idx="84">
                  <c:v>8.1383999999999998E-2</c:v>
                </c:pt>
                <c:pt idx="85">
                  <c:v>6.7173999999999998E-2</c:v>
                </c:pt>
                <c:pt idx="86">
                  <c:v>6.7695000000000005E-2</c:v>
                </c:pt>
                <c:pt idx="87">
                  <c:v>6.9697999999999996E-2</c:v>
                </c:pt>
                <c:pt idx="88">
                  <c:v>7.8076000000000007E-2</c:v>
                </c:pt>
                <c:pt idx="89">
                  <c:v>8.0380999999999994E-2</c:v>
                </c:pt>
                <c:pt idx="90">
                  <c:v>6.1731000000000001E-2</c:v>
                </c:pt>
                <c:pt idx="91">
                  <c:v>5.5640000000000002E-2</c:v>
                </c:pt>
                <c:pt idx="92">
                  <c:v>5.3870000000000001E-2</c:v>
                </c:pt>
                <c:pt idx="93">
                  <c:v>7.0969000000000004E-2</c:v>
                </c:pt>
                <c:pt idx="94">
                  <c:v>7.2206999999999993E-2</c:v>
                </c:pt>
                <c:pt idx="95">
                  <c:v>6.7349000000000006E-2</c:v>
                </c:pt>
                <c:pt idx="96">
                  <c:v>6.6743999999999998E-2</c:v>
                </c:pt>
                <c:pt idx="97">
                  <c:v>7.3735999999999996E-2</c:v>
                </c:pt>
                <c:pt idx="98">
                  <c:v>7.7481999999999995E-2</c:v>
                </c:pt>
                <c:pt idx="99">
                  <c:v>7.4167999999999998E-2</c:v>
                </c:pt>
                <c:pt idx="100">
                  <c:v>6.9775000000000004E-2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6-234B-B389-66F5CFAC41F5}"/>
            </c:ext>
          </c:extLst>
        </c:ser>
        <c:ser>
          <c:idx val="1"/>
          <c:order val="2"/>
          <c:tx>
            <c:strRef>
              <c:f>'deepseek-chat_delta-trend'!$P$2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-1.7461000000000001E-2</c:v>
                </c:pt>
                <c:pt idx="2">
                  <c:v>-1.6254000000000001E-2</c:v>
                </c:pt>
                <c:pt idx="3">
                  <c:v>-1.5629000000000001E-2</c:v>
                </c:pt>
                <c:pt idx="4">
                  <c:v>-1.9143E-2</c:v>
                </c:pt>
                <c:pt idx="5">
                  <c:v>-9.1489999999999991E-3</c:v>
                </c:pt>
                <c:pt idx="6">
                  <c:v>-3.0322999999999999E-2</c:v>
                </c:pt>
                <c:pt idx="7">
                  <c:v>-3.3508000000000003E-2</c:v>
                </c:pt>
                <c:pt idx="8">
                  <c:v>-8.5389999999999997E-3</c:v>
                </c:pt>
                <c:pt idx="9">
                  <c:v>2.1235E-2</c:v>
                </c:pt>
                <c:pt idx="10">
                  <c:v>-7.5783000000000003E-2</c:v>
                </c:pt>
                <c:pt idx="11">
                  <c:v>-9.0785000000000005E-2</c:v>
                </c:pt>
                <c:pt idx="12">
                  <c:v>-9.3296000000000004E-2</c:v>
                </c:pt>
                <c:pt idx="13">
                  <c:v>-8.8250999999999996E-2</c:v>
                </c:pt>
                <c:pt idx="14">
                  <c:v>-8.1772999999999998E-2</c:v>
                </c:pt>
                <c:pt idx="15">
                  <c:v>-7.7538999999999997E-2</c:v>
                </c:pt>
                <c:pt idx="16">
                  <c:v>-0.112231</c:v>
                </c:pt>
                <c:pt idx="17">
                  <c:v>-0.11808399999999999</c:v>
                </c:pt>
                <c:pt idx="18">
                  <c:v>-0.120674</c:v>
                </c:pt>
                <c:pt idx="19">
                  <c:v>-0.10580000000000001</c:v>
                </c:pt>
                <c:pt idx="20">
                  <c:v>-0.12191200000000001</c:v>
                </c:pt>
                <c:pt idx="21">
                  <c:v>-0.123206</c:v>
                </c:pt>
                <c:pt idx="22">
                  <c:v>-0.12420100000000001</c:v>
                </c:pt>
                <c:pt idx="23">
                  <c:v>-0.124513</c:v>
                </c:pt>
                <c:pt idx="24">
                  <c:v>-0.13206300000000001</c:v>
                </c:pt>
                <c:pt idx="25">
                  <c:v>-0.12217799999999999</c:v>
                </c:pt>
                <c:pt idx="26">
                  <c:v>-0.116713</c:v>
                </c:pt>
                <c:pt idx="27">
                  <c:v>-0.10473300000000001</c:v>
                </c:pt>
                <c:pt idx="28">
                  <c:v>-0.117046</c:v>
                </c:pt>
                <c:pt idx="29">
                  <c:v>-0.11419700000000001</c:v>
                </c:pt>
                <c:pt idx="30">
                  <c:v>-0.12238400000000001</c:v>
                </c:pt>
                <c:pt idx="31">
                  <c:v>-0.119424</c:v>
                </c:pt>
                <c:pt idx="32">
                  <c:v>-0.15615299999999999</c:v>
                </c:pt>
                <c:pt idx="33">
                  <c:v>-0.100022</c:v>
                </c:pt>
                <c:pt idx="34">
                  <c:v>-8.4437999999999999E-2</c:v>
                </c:pt>
                <c:pt idx="35">
                  <c:v>-5.0687999999999997E-2</c:v>
                </c:pt>
                <c:pt idx="36">
                  <c:v>-4.5097999999999999E-2</c:v>
                </c:pt>
                <c:pt idx="37">
                  <c:v>-4.2321999999999999E-2</c:v>
                </c:pt>
                <c:pt idx="38">
                  <c:v>-4.8152E-2</c:v>
                </c:pt>
                <c:pt idx="39">
                  <c:v>-3.6124999999999997E-2</c:v>
                </c:pt>
                <c:pt idx="40">
                  <c:v>-3.6865000000000002E-2</c:v>
                </c:pt>
                <c:pt idx="41">
                  <c:v>-3.2221E-2</c:v>
                </c:pt>
                <c:pt idx="42">
                  <c:v>-4.1451000000000002E-2</c:v>
                </c:pt>
                <c:pt idx="43">
                  <c:v>-4.9444000000000002E-2</c:v>
                </c:pt>
                <c:pt idx="44">
                  <c:v>-4.7035E-2</c:v>
                </c:pt>
                <c:pt idx="45">
                  <c:v>0.13907</c:v>
                </c:pt>
                <c:pt idx="46">
                  <c:v>0.15722800000000001</c:v>
                </c:pt>
                <c:pt idx="47">
                  <c:v>0.15982299999999999</c:v>
                </c:pt>
                <c:pt idx="48">
                  <c:v>0.188275</c:v>
                </c:pt>
                <c:pt idx="49">
                  <c:v>0.197606</c:v>
                </c:pt>
                <c:pt idx="50">
                  <c:v>0.19880200000000001</c:v>
                </c:pt>
                <c:pt idx="51">
                  <c:v>0.201657</c:v>
                </c:pt>
                <c:pt idx="52">
                  <c:v>0.201792</c:v>
                </c:pt>
                <c:pt idx="53">
                  <c:v>0.20293800000000001</c:v>
                </c:pt>
                <c:pt idx="54">
                  <c:v>0.25480399999999997</c:v>
                </c:pt>
                <c:pt idx="55">
                  <c:v>0.23674500000000001</c:v>
                </c:pt>
                <c:pt idx="56">
                  <c:v>0.24781</c:v>
                </c:pt>
                <c:pt idx="57">
                  <c:v>0.211752</c:v>
                </c:pt>
                <c:pt idx="58">
                  <c:v>0.22250300000000001</c:v>
                </c:pt>
                <c:pt idx="59">
                  <c:v>0.22415599999999999</c:v>
                </c:pt>
                <c:pt idx="60">
                  <c:v>0.22976199999999999</c:v>
                </c:pt>
                <c:pt idx="61">
                  <c:v>0.26876100000000003</c:v>
                </c:pt>
                <c:pt idx="62">
                  <c:v>0.25625999999999999</c:v>
                </c:pt>
                <c:pt idx="63">
                  <c:v>0.26375199999999999</c:v>
                </c:pt>
                <c:pt idx="64">
                  <c:v>0.26654299999999997</c:v>
                </c:pt>
                <c:pt idx="65">
                  <c:v>0.28671799999999997</c:v>
                </c:pt>
                <c:pt idx="66">
                  <c:v>0.28758400000000001</c:v>
                </c:pt>
                <c:pt idx="67">
                  <c:v>0.26672699999999999</c:v>
                </c:pt>
                <c:pt idx="68">
                  <c:v>0.302259</c:v>
                </c:pt>
                <c:pt idx="69">
                  <c:v>0.31739000000000001</c:v>
                </c:pt>
                <c:pt idx="70">
                  <c:v>0.33816499999999999</c:v>
                </c:pt>
                <c:pt idx="71">
                  <c:v>0.38055899999999998</c:v>
                </c:pt>
                <c:pt idx="72">
                  <c:v>0.393405</c:v>
                </c:pt>
                <c:pt idx="73">
                  <c:v>0.40965000000000001</c:v>
                </c:pt>
                <c:pt idx="74">
                  <c:v>0.43297099999999999</c:v>
                </c:pt>
                <c:pt idx="75">
                  <c:v>0.39329199999999997</c:v>
                </c:pt>
                <c:pt idx="76">
                  <c:v>0.40436499999999997</c:v>
                </c:pt>
                <c:pt idx="77">
                  <c:v>0.390125</c:v>
                </c:pt>
                <c:pt idx="78">
                  <c:v>0.44877299999999998</c:v>
                </c:pt>
                <c:pt idx="79">
                  <c:v>0.400061</c:v>
                </c:pt>
                <c:pt idx="80">
                  <c:v>0.40539199999999997</c:v>
                </c:pt>
                <c:pt idx="81">
                  <c:v>0.44343300000000002</c:v>
                </c:pt>
                <c:pt idx="82">
                  <c:v>0.432869</c:v>
                </c:pt>
                <c:pt idx="83">
                  <c:v>0.436527</c:v>
                </c:pt>
                <c:pt idx="84">
                  <c:v>0.43865599999999999</c:v>
                </c:pt>
                <c:pt idx="85">
                  <c:v>0.44558700000000001</c:v>
                </c:pt>
                <c:pt idx="86">
                  <c:v>0.471773</c:v>
                </c:pt>
                <c:pt idx="87">
                  <c:v>0.47105000000000002</c:v>
                </c:pt>
                <c:pt idx="88">
                  <c:v>0.46653800000000001</c:v>
                </c:pt>
                <c:pt idx="89">
                  <c:v>0.49166199999999999</c:v>
                </c:pt>
                <c:pt idx="90">
                  <c:v>0.48333999999999999</c:v>
                </c:pt>
                <c:pt idx="91">
                  <c:v>0.48881799999999997</c:v>
                </c:pt>
                <c:pt idx="92">
                  <c:v>0.494002</c:v>
                </c:pt>
                <c:pt idx="93">
                  <c:v>0.50376699999999996</c:v>
                </c:pt>
                <c:pt idx="94">
                  <c:v>0.51885899999999996</c:v>
                </c:pt>
                <c:pt idx="95">
                  <c:v>0.50477300000000003</c:v>
                </c:pt>
                <c:pt idx="96">
                  <c:v>0.511243</c:v>
                </c:pt>
                <c:pt idx="97">
                  <c:v>0.51937199999999994</c:v>
                </c:pt>
                <c:pt idx="98">
                  <c:v>0.50888100000000003</c:v>
                </c:pt>
                <c:pt idx="99">
                  <c:v>0.51676999999999995</c:v>
                </c:pt>
                <c:pt idx="100">
                  <c:v>0.52893100000000004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776-234B-B389-66F5CFAC41F5}"/>
            </c:ext>
          </c:extLst>
        </c:ser>
        <c:ser>
          <c:idx val="2"/>
          <c:order val="3"/>
          <c:tx>
            <c:strRef>
              <c:f>'deepseek-chat_delta-trend'!$Q$2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'deepseek-chat_delta-trend'!$Q$3:$Q$104</c:f>
              <c:numCache>
                <c:formatCode>General</c:formatCode>
                <c:ptCount val="10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776-234B-B389-66F5CFAC41F5}"/>
            </c:ext>
          </c:extLst>
        </c:ser>
        <c:ser>
          <c:idx val="3"/>
          <c:order val="4"/>
          <c:tx>
            <c:strRef>
              <c:f>'deepseek-chat_delta-trend'!$R$2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-1.2043999999999999E-2</c:v>
                </c:pt>
                <c:pt idx="2">
                  <c:v>-7.6099999999999996E-3</c:v>
                </c:pt>
                <c:pt idx="3">
                  <c:v>-5.1850000000000004E-3</c:v>
                </c:pt>
                <c:pt idx="4">
                  <c:v>-3.771E-3</c:v>
                </c:pt>
                <c:pt idx="5">
                  <c:v>4.7609999999999996E-3</c:v>
                </c:pt>
                <c:pt idx="6">
                  <c:v>2.1199999999999999E-3</c:v>
                </c:pt>
                <c:pt idx="7">
                  <c:v>-5.0860000000000002E-3</c:v>
                </c:pt>
                <c:pt idx="8">
                  <c:v>-5.2129999999999998E-3</c:v>
                </c:pt>
                <c:pt idx="9">
                  <c:v>2.3081999999999998E-2</c:v>
                </c:pt>
                <c:pt idx="10">
                  <c:v>1.3102000000000001E-2</c:v>
                </c:pt>
                <c:pt idx="11">
                  <c:v>5.4130000000000003E-3</c:v>
                </c:pt>
                <c:pt idx="12">
                  <c:v>1.629E-3</c:v>
                </c:pt>
                <c:pt idx="13">
                  <c:v>1.4697E-2</c:v>
                </c:pt>
                <c:pt idx="14">
                  <c:v>-7.2399999999999999E-3</c:v>
                </c:pt>
                <c:pt idx="15">
                  <c:v>-1.7158E-2</c:v>
                </c:pt>
                <c:pt idx="16">
                  <c:v>-5.3044000000000001E-2</c:v>
                </c:pt>
                <c:pt idx="17">
                  <c:v>-4.4337000000000001E-2</c:v>
                </c:pt>
                <c:pt idx="18">
                  <c:v>-7.0511000000000004E-2</c:v>
                </c:pt>
                <c:pt idx="19">
                  <c:v>-6.6363000000000005E-2</c:v>
                </c:pt>
                <c:pt idx="20">
                  <c:v>-8.1600000000000006E-2</c:v>
                </c:pt>
                <c:pt idx="21">
                  <c:v>-8.1842999999999999E-2</c:v>
                </c:pt>
                <c:pt idx="22">
                  <c:v>-6.9436999999999999E-2</c:v>
                </c:pt>
                <c:pt idx="23">
                  <c:v>-9.1236999999999999E-2</c:v>
                </c:pt>
                <c:pt idx="24">
                  <c:v>-8.7396000000000001E-2</c:v>
                </c:pt>
                <c:pt idx="25">
                  <c:v>-7.1197999999999997E-2</c:v>
                </c:pt>
                <c:pt idx="26">
                  <c:v>-7.0037000000000002E-2</c:v>
                </c:pt>
                <c:pt idx="27">
                  <c:v>-6.7646999999999999E-2</c:v>
                </c:pt>
                <c:pt idx="28">
                  <c:v>-6.6284999999999997E-2</c:v>
                </c:pt>
                <c:pt idx="29">
                  <c:v>-6.8744E-2</c:v>
                </c:pt>
                <c:pt idx="30">
                  <c:v>-6.7201999999999998E-2</c:v>
                </c:pt>
                <c:pt idx="31">
                  <c:v>-8.8569999999999996E-2</c:v>
                </c:pt>
                <c:pt idx="32">
                  <c:v>-7.3422000000000001E-2</c:v>
                </c:pt>
                <c:pt idx="33">
                  <c:v>-6.9649000000000003E-2</c:v>
                </c:pt>
                <c:pt idx="34">
                  <c:v>-2.3807999999999999E-2</c:v>
                </c:pt>
                <c:pt idx="35">
                  <c:v>-2.5734E-2</c:v>
                </c:pt>
                <c:pt idx="36">
                  <c:v>-2.2145000000000001E-2</c:v>
                </c:pt>
                <c:pt idx="37">
                  <c:v>-1.4714E-2</c:v>
                </c:pt>
                <c:pt idx="38">
                  <c:v>-1.8179000000000001E-2</c:v>
                </c:pt>
                <c:pt idx="39">
                  <c:v>-1.5580999999999999E-2</c:v>
                </c:pt>
                <c:pt idx="40">
                  <c:v>-2.4909000000000001E-2</c:v>
                </c:pt>
                <c:pt idx="41">
                  <c:v>-3.0387999999999998E-2</c:v>
                </c:pt>
                <c:pt idx="42">
                  <c:v>-3.3066999999999999E-2</c:v>
                </c:pt>
                <c:pt idx="43">
                  <c:v>-3.5452999999999998E-2</c:v>
                </c:pt>
                <c:pt idx="44">
                  <c:v>-3.6070999999999999E-2</c:v>
                </c:pt>
                <c:pt idx="45">
                  <c:v>-4.7954999999999998E-2</c:v>
                </c:pt>
                <c:pt idx="46">
                  <c:v>-4.1620999999999998E-2</c:v>
                </c:pt>
                <c:pt idx="47">
                  <c:v>-4.9673000000000002E-2</c:v>
                </c:pt>
                <c:pt idx="48">
                  <c:v>-4.5301000000000001E-2</c:v>
                </c:pt>
                <c:pt idx="49">
                  <c:v>-3.6968000000000001E-2</c:v>
                </c:pt>
                <c:pt idx="50">
                  <c:v>-4.1839000000000001E-2</c:v>
                </c:pt>
                <c:pt idx="51">
                  <c:v>-4.6532999999999998E-2</c:v>
                </c:pt>
                <c:pt idx="52">
                  <c:v>-5.3275999999999997E-2</c:v>
                </c:pt>
                <c:pt idx="53">
                  <c:v>-5.2669000000000001E-2</c:v>
                </c:pt>
                <c:pt idx="54">
                  <c:v>-3.5310000000000001E-2</c:v>
                </c:pt>
                <c:pt idx="55">
                  <c:v>-4.4967E-2</c:v>
                </c:pt>
                <c:pt idx="56">
                  <c:v>-4.7301000000000003E-2</c:v>
                </c:pt>
                <c:pt idx="57">
                  <c:v>-4.6466E-2</c:v>
                </c:pt>
                <c:pt idx="58">
                  <c:v>-3.4351E-2</c:v>
                </c:pt>
                <c:pt idx="59">
                  <c:v>-1.0470999999999999E-2</c:v>
                </c:pt>
                <c:pt idx="60">
                  <c:v>-8.2780000000000006E-3</c:v>
                </c:pt>
                <c:pt idx="61">
                  <c:v>6.5032000000000006E-2</c:v>
                </c:pt>
                <c:pt idx="62">
                  <c:v>9.0007000000000004E-2</c:v>
                </c:pt>
                <c:pt idx="63">
                  <c:v>9.7342999999999999E-2</c:v>
                </c:pt>
                <c:pt idx="64">
                  <c:v>9.9298999999999998E-2</c:v>
                </c:pt>
                <c:pt idx="65">
                  <c:v>0.103052</c:v>
                </c:pt>
                <c:pt idx="66">
                  <c:v>0.101243</c:v>
                </c:pt>
                <c:pt idx="67">
                  <c:v>0.164497</c:v>
                </c:pt>
                <c:pt idx="68">
                  <c:v>0.20089299999999999</c:v>
                </c:pt>
                <c:pt idx="69">
                  <c:v>0.18611</c:v>
                </c:pt>
                <c:pt idx="70">
                  <c:v>0.193436</c:v>
                </c:pt>
                <c:pt idx="71">
                  <c:v>0.196163</c:v>
                </c:pt>
                <c:pt idx="72">
                  <c:v>0.19935</c:v>
                </c:pt>
                <c:pt idx="73">
                  <c:v>0.20510900000000001</c:v>
                </c:pt>
                <c:pt idx="74">
                  <c:v>0.207258</c:v>
                </c:pt>
                <c:pt idx="75">
                  <c:v>0.19087299999999999</c:v>
                </c:pt>
                <c:pt idx="76">
                  <c:v>0.21364900000000001</c:v>
                </c:pt>
                <c:pt idx="77">
                  <c:v>0.18204999999999999</c:v>
                </c:pt>
                <c:pt idx="78">
                  <c:v>0.17768700000000001</c:v>
                </c:pt>
                <c:pt idx="79">
                  <c:v>0.183973</c:v>
                </c:pt>
                <c:pt idx="80">
                  <c:v>0.22403000000000001</c:v>
                </c:pt>
                <c:pt idx="81">
                  <c:v>0.21940100000000001</c:v>
                </c:pt>
                <c:pt idx="82">
                  <c:v>0.18787799999999999</c:v>
                </c:pt>
                <c:pt idx="83">
                  <c:v>0.21697900000000001</c:v>
                </c:pt>
                <c:pt idx="84">
                  <c:v>0.22414799999999999</c:v>
                </c:pt>
                <c:pt idx="85">
                  <c:v>0.21415400000000001</c:v>
                </c:pt>
                <c:pt idx="86">
                  <c:v>0.221861</c:v>
                </c:pt>
                <c:pt idx="87">
                  <c:v>0.217284</c:v>
                </c:pt>
                <c:pt idx="88">
                  <c:v>0.21767400000000001</c:v>
                </c:pt>
                <c:pt idx="89">
                  <c:v>0.217806</c:v>
                </c:pt>
                <c:pt idx="90">
                  <c:v>0.21881400000000001</c:v>
                </c:pt>
                <c:pt idx="91">
                  <c:v>0.22538</c:v>
                </c:pt>
                <c:pt idx="92">
                  <c:v>0.24141099999999999</c:v>
                </c:pt>
                <c:pt idx="93">
                  <c:v>0.26128699999999999</c:v>
                </c:pt>
                <c:pt idx="94">
                  <c:v>0.267071</c:v>
                </c:pt>
                <c:pt idx="95">
                  <c:v>0.266515</c:v>
                </c:pt>
                <c:pt idx="96">
                  <c:v>0.256413</c:v>
                </c:pt>
                <c:pt idx="97">
                  <c:v>0.26529700000000001</c:v>
                </c:pt>
                <c:pt idx="98">
                  <c:v>0.26300000000000001</c:v>
                </c:pt>
                <c:pt idx="99">
                  <c:v>0.27002900000000002</c:v>
                </c:pt>
                <c:pt idx="100">
                  <c:v>0.25089499999999998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776-234B-B389-66F5CFAC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'deepseek-chat_delta-trend'!$T$2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-7.2189999999999997E-3</c:v>
                </c:pt>
                <c:pt idx="2">
                  <c:v>-5.8269999999999997E-3</c:v>
                </c:pt>
                <c:pt idx="3">
                  <c:v>-8.43E-3</c:v>
                </c:pt>
                <c:pt idx="4">
                  <c:v>-2.2259999999999999E-2</c:v>
                </c:pt>
                <c:pt idx="5">
                  <c:v>-3.2001000000000002E-2</c:v>
                </c:pt>
                <c:pt idx="6">
                  <c:v>-3.3612000000000003E-2</c:v>
                </c:pt>
                <c:pt idx="7">
                  <c:v>-3.6899000000000001E-2</c:v>
                </c:pt>
                <c:pt idx="8">
                  <c:v>-3.4890999999999998E-2</c:v>
                </c:pt>
                <c:pt idx="9">
                  <c:v>-3.7919000000000001E-2</c:v>
                </c:pt>
                <c:pt idx="10">
                  <c:v>-4.3111999999999998E-2</c:v>
                </c:pt>
                <c:pt idx="11">
                  <c:v>-5.6356999999999997E-2</c:v>
                </c:pt>
                <c:pt idx="12">
                  <c:v>-6.7514000000000005E-2</c:v>
                </c:pt>
                <c:pt idx="13">
                  <c:v>-7.0569000000000007E-2</c:v>
                </c:pt>
                <c:pt idx="14">
                  <c:v>-7.7058000000000001E-2</c:v>
                </c:pt>
                <c:pt idx="15">
                  <c:v>-7.7331999999999998E-2</c:v>
                </c:pt>
                <c:pt idx="16">
                  <c:v>-7.9989000000000005E-2</c:v>
                </c:pt>
                <c:pt idx="17">
                  <c:v>-8.4690000000000001E-2</c:v>
                </c:pt>
                <c:pt idx="18">
                  <c:v>-8.5593000000000002E-2</c:v>
                </c:pt>
                <c:pt idx="19">
                  <c:v>-9.1720999999999997E-2</c:v>
                </c:pt>
                <c:pt idx="20">
                  <c:v>-9.6692E-2</c:v>
                </c:pt>
                <c:pt idx="21">
                  <c:v>-0.108691</c:v>
                </c:pt>
                <c:pt idx="22">
                  <c:v>-0.113274</c:v>
                </c:pt>
                <c:pt idx="23">
                  <c:v>-0.111166</c:v>
                </c:pt>
                <c:pt idx="24">
                  <c:v>-0.11551400000000001</c:v>
                </c:pt>
                <c:pt idx="25">
                  <c:v>-0.11304500000000001</c:v>
                </c:pt>
                <c:pt idx="26">
                  <c:v>-0.11397400000000001</c:v>
                </c:pt>
                <c:pt idx="27">
                  <c:v>-0.121244</c:v>
                </c:pt>
                <c:pt idx="28">
                  <c:v>-0.14388699999999999</c:v>
                </c:pt>
                <c:pt idx="29">
                  <c:v>-0.150584</c:v>
                </c:pt>
                <c:pt idx="30">
                  <c:v>-0.155172</c:v>
                </c:pt>
                <c:pt idx="31">
                  <c:v>-0.145731</c:v>
                </c:pt>
                <c:pt idx="32">
                  <c:v>-0.13223599999999999</c:v>
                </c:pt>
                <c:pt idx="33">
                  <c:v>-0.13333900000000001</c:v>
                </c:pt>
                <c:pt idx="34">
                  <c:v>-0.13767599999999999</c:v>
                </c:pt>
                <c:pt idx="35">
                  <c:v>-0.14336299999999999</c:v>
                </c:pt>
                <c:pt idx="36">
                  <c:v>-0.15054300000000001</c:v>
                </c:pt>
                <c:pt idx="37">
                  <c:v>-0.159526</c:v>
                </c:pt>
                <c:pt idx="38">
                  <c:v>-0.163993</c:v>
                </c:pt>
                <c:pt idx="39">
                  <c:v>-0.15911400000000001</c:v>
                </c:pt>
                <c:pt idx="40">
                  <c:v>-0.16500400000000001</c:v>
                </c:pt>
                <c:pt idx="41">
                  <c:v>-0.16710800000000001</c:v>
                </c:pt>
                <c:pt idx="42">
                  <c:v>-0.178982</c:v>
                </c:pt>
                <c:pt idx="43">
                  <c:v>-0.18194199999999999</c:v>
                </c:pt>
                <c:pt idx="44">
                  <c:v>-0.188053</c:v>
                </c:pt>
                <c:pt idx="45">
                  <c:v>-0.193605</c:v>
                </c:pt>
                <c:pt idx="46">
                  <c:v>-0.19383700000000001</c:v>
                </c:pt>
                <c:pt idx="47">
                  <c:v>-0.16966100000000001</c:v>
                </c:pt>
                <c:pt idx="48">
                  <c:v>-0.16001599999999999</c:v>
                </c:pt>
                <c:pt idx="49">
                  <c:v>-0.166495</c:v>
                </c:pt>
                <c:pt idx="50">
                  <c:v>-0.173738</c:v>
                </c:pt>
                <c:pt idx="51">
                  <c:v>-0.17608399999999999</c:v>
                </c:pt>
                <c:pt idx="52">
                  <c:v>-0.17602000000000001</c:v>
                </c:pt>
                <c:pt idx="53">
                  <c:v>-0.16924</c:v>
                </c:pt>
                <c:pt idx="54">
                  <c:v>-0.16928000000000001</c:v>
                </c:pt>
                <c:pt idx="55">
                  <c:v>-0.170852</c:v>
                </c:pt>
                <c:pt idx="56">
                  <c:v>-0.1729</c:v>
                </c:pt>
                <c:pt idx="57">
                  <c:v>-0.171263</c:v>
                </c:pt>
                <c:pt idx="58">
                  <c:v>-0.17676</c:v>
                </c:pt>
                <c:pt idx="59">
                  <c:v>-0.17849899999999999</c:v>
                </c:pt>
                <c:pt idx="60">
                  <c:v>-0.17890400000000001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51-3940-A7F2-D391769351ED}"/>
            </c:ext>
          </c:extLst>
        </c:ser>
        <c:ser>
          <c:idx val="4"/>
          <c:order val="1"/>
          <c:tx>
            <c:strRef>
              <c:f>'deepseek-chat_delta-trend'!$U$2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'deepseek-chat_delta-trend'!$U$3:$U$63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-1.472E-3</c:v>
                </c:pt>
                <c:pt idx="2">
                  <c:v>-1.3780000000000001E-3</c:v>
                </c:pt>
                <c:pt idx="3">
                  <c:v>1.853E-3</c:v>
                </c:pt>
                <c:pt idx="4">
                  <c:v>-3.2959999999999999E-3</c:v>
                </c:pt>
                <c:pt idx="5">
                  <c:v>-3.0560000000000001E-3</c:v>
                </c:pt>
                <c:pt idx="6">
                  <c:v>-1.0532E-2</c:v>
                </c:pt>
                <c:pt idx="7">
                  <c:v>-9.665E-3</c:v>
                </c:pt>
                <c:pt idx="8">
                  <c:v>-4.4749999999999998E-3</c:v>
                </c:pt>
                <c:pt idx="9">
                  <c:v>7.6969999999999998E-3</c:v>
                </c:pt>
                <c:pt idx="10">
                  <c:v>1.5893999999999998E-2</c:v>
                </c:pt>
                <c:pt idx="11">
                  <c:v>1.4033E-2</c:v>
                </c:pt>
                <c:pt idx="12">
                  <c:v>1.0581E-2</c:v>
                </c:pt>
                <c:pt idx="13">
                  <c:v>1.0969E-2</c:v>
                </c:pt>
                <c:pt idx="14">
                  <c:v>0</c:v>
                </c:pt>
                <c:pt idx="15">
                  <c:v>1.0536E-2</c:v>
                </c:pt>
                <c:pt idx="16">
                  <c:v>2.1277999999999998E-2</c:v>
                </c:pt>
                <c:pt idx="17">
                  <c:v>4.6861E-2</c:v>
                </c:pt>
                <c:pt idx="18">
                  <c:v>5.2589999999999998E-2</c:v>
                </c:pt>
                <c:pt idx="19">
                  <c:v>6.5235000000000001E-2</c:v>
                </c:pt>
                <c:pt idx="20">
                  <c:v>6.6442000000000001E-2</c:v>
                </c:pt>
                <c:pt idx="21">
                  <c:v>6.4312999999999995E-2</c:v>
                </c:pt>
                <c:pt idx="22">
                  <c:v>6.9587999999999997E-2</c:v>
                </c:pt>
                <c:pt idx="23">
                  <c:v>8.2907999999999996E-2</c:v>
                </c:pt>
                <c:pt idx="24">
                  <c:v>8.6197999999999997E-2</c:v>
                </c:pt>
                <c:pt idx="25">
                  <c:v>6.9441000000000003E-2</c:v>
                </c:pt>
                <c:pt idx="26">
                  <c:v>6.9395999999999999E-2</c:v>
                </c:pt>
                <c:pt idx="27">
                  <c:v>6.9236000000000006E-2</c:v>
                </c:pt>
                <c:pt idx="28">
                  <c:v>6.7687999999999998E-2</c:v>
                </c:pt>
                <c:pt idx="29">
                  <c:v>6.8999000000000005E-2</c:v>
                </c:pt>
                <c:pt idx="30">
                  <c:v>6.7761000000000002E-2</c:v>
                </c:pt>
                <c:pt idx="31">
                  <c:v>7.1275000000000005E-2</c:v>
                </c:pt>
                <c:pt idx="32">
                  <c:v>7.0657999999999999E-2</c:v>
                </c:pt>
                <c:pt idx="33">
                  <c:v>7.7148999999999995E-2</c:v>
                </c:pt>
                <c:pt idx="34">
                  <c:v>8.6301000000000003E-2</c:v>
                </c:pt>
                <c:pt idx="35">
                  <c:v>9.6214999999999995E-2</c:v>
                </c:pt>
                <c:pt idx="36">
                  <c:v>0.117894</c:v>
                </c:pt>
                <c:pt idx="37">
                  <c:v>0.13295899999999999</c:v>
                </c:pt>
                <c:pt idx="38">
                  <c:v>0.14346300000000001</c:v>
                </c:pt>
                <c:pt idx="39">
                  <c:v>0.15639</c:v>
                </c:pt>
                <c:pt idx="40">
                  <c:v>0.15718599999999999</c:v>
                </c:pt>
                <c:pt idx="41">
                  <c:v>0.15993299999999999</c:v>
                </c:pt>
                <c:pt idx="42">
                  <c:v>0.169795</c:v>
                </c:pt>
                <c:pt idx="43">
                  <c:v>0.165879</c:v>
                </c:pt>
                <c:pt idx="44">
                  <c:v>0.16811000000000001</c:v>
                </c:pt>
                <c:pt idx="45">
                  <c:v>0.16908200000000001</c:v>
                </c:pt>
                <c:pt idx="46">
                  <c:v>0.17610000000000001</c:v>
                </c:pt>
                <c:pt idx="47">
                  <c:v>0.17097200000000001</c:v>
                </c:pt>
                <c:pt idx="48">
                  <c:v>0.19316</c:v>
                </c:pt>
                <c:pt idx="49">
                  <c:v>0.21457699999999999</c:v>
                </c:pt>
                <c:pt idx="50">
                  <c:v>0.221882</c:v>
                </c:pt>
                <c:pt idx="51">
                  <c:v>0.22846</c:v>
                </c:pt>
                <c:pt idx="52">
                  <c:v>0.22062399999999999</c:v>
                </c:pt>
                <c:pt idx="53">
                  <c:v>0.22093099999999999</c:v>
                </c:pt>
                <c:pt idx="54">
                  <c:v>0.21768199999999999</c:v>
                </c:pt>
                <c:pt idx="55">
                  <c:v>0.22333700000000001</c:v>
                </c:pt>
                <c:pt idx="56">
                  <c:v>0.221831</c:v>
                </c:pt>
                <c:pt idx="57">
                  <c:v>0.22576299999999999</c:v>
                </c:pt>
                <c:pt idx="58">
                  <c:v>0.21896499999999999</c:v>
                </c:pt>
                <c:pt idx="59">
                  <c:v>0.205315</c:v>
                </c:pt>
                <c:pt idx="60">
                  <c:v>0.215975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1-3940-A7F2-D391769351ED}"/>
            </c:ext>
          </c:extLst>
        </c:ser>
        <c:ser>
          <c:idx val="1"/>
          <c:order val="2"/>
          <c:tx>
            <c:strRef>
              <c:f>'deepseek-chat_delta-trend'!$V$2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1.954E-3</c:v>
                </c:pt>
                <c:pt idx="2">
                  <c:v>8.52E-4</c:v>
                </c:pt>
                <c:pt idx="3">
                  <c:v>1.142E-3</c:v>
                </c:pt>
                <c:pt idx="4">
                  <c:v>3.3010000000000001E-3</c:v>
                </c:pt>
                <c:pt idx="5">
                  <c:v>6.0179999999999999E-3</c:v>
                </c:pt>
                <c:pt idx="6">
                  <c:v>1.1386E-2</c:v>
                </c:pt>
                <c:pt idx="7">
                  <c:v>2.2515E-2</c:v>
                </c:pt>
                <c:pt idx="8">
                  <c:v>3.2867E-2</c:v>
                </c:pt>
                <c:pt idx="9">
                  <c:v>3.7731000000000001E-2</c:v>
                </c:pt>
                <c:pt idx="10">
                  <c:v>4.2949000000000001E-2</c:v>
                </c:pt>
                <c:pt idx="11">
                  <c:v>1.8955E-2</c:v>
                </c:pt>
                <c:pt idx="12">
                  <c:v>3.9188000000000001E-2</c:v>
                </c:pt>
                <c:pt idx="13">
                  <c:v>4.3491000000000002E-2</c:v>
                </c:pt>
                <c:pt idx="14">
                  <c:v>4.6142000000000002E-2</c:v>
                </c:pt>
                <c:pt idx="15">
                  <c:v>4.0176000000000003E-2</c:v>
                </c:pt>
                <c:pt idx="16">
                  <c:v>4.5802000000000002E-2</c:v>
                </c:pt>
                <c:pt idx="17">
                  <c:v>4.2417999999999997E-2</c:v>
                </c:pt>
                <c:pt idx="18">
                  <c:v>4.6328000000000001E-2</c:v>
                </c:pt>
                <c:pt idx="19">
                  <c:v>4.9984000000000001E-2</c:v>
                </c:pt>
                <c:pt idx="20">
                  <c:v>0.106978</c:v>
                </c:pt>
                <c:pt idx="21">
                  <c:v>0.10056900000000001</c:v>
                </c:pt>
                <c:pt idx="22">
                  <c:v>0.10403999999999999</c:v>
                </c:pt>
                <c:pt idx="23">
                  <c:v>9.9866999999999997E-2</c:v>
                </c:pt>
                <c:pt idx="24">
                  <c:v>0.100303</c:v>
                </c:pt>
                <c:pt idx="25">
                  <c:v>0.112958</c:v>
                </c:pt>
                <c:pt idx="26">
                  <c:v>0.113561</c:v>
                </c:pt>
                <c:pt idx="27">
                  <c:v>0.11665</c:v>
                </c:pt>
                <c:pt idx="28">
                  <c:v>0.129966</c:v>
                </c:pt>
                <c:pt idx="29">
                  <c:v>0.13144700000000001</c:v>
                </c:pt>
                <c:pt idx="30">
                  <c:v>0.13269700000000001</c:v>
                </c:pt>
                <c:pt idx="31">
                  <c:v>0.14937</c:v>
                </c:pt>
                <c:pt idx="32">
                  <c:v>0.14369799999999999</c:v>
                </c:pt>
                <c:pt idx="33">
                  <c:v>0.160192</c:v>
                </c:pt>
                <c:pt idx="34">
                  <c:v>0.15279999999999999</c:v>
                </c:pt>
                <c:pt idx="35">
                  <c:v>0.15626599999999999</c:v>
                </c:pt>
                <c:pt idx="36">
                  <c:v>0.17281099999999999</c:v>
                </c:pt>
                <c:pt idx="37">
                  <c:v>0.21596299999999999</c:v>
                </c:pt>
                <c:pt idx="38">
                  <c:v>0.23371400000000001</c:v>
                </c:pt>
                <c:pt idx="39">
                  <c:v>0.236238</c:v>
                </c:pt>
                <c:pt idx="40">
                  <c:v>0.251249</c:v>
                </c:pt>
                <c:pt idx="41">
                  <c:v>0.25251499999999999</c:v>
                </c:pt>
                <c:pt idx="42">
                  <c:v>0.23177300000000001</c:v>
                </c:pt>
                <c:pt idx="43">
                  <c:v>0.246671</c:v>
                </c:pt>
                <c:pt idx="44">
                  <c:v>0.27138400000000001</c:v>
                </c:pt>
                <c:pt idx="45">
                  <c:v>0.272901</c:v>
                </c:pt>
                <c:pt idx="46">
                  <c:v>0.27885900000000002</c:v>
                </c:pt>
                <c:pt idx="47">
                  <c:v>0.27673999999999999</c:v>
                </c:pt>
                <c:pt idx="48">
                  <c:v>0.29402499999999998</c:v>
                </c:pt>
                <c:pt idx="49">
                  <c:v>0.30153000000000002</c:v>
                </c:pt>
                <c:pt idx="50">
                  <c:v>0.29933799999999999</c:v>
                </c:pt>
                <c:pt idx="51">
                  <c:v>0.306954</c:v>
                </c:pt>
                <c:pt idx="52">
                  <c:v>0.30890600000000001</c:v>
                </c:pt>
                <c:pt idx="53">
                  <c:v>0.31252999999999997</c:v>
                </c:pt>
                <c:pt idx="54">
                  <c:v>0.32294800000000001</c:v>
                </c:pt>
                <c:pt idx="55">
                  <c:v>0.33123900000000001</c:v>
                </c:pt>
                <c:pt idx="56">
                  <c:v>0.33818199999999998</c:v>
                </c:pt>
                <c:pt idx="57">
                  <c:v>0.29375499999999999</c:v>
                </c:pt>
                <c:pt idx="58">
                  <c:v>0.32080199999999998</c:v>
                </c:pt>
                <c:pt idx="59">
                  <c:v>0.31722800000000001</c:v>
                </c:pt>
                <c:pt idx="60">
                  <c:v>0.33307300000000001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51-3940-A7F2-D391769351ED}"/>
            </c:ext>
          </c:extLst>
        </c:ser>
        <c:ser>
          <c:idx val="2"/>
          <c:order val="3"/>
          <c:tx>
            <c:strRef>
              <c:f>'deepseek-chat_delta-trend'!$W$2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'deepseek-chat_delta-trend'!$W$3:$W$64</c:f>
              <c:numCache>
                <c:formatCode>General</c:formatCode>
                <c:ptCount val="6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951-3940-A7F2-D391769351ED}"/>
            </c:ext>
          </c:extLst>
        </c:ser>
        <c:ser>
          <c:idx val="3"/>
          <c:order val="4"/>
          <c:tx>
            <c:strRef>
              <c:f>'deepseek-chat_delta-trend'!$X$2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'deepseek-chat_delta-trend'!$X$3:$X$64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-1.426E-3</c:v>
                </c:pt>
                <c:pt idx="2">
                  <c:v>-6.4050000000000001E-3</c:v>
                </c:pt>
                <c:pt idx="3">
                  <c:v>-7.1710000000000003E-3</c:v>
                </c:pt>
                <c:pt idx="4">
                  <c:v>-1.0399E-2</c:v>
                </c:pt>
                <c:pt idx="5">
                  <c:v>-9.5890000000000003E-3</c:v>
                </c:pt>
                <c:pt idx="6">
                  <c:v>-2.0666E-2</c:v>
                </c:pt>
                <c:pt idx="7">
                  <c:v>-1.8603999999999999E-2</c:v>
                </c:pt>
                <c:pt idx="8">
                  <c:v>-1.7690999999999998E-2</c:v>
                </c:pt>
                <c:pt idx="9">
                  <c:v>-1.4302E-2</c:v>
                </c:pt>
                <c:pt idx="10">
                  <c:v>7.1000000000000002E-4</c:v>
                </c:pt>
                <c:pt idx="11">
                  <c:v>-6.5278000000000003E-2</c:v>
                </c:pt>
                <c:pt idx="12">
                  <c:v>-7.2881000000000001E-2</c:v>
                </c:pt>
                <c:pt idx="13">
                  <c:v>-7.6274999999999996E-2</c:v>
                </c:pt>
                <c:pt idx="14">
                  <c:v>-7.9873E-2</c:v>
                </c:pt>
                <c:pt idx="15">
                  <c:v>-8.5042000000000006E-2</c:v>
                </c:pt>
                <c:pt idx="16">
                  <c:v>-8.5194000000000006E-2</c:v>
                </c:pt>
                <c:pt idx="17">
                  <c:v>-8.4959999999999994E-2</c:v>
                </c:pt>
                <c:pt idx="18">
                  <c:v>-8.3467E-2</c:v>
                </c:pt>
                <c:pt idx="19">
                  <c:v>-6.2927999999999998E-2</c:v>
                </c:pt>
                <c:pt idx="20">
                  <c:v>-6.5511E-2</c:v>
                </c:pt>
                <c:pt idx="21">
                  <c:v>-7.0050000000000001E-2</c:v>
                </c:pt>
                <c:pt idx="22">
                  <c:v>-7.0744000000000001E-2</c:v>
                </c:pt>
                <c:pt idx="23">
                  <c:v>-6.9311999999999999E-2</c:v>
                </c:pt>
                <c:pt idx="24">
                  <c:v>-6.3891000000000003E-2</c:v>
                </c:pt>
                <c:pt idx="25">
                  <c:v>-7.9338000000000006E-2</c:v>
                </c:pt>
                <c:pt idx="26">
                  <c:v>-8.0643999999999993E-2</c:v>
                </c:pt>
                <c:pt idx="27">
                  <c:v>-6.0114000000000001E-2</c:v>
                </c:pt>
                <c:pt idx="28">
                  <c:v>-6.3538999999999998E-2</c:v>
                </c:pt>
                <c:pt idx="29">
                  <c:v>-6.7540000000000003E-2</c:v>
                </c:pt>
                <c:pt idx="30">
                  <c:v>-6.5418000000000004E-2</c:v>
                </c:pt>
                <c:pt idx="31">
                  <c:v>-6.0206999999999997E-2</c:v>
                </c:pt>
                <c:pt idx="32">
                  <c:v>-5.7525E-2</c:v>
                </c:pt>
                <c:pt idx="33">
                  <c:v>-4.9321999999999998E-2</c:v>
                </c:pt>
                <c:pt idx="34">
                  <c:v>-5.083E-2</c:v>
                </c:pt>
                <c:pt idx="35">
                  <c:v>-4.8884999999999998E-2</c:v>
                </c:pt>
                <c:pt idx="36">
                  <c:v>-3.3404999999999997E-2</c:v>
                </c:pt>
                <c:pt idx="37">
                  <c:v>-2.8153000000000001E-2</c:v>
                </c:pt>
                <c:pt idx="38">
                  <c:v>-1.5890000000000001E-2</c:v>
                </c:pt>
                <c:pt idx="39">
                  <c:v>6.0480000000000004E-3</c:v>
                </c:pt>
                <c:pt idx="40">
                  <c:v>1.0325000000000001E-2</c:v>
                </c:pt>
                <c:pt idx="41">
                  <c:v>1.2423E-2</c:v>
                </c:pt>
                <c:pt idx="42">
                  <c:v>5.2290000000000001E-3</c:v>
                </c:pt>
                <c:pt idx="43">
                  <c:v>7.5310000000000004E-3</c:v>
                </c:pt>
                <c:pt idx="44">
                  <c:v>1.0291E-2</c:v>
                </c:pt>
                <c:pt idx="45">
                  <c:v>2.1259E-2</c:v>
                </c:pt>
                <c:pt idx="46">
                  <c:v>1.6043000000000002E-2</c:v>
                </c:pt>
                <c:pt idx="47">
                  <c:v>4.7099999999999998E-3</c:v>
                </c:pt>
                <c:pt idx="48">
                  <c:v>5.3689999999999996E-3</c:v>
                </c:pt>
                <c:pt idx="49">
                  <c:v>1.7177000000000001E-2</c:v>
                </c:pt>
                <c:pt idx="50">
                  <c:v>2.4181999999999999E-2</c:v>
                </c:pt>
                <c:pt idx="51">
                  <c:v>3.3751000000000003E-2</c:v>
                </c:pt>
                <c:pt idx="52">
                  <c:v>2.2776999999999999E-2</c:v>
                </c:pt>
                <c:pt idx="53">
                  <c:v>1.6343E-2</c:v>
                </c:pt>
                <c:pt idx="54">
                  <c:v>2.1642000000000002E-2</c:v>
                </c:pt>
                <c:pt idx="55">
                  <c:v>1.9401000000000002E-2</c:v>
                </c:pt>
                <c:pt idx="56">
                  <c:v>2.2114000000000002E-2</c:v>
                </c:pt>
                <c:pt idx="57">
                  <c:v>2.7276000000000002E-2</c:v>
                </c:pt>
                <c:pt idx="58">
                  <c:v>3.0232999999999999E-2</c:v>
                </c:pt>
                <c:pt idx="59">
                  <c:v>4.1410000000000002E-2</c:v>
                </c:pt>
                <c:pt idx="60">
                  <c:v>4.7010999999999997E-2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951-3940-A7F2-D39176935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Final Delta Comparison</a:t>
            </a:r>
          </a:p>
        </c:rich>
      </c:tx>
      <c:layout>
        <c:manualLayout>
          <c:xMode val="edge"/>
          <c:yMode val="edge"/>
          <c:x val="0.52184406565656571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'deepseek-reasoner_metrics'!$J$34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'deepseek-reasoner_metrics'!$J$35:$J$38</c:f>
              <c:numCache>
                <c:formatCode>0.0000</c:formatCode>
                <c:ptCount val="4"/>
                <c:pt idx="0">
                  <c:v>1.0812029999999999</c:v>
                </c:pt>
                <c:pt idx="1">
                  <c:v>1.3165</c:v>
                </c:pt>
                <c:pt idx="2">
                  <c:v>0.47660799999999998</c:v>
                </c:pt>
                <c:pt idx="3">
                  <c:v>-1.096581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014C-A837-8967C94D9D0C}"/>
            </c:ext>
          </c:extLst>
        </c:ser>
        <c:ser>
          <c:idx val="4"/>
          <c:order val="1"/>
          <c:tx>
            <c:strRef>
              <c:f>'deepseek-reasoner_metrics'!$K$34</c:f>
              <c:strCache>
                <c:ptCount val="1"/>
                <c:pt idx="0">
                  <c:v>Temp 0.5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'deepseek-reasoner_metrics'!$K$35:$K$38</c:f>
              <c:numCache>
                <c:formatCode>0.0000</c:formatCode>
                <c:ptCount val="4"/>
                <c:pt idx="0">
                  <c:v>1.2033579999999999</c:v>
                </c:pt>
                <c:pt idx="1">
                  <c:v>0.71219900000000003</c:v>
                </c:pt>
                <c:pt idx="2">
                  <c:v>0.31539499999999998</c:v>
                </c:pt>
                <c:pt idx="3">
                  <c:v>-0.99313499999999999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D-014C-A837-8967C94D9D0C}"/>
            </c:ext>
          </c:extLst>
        </c:ser>
        <c:ser>
          <c:idx val="1"/>
          <c:order val="2"/>
          <c:tx>
            <c:strRef>
              <c:f>'deepseek-reasoner_metrics'!$L$34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'deepseek-reasoner_metrics'!$L$35:$L$38</c:f>
              <c:numCache>
                <c:formatCode>0.0000</c:formatCode>
                <c:ptCount val="4"/>
                <c:pt idx="0">
                  <c:v>1.3069539999999999</c:v>
                </c:pt>
                <c:pt idx="1">
                  <c:v>1.119977</c:v>
                </c:pt>
                <c:pt idx="2">
                  <c:v>0.121992</c:v>
                </c:pt>
                <c:pt idx="3">
                  <c:v>1.2594730000000001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D-014C-A837-8967C94D9D0C}"/>
            </c:ext>
          </c:extLst>
        </c:ser>
        <c:ser>
          <c:idx val="3"/>
          <c:order val="3"/>
          <c:tx>
            <c:strRef>
              <c:f>'deepseek-reasoner_metrics'!$N$34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'deepseek-reasoner_metrics'!$N$35:$N$38</c:f>
              <c:numCache>
                <c:formatCode>0.0000</c:formatCode>
                <c:ptCount val="4"/>
                <c:pt idx="0">
                  <c:v>1.1247419999999999</c:v>
                </c:pt>
                <c:pt idx="1">
                  <c:v>0.82689500000000005</c:v>
                </c:pt>
                <c:pt idx="2">
                  <c:v>0.103294</c:v>
                </c:pt>
                <c:pt idx="3">
                  <c:v>0.13750299999999999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D-014C-A837-8967C94D9D0C}"/>
            </c:ext>
          </c:extLst>
        </c:ser>
        <c:ser>
          <c:idx val="2"/>
          <c:order val="4"/>
          <c:tx>
            <c:strRef>
              <c:f>'deepseek-reasoner_metrics'!$M$34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2"/>
              <c:layout>
                <c:manualLayout>
                  <c:x val="-8.0176767676767673E-3"/>
                  <c:y val="-4.7037037037036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CD-014C-A837-8967C94D9D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'deepseek-reasoner_metrics'!$I$35:$I$38</c:f>
              <c:strCache>
                <c:ptCount val="4"/>
                <c:pt idx="0">
                  <c:v>60/40 MIX 100 nodes</c:v>
                </c:pt>
                <c:pt idx="1">
                  <c:v>60/40 PRO 60 nodes</c:v>
                </c:pt>
                <c:pt idx="2">
                  <c:v>70/30 MIX 100 nodes</c:v>
                </c:pt>
                <c:pt idx="3">
                  <c:v>70/30 PRO 60 nodes</c:v>
                </c:pt>
              </c:strCache>
            </c:strRef>
          </c:cat>
          <c:val>
            <c:numRef>
              <c:f>'deepseek-reasoner_metrics'!$M$35:$M$38</c:f>
              <c:numCache>
                <c:formatCode>0.0000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CBCD-014C-A837-8967C94D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 sz="1200"/>
                  <a:t>Delta</a:t>
                </a:r>
                <a:r>
                  <a:rPr lang="en-GB" sz="1200" baseline="0"/>
                  <a:t> </a:t>
                </a:r>
                <a:r>
                  <a:rPr lang="en-GB" sz="1200"/>
                  <a:t>Value</a:t>
                </a:r>
              </a:p>
            </c:rich>
          </c:tx>
          <c:layout>
            <c:manualLayout>
              <c:xMode val="edge"/>
              <c:yMode val="edge"/>
              <c:x val="0"/>
              <c:y val="0.38447268518518524"/>
            </c:manualLayout>
          </c:layout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761073232323239"/>
          <c:y val="8.793842592592592E-2"/>
          <c:w val="9.5129166666666667E-2"/>
          <c:h val="0.26580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MIX 100 nodes</a:t>
            </a:r>
          </a:p>
        </c:rich>
      </c:tx>
      <c:layout>
        <c:manualLayout>
          <c:xMode val="edge"/>
          <c:yMode val="edge"/>
          <c:x val="0.26226203703703699"/>
          <c:y val="3.5277777777777776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'deepseek-reasoner_delta-trend'!$B$2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'deepseek-reasoner_delta-trend'!$B$3:$B$104</c:f>
              <c:numCache>
                <c:formatCode>General</c:formatCode>
                <c:ptCount val="102"/>
                <c:pt idx="0">
                  <c:v>0</c:v>
                </c:pt>
                <c:pt idx="1">
                  <c:v>2.1689999999999999E-3</c:v>
                </c:pt>
                <c:pt idx="2">
                  <c:v>1.4761E-2</c:v>
                </c:pt>
                <c:pt idx="3">
                  <c:v>2.3987000000000001E-2</c:v>
                </c:pt>
                <c:pt idx="4">
                  <c:v>1.8976E-2</c:v>
                </c:pt>
                <c:pt idx="5">
                  <c:v>3.4826999999999997E-2</c:v>
                </c:pt>
                <c:pt idx="6">
                  <c:v>5.5274999999999998E-2</c:v>
                </c:pt>
                <c:pt idx="7">
                  <c:v>7.6017000000000001E-2</c:v>
                </c:pt>
                <c:pt idx="8">
                  <c:v>9.3310000000000004E-2</c:v>
                </c:pt>
                <c:pt idx="9">
                  <c:v>0.12856000000000001</c:v>
                </c:pt>
                <c:pt idx="10">
                  <c:v>0.100705</c:v>
                </c:pt>
                <c:pt idx="11">
                  <c:v>0.10836800000000001</c:v>
                </c:pt>
                <c:pt idx="12">
                  <c:v>0.12246700000000001</c:v>
                </c:pt>
                <c:pt idx="13">
                  <c:v>0.12718599999999999</c:v>
                </c:pt>
                <c:pt idx="14">
                  <c:v>0.142627</c:v>
                </c:pt>
                <c:pt idx="15">
                  <c:v>0.14727399999999999</c:v>
                </c:pt>
                <c:pt idx="16">
                  <c:v>0.147207</c:v>
                </c:pt>
                <c:pt idx="17">
                  <c:v>0.160243</c:v>
                </c:pt>
                <c:pt idx="18">
                  <c:v>0.17315900000000001</c:v>
                </c:pt>
                <c:pt idx="19">
                  <c:v>0.18689800000000001</c:v>
                </c:pt>
                <c:pt idx="20">
                  <c:v>0.19917899999999999</c:v>
                </c:pt>
                <c:pt idx="21">
                  <c:v>0.215588</c:v>
                </c:pt>
                <c:pt idx="22">
                  <c:v>0.22251499999999999</c:v>
                </c:pt>
                <c:pt idx="23">
                  <c:v>0.196462</c:v>
                </c:pt>
                <c:pt idx="24">
                  <c:v>0.22131999999999999</c:v>
                </c:pt>
                <c:pt idx="25">
                  <c:v>0.22748399999999999</c:v>
                </c:pt>
                <c:pt idx="26">
                  <c:v>0.23261100000000001</c:v>
                </c:pt>
                <c:pt idx="27">
                  <c:v>0.23949699999999999</c:v>
                </c:pt>
                <c:pt idx="28">
                  <c:v>0.24371300000000001</c:v>
                </c:pt>
                <c:pt idx="29">
                  <c:v>0.25020399999999998</c:v>
                </c:pt>
                <c:pt idx="30">
                  <c:v>0.253971</c:v>
                </c:pt>
                <c:pt idx="31">
                  <c:v>0.223774</c:v>
                </c:pt>
                <c:pt idx="32">
                  <c:v>0.26340599999999997</c:v>
                </c:pt>
                <c:pt idx="33">
                  <c:v>0.305593</c:v>
                </c:pt>
                <c:pt idx="34">
                  <c:v>0.34925099999999998</c:v>
                </c:pt>
                <c:pt idx="35">
                  <c:v>0.401779</c:v>
                </c:pt>
                <c:pt idx="36">
                  <c:v>0.41278700000000002</c:v>
                </c:pt>
                <c:pt idx="37">
                  <c:v>0.41351100000000002</c:v>
                </c:pt>
                <c:pt idx="38">
                  <c:v>0.41455700000000001</c:v>
                </c:pt>
                <c:pt idx="39">
                  <c:v>0.42174899999999999</c:v>
                </c:pt>
                <c:pt idx="40">
                  <c:v>0.43638700000000002</c:v>
                </c:pt>
                <c:pt idx="41">
                  <c:v>0.43165999999999999</c:v>
                </c:pt>
                <c:pt idx="42">
                  <c:v>0.45300699999999999</c:v>
                </c:pt>
                <c:pt idx="43">
                  <c:v>0.45732600000000001</c:v>
                </c:pt>
                <c:pt idx="44">
                  <c:v>0.46381299999999998</c:v>
                </c:pt>
                <c:pt idx="45">
                  <c:v>0.472802</c:v>
                </c:pt>
                <c:pt idx="46">
                  <c:v>0.452075</c:v>
                </c:pt>
                <c:pt idx="47">
                  <c:v>0.46346500000000002</c:v>
                </c:pt>
                <c:pt idx="48">
                  <c:v>0.49004199999999998</c:v>
                </c:pt>
                <c:pt idx="49">
                  <c:v>0.50949599999999995</c:v>
                </c:pt>
                <c:pt idx="50">
                  <c:v>0.51627500000000004</c:v>
                </c:pt>
                <c:pt idx="51">
                  <c:v>0.50559600000000005</c:v>
                </c:pt>
                <c:pt idx="52">
                  <c:v>0.53957299999999997</c:v>
                </c:pt>
                <c:pt idx="53">
                  <c:v>0.55424399999999996</c:v>
                </c:pt>
                <c:pt idx="54">
                  <c:v>0.56467000000000001</c:v>
                </c:pt>
                <c:pt idx="55">
                  <c:v>0.56479400000000002</c:v>
                </c:pt>
                <c:pt idx="56">
                  <c:v>0.56260600000000005</c:v>
                </c:pt>
                <c:pt idx="57">
                  <c:v>0.580959</c:v>
                </c:pt>
                <c:pt idx="58">
                  <c:v>0.68721600000000005</c:v>
                </c:pt>
                <c:pt idx="59">
                  <c:v>0.68877999999999995</c:v>
                </c:pt>
                <c:pt idx="60">
                  <c:v>0.71941699999999997</c:v>
                </c:pt>
                <c:pt idx="61">
                  <c:v>0.72611700000000001</c:v>
                </c:pt>
                <c:pt idx="62">
                  <c:v>0.71870000000000001</c:v>
                </c:pt>
                <c:pt idx="63">
                  <c:v>0.75097800000000003</c:v>
                </c:pt>
                <c:pt idx="64">
                  <c:v>0.75054799999999999</c:v>
                </c:pt>
                <c:pt idx="65">
                  <c:v>0.76948099999999997</c:v>
                </c:pt>
                <c:pt idx="66">
                  <c:v>0.77432299999999998</c:v>
                </c:pt>
                <c:pt idx="67">
                  <c:v>0.70716800000000002</c:v>
                </c:pt>
                <c:pt idx="68">
                  <c:v>0.81975299999999995</c:v>
                </c:pt>
                <c:pt idx="69">
                  <c:v>0.80943500000000002</c:v>
                </c:pt>
                <c:pt idx="70">
                  <c:v>0.84896799999999994</c:v>
                </c:pt>
                <c:pt idx="71">
                  <c:v>0.84643900000000005</c:v>
                </c:pt>
                <c:pt idx="72">
                  <c:v>0.833816</c:v>
                </c:pt>
                <c:pt idx="73">
                  <c:v>0.841368</c:v>
                </c:pt>
                <c:pt idx="74">
                  <c:v>0.87499199999999999</c:v>
                </c:pt>
                <c:pt idx="75">
                  <c:v>0.87969200000000003</c:v>
                </c:pt>
                <c:pt idx="76">
                  <c:v>0.90674999999999994</c:v>
                </c:pt>
                <c:pt idx="77">
                  <c:v>0.84110700000000005</c:v>
                </c:pt>
                <c:pt idx="78">
                  <c:v>0.89120699999999997</c:v>
                </c:pt>
                <c:pt idx="79">
                  <c:v>0.84816400000000003</c:v>
                </c:pt>
                <c:pt idx="80">
                  <c:v>0.94455900000000004</c:v>
                </c:pt>
                <c:pt idx="81">
                  <c:v>0.96561900000000001</c:v>
                </c:pt>
                <c:pt idx="82">
                  <c:v>0.86955800000000005</c:v>
                </c:pt>
                <c:pt idx="83">
                  <c:v>0.95933599999999997</c:v>
                </c:pt>
                <c:pt idx="84">
                  <c:v>0.96384899999999996</c:v>
                </c:pt>
                <c:pt idx="85">
                  <c:v>0.95723499999999995</c:v>
                </c:pt>
                <c:pt idx="86">
                  <c:v>1.0230889999999999</c:v>
                </c:pt>
                <c:pt idx="87">
                  <c:v>0.98002400000000001</c:v>
                </c:pt>
                <c:pt idx="88">
                  <c:v>1.004872</c:v>
                </c:pt>
                <c:pt idx="89">
                  <c:v>1.0411539999999999</c:v>
                </c:pt>
                <c:pt idx="90">
                  <c:v>1.055331</c:v>
                </c:pt>
                <c:pt idx="91">
                  <c:v>1.0624819999999999</c:v>
                </c:pt>
                <c:pt idx="92">
                  <c:v>1.0651079999999999</c:v>
                </c:pt>
                <c:pt idx="93">
                  <c:v>1.051544</c:v>
                </c:pt>
                <c:pt idx="94">
                  <c:v>1.0708770000000001</c:v>
                </c:pt>
                <c:pt idx="95">
                  <c:v>1.0519400000000001</c:v>
                </c:pt>
                <c:pt idx="96">
                  <c:v>1.0760289999999999</c:v>
                </c:pt>
                <c:pt idx="97">
                  <c:v>1.079377</c:v>
                </c:pt>
                <c:pt idx="98">
                  <c:v>1.071156</c:v>
                </c:pt>
                <c:pt idx="99">
                  <c:v>1.048316</c:v>
                </c:pt>
                <c:pt idx="100">
                  <c:v>1.0812029999999999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B7-7D49-A4BE-238B45C5F3BA}"/>
            </c:ext>
          </c:extLst>
        </c:ser>
        <c:ser>
          <c:idx val="4"/>
          <c:order val="1"/>
          <c:tx>
            <c:strRef>
              <c:f>'deepseek-reasoner_delta-trend'!$C$2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'deepseek-reasoner_delta-trend'!$C$3:$C$103</c:f>
              <c:numCache>
                <c:formatCode>General</c:formatCode>
                <c:ptCount val="101"/>
                <c:pt idx="0">
                  <c:v>0</c:v>
                </c:pt>
                <c:pt idx="1">
                  <c:v>-1.3162E-2</c:v>
                </c:pt>
                <c:pt idx="2">
                  <c:v>-1.753E-3</c:v>
                </c:pt>
                <c:pt idx="3">
                  <c:v>7.5589999999999997E-3</c:v>
                </c:pt>
                <c:pt idx="4">
                  <c:v>1.1789000000000001E-2</c:v>
                </c:pt>
                <c:pt idx="5">
                  <c:v>2.1205000000000002E-2</c:v>
                </c:pt>
                <c:pt idx="6">
                  <c:v>1.421E-2</c:v>
                </c:pt>
                <c:pt idx="7">
                  <c:v>3.2912999999999998E-2</c:v>
                </c:pt>
                <c:pt idx="8">
                  <c:v>5.7912999999999999E-2</c:v>
                </c:pt>
                <c:pt idx="9">
                  <c:v>7.1565000000000004E-2</c:v>
                </c:pt>
                <c:pt idx="10">
                  <c:v>5.7936000000000001E-2</c:v>
                </c:pt>
                <c:pt idx="11">
                  <c:v>6.1823999999999997E-2</c:v>
                </c:pt>
                <c:pt idx="12">
                  <c:v>7.5005000000000002E-2</c:v>
                </c:pt>
                <c:pt idx="13">
                  <c:v>8.3968000000000001E-2</c:v>
                </c:pt>
                <c:pt idx="14">
                  <c:v>7.1117E-2</c:v>
                </c:pt>
                <c:pt idx="15">
                  <c:v>7.9725000000000004E-2</c:v>
                </c:pt>
                <c:pt idx="16">
                  <c:v>9.8337999999999995E-2</c:v>
                </c:pt>
                <c:pt idx="17">
                  <c:v>0.119297</c:v>
                </c:pt>
                <c:pt idx="18">
                  <c:v>0.17469799999999999</c:v>
                </c:pt>
                <c:pt idx="19">
                  <c:v>0.20177400000000001</c:v>
                </c:pt>
                <c:pt idx="20">
                  <c:v>0.243725</c:v>
                </c:pt>
                <c:pt idx="21">
                  <c:v>0.26746700000000001</c:v>
                </c:pt>
                <c:pt idx="22">
                  <c:v>0.27130300000000002</c:v>
                </c:pt>
                <c:pt idx="23">
                  <c:v>0.30470399999999997</c:v>
                </c:pt>
                <c:pt idx="24">
                  <c:v>0.329175</c:v>
                </c:pt>
                <c:pt idx="25">
                  <c:v>0.33788699999999999</c:v>
                </c:pt>
                <c:pt idx="26">
                  <c:v>0.33662700000000001</c:v>
                </c:pt>
                <c:pt idx="27">
                  <c:v>0.35034100000000001</c:v>
                </c:pt>
                <c:pt idx="28">
                  <c:v>0.35899799999999998</c:v>
                </c:pt>
                <c:pt idx="29">
                  <c:v>0.36422599999999999</c:v>
                </c:pt>
                <c:pt idx="30">
                  <c:v>0.36602000000000001</c:v>
                </c:pt>
                <c:pt idx="31">
                  <c:v>0.34447899999999998</c:v>
                </c:pt>
                <c:pt idx="32">
                  <c:v>0.34800599999999998</c:v>
                </c:pt>
                <c:pt idx="33">
                  <c:v>0.36933899999999997</c:v>
                </c:pt>
                <c:pt idx="34">
                  <c:v>0.37955100000000003</c:v>
                </c:pt>
                <c:pt idx="35">
                  <c:v>0.45172899999999999</c:v>
                </c:pt>
                <c:pt idx="36">
                  <c:v>0.45730300000000002</c:v>
                </c:pt>
                <c:pt idx="37">
                  <c:v>0.476636</c:v>
                </c:pt>
                <c:pt idx="38">
                  <c:v>0.48256100000000002</c:v>
                </c:pt>
                <c:pt idx="39">
                  <c:v>0.49489</c:v>
                </c:pt>
                <c:pt idx="40">
                  <c:v>0.49406899999999998</c:v>
                </c:pt>
                <c:pt idx="41">
                  <c:v>0.43038700000000002</c:v>
                </c:pt>
                <c:pt idx="42">
                  <c:v>0.55905800000000005</c:v>
                </c:pt>
                <c:pt idx="43">
                  <c:v>0.56636799999999998</c:v>
                </c:pt>
                <c:pt idx="44">
                  <c:v>0.56891700000000001</c:v>
                </c:pt>
                <c:pt idx="45">
                  <c:v>0.57622399999999996</c:v>
                </c:pt>
                <c:pt idx="46">
                  <c:v>0.56490499999999999</c:v>
                </c:pt>
                <c:pt idx="47">
                  <c:v>0.57156700000000005</c:v>
                </c:pt>
                <c:pt idx="48">
                  <c:v>0.56693899999999997</c:v>
                </c:pt>
                <c:pt idx="49">
                  <c:v>0.585982</c:v>
                </c:pt>
                <c:pt idx="50">
                  <c:v>0.59340199999999999</c:v>
                </c:pt>
                <c:pt idx="51">
                  <c:v>0.59803300000000004</c:v>
                </c:pt>
                <c:pt idx="52">
                  <c:v>0.58587299999999998</c:v>
                </c:pt>
                <c:pt idx="53">
                  <c:v>0.61515500000000001</c:v>
                </c:pt>
                <c:pt idx="54">
                  <c:v>0.62274200000000002</c:v>
                </c:pt>
                <c:pt idx="55">
                  <c:v>0.632019</c:v>
                </c:pt>
                <c:pt idx="56">
                  <c:v>0.63184700000000005</c:v>
                </c:pt>
                <c:pt idx="57">
                  <c:v>0.61495699999999998</c:v>
                </c:pt>
                <c:pt idx="58">
                  <c:v>0.65329400000000004</c:v>
                </c:pt>
                <c:pt idx="59">
                  <c:v>0.62711099999999997</c:v>
                </c:pt>
                <c:pt idx="60">
                  <c:v>0.59408499999999997</c:v>
                </c:pt>
                <c:pt idx="61">
                  <c:v>0.64902099999999996</c:v>
                </c:pt>
                <c:pt idx="62">
                  <c:v>0.64661000000000002</c:v>
                </c:pt>
                <c:pt idx="63">
                  <c:v>0.66827700000000001</c:v>
                </c:pt>
                <c:pt idx="64">
                  <c:v>0.70664899999999997</c:v>
                </c:pt>
                <c:pt idx="65">
                  <c:v>0.72979099999999997</c:v>
                </c:pt>
                <c:pt idx="66">
                  <c:v>0.72366200000000003</c:v>
                </c:pt>
                <c:pt idx="67">
                  <c:v>0.757579</c:v>
                </c:pt>
                <c:pt idx="68">
                  <c:v>0.81803800000000004</c:v>
                </c:pt>
                <c:pt idx="69">
                  <c:v>0.80186100000000005</c:v>
                </c:pt>
                <c:pt idx="70">
                  <c:v>0.822465</c:v>
                </c:pt>
                <c:pt idx="71">
                  <c:v>0.80534099999999997</c:v>
                </c:pt>
                <c:pt idx="72">
                  <c:v>0.81626299999999996</c:v>
                </c:pt>
                <c:pt idx="73">
                  <c:v>0.85997199999999996</c:v>
                </c:pt>
                <c:pt idx="74">
                  <c:v>0.87193399999999999</c:v>
                </c:pt>
                <c:pt idx="75">
                  <c:v>0.87332799999999999</c:v>
                </c:pt>
                <c:pt idx="76">
                  <c:v>0.90822599999999998</c:v>
                </c:pt>
                <c:pt idx="77">
                  <c:v>0.84640599999999999</c:v>
                </c:pt>
                <c:pt idx="78">
                  <c:v>0.86638000000000004</c:v>
                </c:pt>
                <c:pt idx="79">
                  <c:v>0.842117</c:v>
                </c:pt>
                <c:pt idx="80">
                  <c:v>0.94165200000000004</c:v>
                </c:pt>
                <c:pt idx="81">
                  <c:v>0.98697199999999996</c:v>
                </c:pt>
                <c:pt idx="82">
                  <c:v>0.998996</c:v>
                </c:pt>
                <c:pt idx="83">
                  <c:v>1.0016750000000001</c:v>
                </c:pt>
                <c:pt idx="84">
                  <c:v>1.0233270000000001</c:v>
                </c:pt>
                <c:pt idx="85">
                  <c:v>1.014</c:v>
                </c:pt>
                <c:pt idx="86">
                  <c:v>1.0678989999999999</c:v>
                </c:pt>
                <c:pt idx="87">
                  <c:v>1.065987</c:v>
                </c:pt>
                <c:pt idx="88">
                  <c:v>1.08267</c:v>
                </c:pt>
                <c:pt idx="89">
                  <c:v>1.1416949999999999</c:v>
                </c:pt>
                <c:pt idx="90">
                  <c:v>1.161289</c:v>
                </c:pt>
                <c:pt idx="91">
                  <c:v>1.1400889999999999</c:v>
                </c:pt>
                <c:pt idx="92">
                  <c:v>1.1736679999999999</c:v>
                </c:pt>
                <c:pt idx="93">
                  <c:v>1.1661269999999999</c:v>
                </c:pt>
                <c:pt idx="94">
                  <c:v>1.2034800000000001</c:v>
                </c:pt>
                <c:pt idx="95">
                  <c:v>1.131543</c:v>
                </c:pt>
                <c:pt idx="96">
                  <c:v>1.181322</c:v>
                </c:pt>
                <c:pt idx="97">
                  <c:v>1.22784</c:v>
                </c:pt>
                <c:pt idx="98">
                  <c:v>1.134741</c:v>
                </c:pt>
                <c:pt idx="99">
                  <c:v>1.1902079999999999</c:v>
                </c:pt>
                <c:pt idx="100">
                  <c:v>1.2033579999999999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7-7D49-A4BE-238B45C5F3BA}"/>
            </c:ext>
          </c:extLst>
        </c:ser>
        <c:ser>
          <c:idx val="1"/>
          <c:order val="2"/>
          <c:tx>
            <c:strRef>
              <c:f>'deepseek-reasoner_delta-trend'!$D$2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'deepseek-reasoner_delta-trend'!$D$3:$D$104</c:f>
              <c:numCache>
                <c:formatCode>General</c:formatCode>
                <c:ptCount val="102"/>
                <c:pt idx="0">
                  <c:v>0</c:v>
                </c:pt>
                <c:pt idx="1">
                  <c:v>1.2999999999999999E-3</c:v>
                </c:pt>
                <c:pt idx="2">
                  <c:v>1.7861999999999999E-2</c:v>
                </c:pt>
                <c:pt idx="3">
                  <c:v>3.6545000000000001E-2</c:v>
                </c:pt>
                <c:pt idx="4">
                  <c:v>4.1394E-2</c:v>
                </c:pt>
                <c:pt idx="5">
                  <c:v>5.3619E-2</c:v>
                </c:pt>
                <c:pt idx="6">
                  <c:v>7.4298000000000003E-2</c:v>
                </c:pt>
                <c:pt idx="7">
                  <c:v>8.4338999999999997E-2</c:v>
                </c:pt>
                <c:pt idx="8">
                  <c:v>9.3510999999999997E-2</c:v>
                </c:pt>
                <c:pt idx="9">
                  <c:v>0.118896</c:v>
                </c:pt>
                <c:pt idx="10">
                  <c:v>0.168042</c:v>
                </c:pt>
                <c:pt idx="11">
                  <c:v>0.19702800000000001</c:v>
                </c:pt>
                <c:pt idx="12">
                  <c:v>0.21482899999999999</c:v>
                </c:pt>
                <c:pt idx="13">
                  <c:v>0.216721</c:v>
                </c:pt>
                <c:pt idx="14">
                  <c:v>0.21363399999999999</c:v>
                </c:pt>
                <c:pt idx="15">
                  <c:v>0.25921300000000003</c:v>
                </c:pt>
                <c:pt idx="16">
                  <c:v>0.27286300000000002</c:v>
                </c:pt>
                <c:pt idx="17">
                  <c:v>0.28747400000000001</c:v>
                </c:pt>
                <c:pt idx="18">
                  <c:v>0.31177300000000002</c:v>
                </c:pt>
                <c:pt idx="19">
                  <c:v>0.29654700000000001</c:v>
                </c:pt>
                <c:pt idx="20">
                  <c:v>0.31215399999999999</c:v>
                </c:pt>
                <c:pt idx="21">
                  <c:v>0.32787699999999997</c:v>
                </c:pt>
                <c:pt idx="22">
                  <c:v>0.33074399999999998</c:v>
                </c:pt>
                <c:pt idx="23">
                  <c:v>0.315635</c:v>
                </c:pt>
                <c:pt idx="24">
                  <c:v>0.341254</c:v>
                </c:pt>
                <c:pt idx="25">
                  <c:v>0.34993200000000002</c:v>
                </c:pt>
                <c:pt idx="26">
                  <c:v>0.35405900000000001</c:v>
                </c:pt>
                <c:pt idx="27">
                  <c:v>0.35752800000000001</c:v>
                </c:pt>
                <c:pt idx="28">
                  <c:v>0.36385099999999998</c:v>
                </c:pt>
                <c:pt idx="29">
                  <c:v>0.36457699999999998</c:v>
                </c:pt>
                <c:pt idx="30">
                  <c:v>0.37606000000000001</c:v>
                </c:pt>
                <c:pt idx="31">
                  <c:v>0.352601</c:v>
                </c:pt>
                <c:pt idx="32">
                  <c:v>0.345086</c:v>
                </c:pt>
                <c:pt idx="33">
                  <c:v>0.366595</c:v>
                </c:pt>
                <c:pt idx="34">
                  <c:v>0.374612</c:v>
                </c:pt>
                <c:pt idx="35">
                  <c:v>0.38144400000000001</c:v>
                </c:pt>
                <c:pt idx="36">
                  <c:v>0.39633800000000002</c:v>
                </c:pt>
                <c:pt idx="37">
                  <c:v>0.41723900000000003</c:v>
                </c:pt>
                <c:pt idx="38">
                  <c:v>0.41755100000000001</c:v>
                </c:pt>
                <c:pt idx="39">
                  <c:v>0.43421399999999999</c:v>
                </c:pt>
                <c:pt idx="40">
                  <c:v>0.443824</c:v>
                </c:pt>
                <c:pt idx="41">
                  <c:v>0.40820499999999998</c:v>
                </c:pt>
                <c:pt idx="42">
                  <c:v>0.47606999999999999</c:v>
                </c:pt>
                <c:pt idx="43">
                  <c:v>0.480966</c:v>
                </c:pt>
                <c:pt idx="44">
                  <c:v>0.50361400000000001</c:v>
                </c:pt>
                <c:pt idx="45">
                  <c:v>0.51778100000000005</c:v>
                </c:pt>
                <c:pt idx="46">
                  <c:v>0.56340400000000002</c:v>
                </c:pt>
                <c:pt idx="47">
                  <c:v>0.58577199999999996</c:v>
                </c:pt>
                <c:pt idx="48">
                  <c:v>0.58353500000000003</c:v>
                </c:pt>
                <c:pt idx="49">
                  <c:v>0.60538199999999998</c:v>
                </c:pt>
                <c:pt idx="50">
                  <c:v>0.60888299999999995</c:v>
                </c:pt>
                <c:pt idx="51">
                  <c:v>0.638069</c:v>
                </c:pt>
                <c:pt idx="52">
                  <c:v>0.64066999999999996</c:v>
                </c:pt>
                <c:pt idx="53">
                  <c:v>0.66317099999999995</c:v>
                </c:pt>
                <c:pt idx="54">
                  <c:v>0.65205800000000003</c:v>
                </c:pt>
                <c:pt idx="55">
                  <c:v>0.62432100000000001</c:v>
                </c:pt>
                <c:pt idx="56">
                  <c:v>0.661304</c:v>
                </c:pt>
                <c:pt idx="57">
                  <c:v>0.65380799999999994</c:v>
                </c:pt>
                <c:pt idx="58">
                  <c:v>0.65815199999999996</c:v>
                </c:pt>
                <c:pt idx="59">
                  <c:v>0.67523699999999998</c:v>
                </c:pt>
                <c:pt idx="60">
                  <c:v>0.68589999999999995</c:v>
                </c:pt>
                <c:pt idx="61">
                  <c:v>0.69743999999999995</c:v>
                </c:pt>
                <c:pt idx="62">
                  <c:v>0.68647199999999997</c:v>
                </c:pt>
                <c:pt idx="63">
                  <c:v>0.70979199999999998</c:v>
                </c:pt>
                <c:pt idx="64">
                  <c:v>0.74799400000000005</c:v>
                </c:pt>
                <c:pt idx="65">
                  <c:v>0.75378500000000004</c:v>
                </c:pt>
                <c:pt idx="66">
                  <c:v>0.77113900000000002</c:v>
                </c:pt>
                <c:pt idx="67">
                  <c:v>0.75939699999999999</c:v>
                </c:pt>
                <c:pt idx="68">
                  <c:v>0.82634600000000002</c:v>
                </c:pt>
                <c:pt idx="69">
                  <c:v>0.83801899999999996</c:v>
                </c:pt>
                <c:pt idx="70">
                  <c:v>0.84015200000000001</c:v>
                </c:pt>
                <c:pt idx="71">
                  <c:v>0.86736000000000002</c:v>
                </c:pt>
                <c:pt idx="72">
                  <c:v>0.83855800000000003</c:v>
                </c:pt>
                <c:pt idx="73">
                  <c:v>0.87936300000000001</c:v>
                </c:pt>
                <c:pt idx="74">
                  <c:v>0.85550499999999996</c:v>
                </c:pt>
                <c:pt idx="75">
                  <c:v>0.84628000000000003</c:v>
                </c:pt>
                <c:pt idx="76">
                  <c:v>0.88335600000000003</c:v>
                </c:pt>
                <c:pt idx="77">
                  <c:v>0.87870099999999995</c:v>
                </c:pt>
                <c:pt idx="78">
                  <c:v>0.90763400000000005</c:v>
                </c:pt>
                <c:pt idx="79">
                  <c:v>1.029258</c:v>
                </c:pt>
                <c:pt idx="80">
                  <c:v>1.0982879999999999</c:v>
                </c:pt>
                <c:pt idx="81">
                  <c:v>1.0462830000000001</c:v>
                </c:pt>
                <c:pt idx="82">
                  <c:v>1.078668</c:v>
                </c:pt>
                <c:pt idx="83">
                  <c:v>1.1256379999999999</c:v>
                </c:pt>
                <c:pt idx="84">
                  <c:v>1.1223460000000001</c:v>
                </c:pt>
                <c:pt idx="85">
                  <c:v>1.1181749999999999</c:v>
                </c:pt>
                <c:pt idx="86">
                  <c:v>1.185792</c:v>
                </c:pt>
                <c:pt idx="87">
                  <c:v>1.190985</c:v>
                </c:pt>
                <c:pt idx="88">
                  <c:v>1.199314</c:v>
                </c:pt>
                <c:pt idx="89">
                  <c:v>1.254966</c:v>
                </c:pt>
                <c:pt idx="90">
                  <c:v>1.264176</c:v>
                </c:pt>
                <c:pt idx="91">
                  <c:v>1.2685839999999999</c:v>
                </c:pt>
                <c:pt idx="92">
                  <c:v>1.2471410000000001</c:v>
                </c:pt>
                <c:pt idx="93">
                  <c:v>1.278173</c:v>
                </c:pt>
                <c:pt idx="94">
                  <c:v>1.2845089999999999</c:v>
                </c:pt>
                <c:pt idx="95">
                  <c:v>1.2380789999999999</c:v>
                </c:pt>
                <c:pt idx="96">
                  <c:v>1.2845200000000001</c:v>
                </c:pt>
                <c:pt idx="97">
                  <c:v>1.305212</c:v>
                </c:pt>
                <c:pt idx="98">
                  <c:v>1.285293</c:v>
                </c:pt>
                <c:pt idx="99">
                  <c:v>1.3013319999999999</c:v>
                </c:pt>
                <c:pt idx="100">
                  <c:v>1.3069539999999999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B7-7D49-A4BE-238B45C5F3BA}"/>
            </c:ext>
          </c:extLst>
        </c:ser>
        <c:ser>
          <c:idx val="2"/>
          <c:order val="3"/>
          <c:tx>
            <c:strRef>
              <c:f>'deepseek-reasoner_delta-trend'!$E$2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'deepseek-reasoner_delta-trend'!$E$3:$E$104</c:f>
              <c:numCache>
                <c:formatCode>General</c:formatCode>
                <c:ptCount val="10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6B7-7D49-A4BE-238B45C5F3BA}"/>
            </c:ext>
          </c:extLst>
        </c:ser>
        <c:ser>
          <c:idx val="3"/>
          <c:order val="4"/>
          <c:tx>
            <c:strRef>
              <c:f>'deepseek-reasoner_delta-trend'!$F$2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'deepseek-reasoner_delta-trend'!$F$3:$F$104</c:f>
              <c:numCache>
                <c:formatCode>General</c:formatCode>
                <c:ptCount val="102"/>
                <c:pt idx="0">
                  <c:v>0</c:v>
                </c:pt>
                <c:pt idx="1">
                  <c:v>-6.1009999999999997E-3</c:v>
                </c:pt>
                <c:pt idx="2">
                  <c:v>1.1514999999999999E-2</c:v>
                </c:pt>
                <c:pt idx="3">
                  <c:v>2.9023E-2</c:v>
                </c:pt>
                <c:pt idx="4">
                  <c:v>3.5629000000000001E-2</c:v>
                </c:pt>
                <c:pt idx="5">
                  <c:v>5.0768000000000001E-2</c:v>
                </c:pt>
                <c:pt idx="6">
                  <c:v>5.6467000000000003E-2</c:v>
                </c:pt>
                <c:pt idx="7">
                  <c:v>6.1657999999999998E-2</c:v>
                </c:pt>
                <c:pt idx="8">
                  <c:v>8.9640999999999998E-2</c:v>
                </c:pt>
                <c:pt idx="9">
                  <c:v>9.5440999999999998E-2</c:v>
                </c:pt>
                <c:pt idx="10">
                  <c:v>0.102947</c:v>
                </c:pt>
                <c:pt idx="11">
                  <c:v>0.124358</c:v>
                </c:pt>
                <c:pt idx="12">
                  <c:v>0.13461699999999999</c:v>
                </c:pt>
                <c:pt idx="13">
                  <c:v>0.160437</c:v>
                </c:pt>
                <c:pt idx="14">
                  <c:v>0.145898</c:v>
                </c:pt>
                <c:pt idx="15">
                  <c:v>0.16414999999999999</c:v>
                </c:pt>
                <c:pt idx="16">
                  <c:v>0.18692900000000001</c:v>
                </c:pt>
                <c:pt idx="17">
                  <c:v>0.20882400000000001</c:v>
                </c:pt>
                <c:pt idx="18">
                  <c:v>0.22448399999999999</c:v>
                </c:pt>
                <c:pt idx="19">
                  <c:v>0.26117899999999999</c:v>
                </c:pt>
                <c:pt idx="20">
                  <c:v>0.248608</c:v>
                </c:pt>
                <c:pt idx="21">
                  <c:v>0.27193099999999998</c:v>
                </c:pt>
                <c:pt idx="22">
                  <c:v>0.28652899999999998</c:v>
                </c:pt>
                <c:pt idx="23">
                  <c:v>0.27544099999999999</c:v>
                </c:pt>
                <c:pt idx="24">
                  <c:v>0.32015300000000002</c:v>
                </c:pt>
                <c:pt idx="25">
                  <c:v>0.32666899999999999</c:v>
                </c:pt>
                <c:pt idx="26">
                  <c:v>0.32931199999999999</c:v>
                </c:pt>
                <c:pt idx="27">
                  <c:v>0.331231</c:v>
                </c:pt>
                <c:pt idx="28">
                  <c:v>0.33054099999999997</c:v>
                </c:pt>
                <c:pt idx="29">
                  <c:v>0.344306</c:v>
                </c:pt>
                <c:pt idx="30">
                  <c:v>0.34423300000000001</c:v>
                </c:pt>
                <c:pt idx="31">
                  <c:v>0.31931500000000002</c:v>
                </c:pt>
                <c:pt idx="32">
                  <c:v>0.33358100000000002</c:v>
                </c:pt>
                <c:pt idx="33">
                  <c:v>0.36329600000000001</c:v>
                </c:pt>
                <c:pt idx="34">
                  <c:v>0.36654799999999998</c:v>
                </c:pt>
                <c:pt idx="35">
                  <c:v>0.39168799999999998</c:v>
                </c:pt>
                <c:pt idx="36">
                  <c:v>0.43066500000000002</c:v>
                </c:pt>
                <c:pt idx="37">
                  <c:v>0.45347399999999999</c:v>
                </c:pt>
                <c:pt idx="38">
                  <c:v>0.45653199999999999</c:v>
                </c:pt>
                <c:pt idx="39">
                  <c:v>0.47976799999999997</c:v>
                </c:pt>
                <c:pt idx="40">
                  <c:v>0.498336</c:v>
                </c:pt>
                <c:pt idx="41">
                  <c:v>0.48712899999999998</c:v>
                </c:pt>
                <c:pt idx="42">
                  <c:v>0.51047100000000001</c:v>
                </c:pt>
                <c:pt idx="43">
                  <c:v>0.52534099999999995</c:v>
                </c:pt>
                <c:pt idx="44">
                  <c:v>0.52178899999999995</c:v>
                </c:pt>
                <c:pt idx="45">
                  <c:v>0.52299300000000004</c:v>
                </c:pt>
                <c:pt idx="46">
                  <c:v>0.53690400000000005</c:v>
                </c:pt>
                <c:pt idx="47">
                  <c:v>0.53120100000000003</c:v>
                </c:pt>
                <c:pt idx="48">
                  <c:v>0.54115199999999997</c:v>
                </c:pt>
                <c:pt idx="49">
                  <c:v>0.56089800000000001</c:v>
                </c:pt>
                <c:pt idx="50">
                  <c:v>0.56540900000000005</c:v>
                </c:pt>
                <c:pt idx="51">
                  <c:v>0.56202600000000003</c:v>
                </c:pt>
                <c:pt idx="52">
                  <c:v>0.56172100000000003</c:v>
                </c:pt>
                <c:pt idx="53">
                  <c:v>0.60694599999999999</c:v>
                </c:pt>
                <c:pt idx="54">
                  <c:v>0.59007399999999999</c:v>
                </c:pt>
                <c:pt idx="55">
                  <c:v>0.59076300000000004</c:v>
                </c:pt>
                <c:pt idx="56">
                  <c:v>0.60669200000000001</c:v>
                </c:pt>
                <c:pt idx="57">
                  <c:v>0.57811900000000005</c:v>
                </c:pt>
                <c:pt idx="58">
                  <c:v>0.626996</c:v>
                </c:pt>
                <c:pt idx="59">
                  <c:v>0.62832699999999997</c:v>
                </c:pt>
                <c:pt idx="60">
                  <c:v>0.66571599999999997</c:v>
                </c:pt>
                <c:pt idx="61">
                  <c:v>0.69214100000000001</c:v>
                </c:pt>
                <c:pt idx="62">
                  <c:v>0.68146300000000004</c:v>
                </c:pt>
                <c:pt idx="63">
                  <c:v>0.69903400000000004</c:v>
                </c:pt>
                <c:pt idx="64">
                  <c:v>0.69654499999999997</c:v>
                </c:pt>
                <c:pt idx="65">
                  <c:v>0.69162000000000001</c:v>
                </c:pt>
                <c:pt idx="66">
                  <c:v>0.71171700000000004</c:v>
                </c:pt>
                <c:pt idx="67">
                  <c:v>0.69980600000000004</c:v>
                </c:pt>
                <c:pt idx="68">
                  <c:v>0.758602</c:v>
                </c:pt>
                <c:pt idx="69">
                  <c:v>0.72788900000000001</c:v>
                </c:pt>
                <c:pt idx="70">
                  <c:v>0.759656</c:v>
                </c:pt>
                <c:pt idx="71">
                  <c:v>0.75672799999999996</c:v>
                </c:pt>
                <c:pt idx="72">
                  <c:v>0.72724599999999995</c:v>
                </c:pt>
                <c:pt idx="73">
                  <c:v>0.77485300000000001</c:v>
                </c:pt>
                <c:pt idx="74">
                  <c:v>0.76339199999999996</c:v>
                </c:pt>
                <c:pt idx="75">
                  <c:v>0.78204300000000004</c:v>
                </c:pt>
                <c:pt idx="76">
                  <c:v>0.82144099999999998</c:v>
                </c:pt>
                <c:pt idx="77">
                  <c:v>0.80949700000000002</c:v>
                </c:pt>
                <c:pt idx="78">
                  <c:v>0.85136699999999998</c:v>
                </c:pt>
                <c:pt idx="79">
                  <c:v>0.78711500000000001</c:v>
                </c:pt>
                <c:pt idx="80">
                  <c:v>0.90392899999999998</c:v>
                </c:pt>
                <c:pt idx="81">
                  <c:v>0.92248699999999995</c:v>
                </c:pt>
                <c:pt idx="82">
                  <c:v>0.92184699999999997</c:v>
                </c:pt>
                <c:pt idx="83">
                  <c:v>0.94790600000000003</c:v>
                </c:pt>
                <c:pt idx="84">
                  <c:v>0.94456899999999999</c:v>
                </c:pt>
                <c:pt idx="85">
                  <c:v>0.94359899999999997</c:v>
                </c:pt>
                <c:pt idx="86">
                  <c:v>0.97758100000000003</c:v>
                </c:pt>
                <c:pt idx="87">
                  <c:v>0.94535100000000005</c:v>
                </c:pt>
                <c:pt idx="88">
                  <c:v>0.96631500000000004</c:v>
                </c:pt>
                <c:pt idx="89">
                  <c:v>1.013706</c:v>
                </c:pt>
                <c:pt idx="90">
                  <c:v>1.030826</c:v>
                </c:pt>
                <c:pt idx="91">
                  <c:v>1.0215559999999999</c:v>
                </c:pt>
                <c:pt idx="92">
                  <c:v>1.0343260000000001</c:v>
                </c:pt>
                <c:pt idx="93">
                  <c:v>1.0446580000000001</c:v>
                </c:pt>
                <c:pt idx="94">
                  <c:v>1.062451</c:v>
                </c:pt>
                <c:pt idx="95">
                  <c:v>1.059099</c:v>
                </c:pt>
                <c:pt idx="96">
                  <c:v>1.107721</c:v>
                </c:pt>
                <c:pt idx="97">
                  <c:v>1.1134809999999999</c:v>
                </c:pt>
                <c:pt idx="98">
                  <c:v>1.1156870000000001</c:v>
                </c:pt>
                <c:pt idx="99">
                  <c:v>1.116179</c:v>
                </c:pt>
                <c:pt idx="100">
                  <c:v>1.1247419999999999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6B7-7D49-A4BE-238B45C5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43E-2"/>
          <c:y val="0.16060194444444442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60/40 PRO 60 nodes</a:t>
            </a:r>
          </a:p>
        </c:rich>
      </c:tx>
      <c:layout>
        <c:manualLayout>
          <c:xMode val="edge"/>
          <c:yMode val="edge"/>
          <c:x val="0.26518719135802471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'deepseek-reasoner_delta-trend'!$H$2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'deepseek-reasoner_delta-trend'!$H$3:$H$64</c:f>
              <c:numCache>
                <c:formatCode>General</c:formatCode>
                <c:ptCount val="62"/>
                <c:pt idx="0">
                  <c:v>0</c:v>
                </c:pt>
                <c:pt idx="1">
                  <c:v>-1.438E-3</c:v>
                </c:pt>
                <c:pt idx="2">
                  <c:v>9.358E-3</c:v>
                </c:pt>
                <c:pt idx="3">
                  <c:v>1.2710000000000001E-2</c:v>
                </c:pt>
                <c:pt idx="4">
                  <c:v>1.6976000000000002E-2</c:v>
                </c:pt>
                <c:pt idx="5">
                  <c:v>-5.3638999999999999E-2</c:v>
                </c:pt>
                <c:pt idx="6">
                  <c:v>-8.4855E-2</c:v>
                </c:pt>
                <c:pt idx="7">
                  <c:v>-8.2696000000000006E-2</c:v>
                </c:pt>
                <c:pt idx="8">
                  <c:v>-5.4463999999999999E-2</c:v>
                </c:pt>
                <c:pt idx="9">
                  <c:v>-5.4843000000000003E-2</c:v>
                </c:pt>
                <c:pt idx="10">
                  <c:v>-7.4410000000000004E-2</c:v>
                </c:pt>
                <c:pt idx="11">
                  <c:v>-1.1741E-2</c:v>
                </c:pt>
                <c:pt idx="12">
                  <c:v>-1.5839999999999999E-3</c:v>
                </c:pt>
                <c:pt idx="13">
                  <c:v>7.835E-3</c:v>
                </c:pt>
                <c:pt idx="14">
                  <c:v>4.2647999999999998E-2</c:v>
                </c:pt>
                <c:pt idx="15">
                  <c:v>5.4923E-2</c:v>
                </c:pt>
                <c:pt idx="16">
                  <c:v>0.339781</c:v>
                </c:pt>
                <c:pt idx="17">
                  <c:v>0.49051299999999998</c:v>
                </c:pt>
                <c:pt idx="18">
                  <c:v>0.53585799999999995</c:v>
                </c:pt>
                <c:pt idx="19">
                  <c:v>0.49388900000000002</c:v>
                </c:pt>
                <c:pt idx="20">
                  <c:v>0.56324399999999997</c:v>
                </c:pt>
                <c:pt idx="21">
                  <c:v>0.59904299999999999</c:v>
                </c:pt>
                <c:pt idx="22">
                  <c:v>0.64236599999999999</c:v>
                </c:pt>
                <c:pt idx="23">
                  <c:v>0.65832000000000002</c:v>
                </c:pt>
                <c:pt idx="24">
                  <c:v>0.66471199999999997</c:v>
                </c:pt>
                <c:pt idx="25">
                  <c:v>0.72110300000000005</c:v>
                </c:pt>
                <c:pt idx="26">
                  <c:v>0.74405500000000002</c:v>
                </c:pt>
                <c:pt idx="27">
                  <c:v>0.75770599999999999</c:v>
                </c:pt>
                <c:pt idx="28">
                  <c:v>0.78274600000000005</c:v>
                </c:pt>
                <c:pt idx="29">
                  <c:v>0.81346399999999996</c:v>
                </c:pt>
                <c:pt idx="30">
                  <c:v>0.79139700000000002</c:v>
                </c:pt>
                <c:pt idx="31">
                  <c:v>0.81767999999999996</c:v>
                </c:pt>
                <c:pt idx="32">
                  <c:v>0.80265399999999998</c:v>
                </c:pt>
                <c:pt idx="33">
                  <c:v>0.81456099999999998</c:v>
                </c:pt>
                <c:pt idx="34">
                  <c:v>0.82276099999999996</c:v>
                </c:pt>
                <c:pt idx="35">
                  <c:v>0.919713</c:v>
                </c:pt>
                <c:pt idx="36">
                  <c:v>0.93226900000000001</c:v>
                </c:pt>
                <c:pt idx="37">
                  <c:v>0.95553299999999997</c:v>
                </c:pt>
                <c:pt idx="38">
                  <c:v>0.96116999999999997</c:v>
                </c:pt>
                <c:pt idx="39">
                  <c:v>1.0238259999999999</c:v>
                </c:pt>
                <c:pt idx="40">
                  <c:v>1.021166</c:v>
                </c:pt>
                <c:pt idx="41">
                  <c:v>0.99430200000000002</c:v>
                </c:pt>
                <c:pt idx="42">
                  <c:v>1.0241579999999999</c:v>
                </c:pt>
                <c:pt idx="43">
                  <c:v>1.033182</c:v>
                </c:pt>
                <c:pt idx="44">
                  <c:v>1.0581689999999999</c:v>
                </c:pt>
                <c:pt idx="45">
                  <c:v>1.0578650000000001</c:v>
                </c:pt>
                <c:pt idx="46">
                  <c:v>1.06488</c:v>
                </c:pt>
                <c:pt idx="47">
                  <c:v>1.0077780000000001</c:v>
                </c:pt>
                <c:pt idx="48">
                  <c:v>1.1354059999999999</c:v>
                </c:pt>
                <c:pt idx="49">
                  <c:v>1.1276900000000001</c:v>
                </c:pt>
                <c:pt idx="50">
                  <c:v>1.14699</c:v>
                </c:pt>
                <c:pt idx="51">
                  <c:v>1.163778</c:v>
                </c:pt>
                <c:pt idx="52">
                  <c:v>1.202234</c:v>
                </c:pt>
                <c:pt idx="53">
                  <c:v>1.2310509999999999</c:v>
                </c:pt>
                <c:pt idx="54">
                  <c:v>1.2194039999999999</c:v>
                </c:pt>
                <c:pt idx="55">
                  <c:v>1.239077</c:v>
                </c:pt>
                <c:pt idx="56">
                  <c:v>1.256232</c:v>
                </c:pt>
                <c:pt idx="57">
                  <c:v>1.2226239999999999</c:v>
                </c:pt>
                <c:pt idx="58">
                  <c:v>1.2621849999999999</c:v>
                </c:pt>
                <c:pt idx="59">
                  <c:v>1.051709</c:v>
                </c:pt>
                <c:pt idx="60">
                  <c:v>1.3165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E7-0542-80F4-AF1E0B47B380}"/>
            </c:ext>
          </c:extLst>
        </c:ser>
        <c:ser>
          <c:idx val="4"/>
          <c:order val="1"/>
          <c:tx>
            <c:strRef>
              <c:f>'deepseek-reasoner_delta-trend'!$I$2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'deepseek-reasoner_delta-trend'!$I$3:$I$63</c:f>
              <c:numCache>
                <c:formatCode>General</c:formatCode>
                <c:ptCount val="61"/>
                <c:pt idx="0">
                  <c:v>0</c:v>
                </c:pt>
                <c:pt idx="1">
                  <c:v>-1.8114999999999999E-2</c:v>
                </c:pt>
                <c:pt idx="2">
                  <c:v>-1.3408E-2</c:v>
                </c:pt>
                <c:pt idx="3">
                  <c:v>4.8250000000000003E-3</c:v>
                </c:pt>
                <c:pt idx="4">
                  <c:v>-4.4060000000000002E-3</c:v>
                </c:pt>
                <c:pt idx="5">
                  <c:v>-7.9380000000000006E-3</c:v>
                </c:pt>
                <c:pt idx="6">
                  <c:v>-3.9290000000000002E-3</c:v>
                </c:pt>
                <c:pt idx="7">
                  <c:v>1.8912999999999999E-2</c:v>
                </c:pt>
                <c:pt idx="8">
                  <c:v>3.474E-2</c:v>
                </c:pt>
                <c:pt idx="9">
                  <c:v>4.5450999999999998E-2</c:v>
                </c:pt>
                <c:pt idx="10">
                  <c:v>3.5701999999999998E-2</c:v>
                </c:pt>
                <c:pt idx="11">
                  <c:v>3.3959000000000003E-2</c:v>
                </c:pt>
                <c:pt idx="12">
                  <c:v>3.8806E-2</c:v>
                </c:pt>
                <c:pt idx="13">
                  <c:v>6.2126000000000001E-2</c:v>
                </c:pt>
                <c:pt idx="14">
                  <c:v>0.10825600000000001</c:v>
                </c:pt>
                <c:pt idx="15">
                  <c:v>0.15751599999999999</c:v>
                </c:pt>
                <c:pt idx="16">
                  <c:v>0.15099099999999999</c:v>
                </c:pt>
                <c:pt idx="17">
                  <c:v>0.173878</c:v>
                </c:pt>
                <c:pt idx="18">
                  <c:v>0.26764700000000002</c:v>
                </c:pt>
                <c:pt idx="19">
                  <c:v>0.27869699999999997</c:v>
                </c:pt>
                <c:pt idx="20">
                  <c:v>0.231958</c:v>
                </c:pt>
                <c:pt idx="21">
                  <c:v>0.32991599999999999</c:v>
                </c:pt>
                <c:pt idx="22">
                  <c:v>0.36564099999999999</c:v>
                </c:pt>
                <c:pt idx="23">
                  <c:v>0.38956000000000002</c:v>
                </c:pt>
                <c:pt idx="24">
                  <c:v>0.41830499999999998</c:v>
                </c:pt>
                <c:pt idx="25">
                  <c:v>0.42692600000000003</c:v>
                </c:pt>
                <c:pt idx="26">
                  <c:v>0.443712</c:v>
                </c:pt>
                <c:pt idx="27">
                  <c:v>0.44644699999999998</c:v>
                </c:pt>
                <c:pt idx="28">
                  <c:v>5.1658000000000003E-2</c:v>
                </c:pt>
                <c:pt idx="29">
                  <c:v>9.3623999999999999E-2</c:v>
                </c:pt>
                <c:pt idx="30">
                  <c:v>5.6850999999999999E-2</c:v>
                </c:pt>
                <c:pt idx="31">
                  <c:v>5.8125999999999997E-2</c:v>
                </c:pt>
                <c:pt idx="32">
                  <c:v>7.6803999999999997E-2</c:v>
                </c:pt>
                <c:pt idx="33">
                  <c:v>9.9738999999999994E-2</c:v>
                </c:pt>
                <c:pt idx="34">
                  <c:v>0.119674</c:v>
                </c:pt>
                <c:pt idx="35">
                  <c:v>0.12657099999999999</c:v>
                </c:pt>
                <c:pt idx="36">
                  <c:v>0.14462900000000001</c:v>
                </c:pt>
                <c:pt idx="37">
                  <c:v>0.15573200000000001</c:v>
                </c:pt>
                <c:pt idx="38">
                  <c:v>0.178397</c:v>
                </c:pt>
                <c:pt idx="39">
                  <c:v>0.22237299999999999</c:v>
                </c:pt>
                <c:pt idx="40">
                  <c:v>0.25045400000000001</c:v>
                </c:pt>
                <c:pt idx="41">
                  <c:v>0.26009700000000002</c:v>
                </c:pt>
                <c:pt idx="42">
                  <c:v>0.28071800000000002</c:v>
                </c:pt>
                <c:pt idx="43">
                  <c:v>0.293796</c:v>
                </c:pt>
                <c:pt idx="44">
                  <c:v>0.29569000000000001</c:v>
                </c:pt>
                <c:pt idx="45">
                  <c:v>0.29316399999999998</c:v>
                </c:pt>
                <c:pt idx="46">
                  <c:v>0.305668</c:v>
                </c:pt>
                <c:pt idx="47">
                  <c:v>0.32435000000000003</c:v>
                </c:pt>
                <c:pt idx="48">
                  <c:v>0.34856199999999998</c:v>
                </c:pt>
                <c:pt idx="49">
                  <c:v>0.35485299999999997</c:v>
                </c:pt>
                <c:pt idx="50">
                  <c:v>0.39363300000000001</c:v>
                </c:pt>
                <c:pt idx="51">
                  <c:v>0.54419600000000001</c:v>
                </c:pt>
                <c:pt idx="52">
                  <c:v>0.55942999999999998</c:v>
                </c:pt>
                <c:pt idx="53">
                  <c:v>0.58835300000000001</c:v>
                </c:pt>
                <c:pt idx="54">
                  <c:v>0.58859600000000001</c:v>
                </c:pt>
                <c:pt idx="55">
                  <c:v>0.60461500000000001</c:v>
                </c:pt>
                <c:pt idx="56">
                  <c:v>0.62992599999999999</c:v>
                </c:pt>
                <c:pt idx="57">
                  <c:v>0.64786200000000005</c:v>
                </c:pt>
                <c:pt idx="58">
                  <c:v>0.65524400000000005</c:v>
                </c:pt>
                <c:pt idx="59">
                  <c:v>0.62666999999999995</c:v>
                </c:pt>
                <c:pt idx="60">
                  <c:v>0.71219900000000003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7-0542-80F4-AF1E0B47B380}"/>
            </c:ext>
          </c:extLst>
        </c:ser>
        <c:ser>
          <c:idx val="1"/>
          <c:order val="2"/>
          <c:tx>
            <c:strRef>
              <c:f>'deepseek-reasoner_delta-trend'!$J$2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'deepseek-reasoner_delta-trend'!$J$3:$J$64</c:f>
              <c:numCache>
                <c:formatCode>General</c:formatCode>
                <c:ptCount val="62"/>
                <c:pt idx="0">
                  <c:v>0</c:v>
                </c:pt>
                <c:pt idx="1">
                  <c:v>-6.1570000000000001E-3</c:v>
                </c:pt>
                <c:pt idx="2">
                  <c:v>3.0920000000000001E-3</c:v>
                </c:pt>
                <c:pt idx="3">
                  <c:v>1.0579E-2</c:v>
                </c:pt>
                <c:pt idx="4">
                  <c:v>-1.1269E-2</c:v>
                </c:pt>
                <c:pt idx="5">
                  <c:v>-7.3530000000000002E-3</c:v>
                </c:pt>
                <c:pt idx="6">
                  <c:v>2.4810000000000001E-3</c:v>
                </c:pt>
                <c:pt idx="7">
                  <c:v>1.9552E-2</c:v>
                </c:pt>
                <c:pt idx="8">
                  <c:v>7.7883999999999995E-2</c:v>
                </c:pt>
                <c:pt idx="9">
                  <c:v>0.12790799999999999</c:v>
                </c:pt>
                <c:pt idx="10">
                  <c:v>0.13774</c:v>
                </c:pt>
                <c:pt idx="11">
                  <c:v>0.14286499999999999</c:v>
                </c:pt>
                <c:pt idx="12">
                  <c:v>0.16042400000000001</c:v>
                </c:pt>
                <c:pt idx="13">
                  <c:v>0.17180000000000001</c:v>
                </c:pt>
                <c:pt idx="14">
                  <c:v>0.17519599999999999</c:v>
                </c:pt>
                <c:pt idx="15">
                  <c:v>0.28787699999999999</c:v>
                </c:pt>
                <c:pt idx="16">
                  <c:v>0.26991599999999999</c:v>
                </c:pt>
                <c:pt idx="17">
                  <c:v>0.34790500000000002</c:v>
                </c:pt>
                <c:pt idx="18">
                  <c:v>0.32756400000000002</c:v>
                </c:pt>
                <c:pt idx="19">
                  <c:v>0.35802299999999998</c:v>
                </c:pt>
                <c:pt idx="20">
                  <c:v>0.33242500000000003</c:v>
                </c:pt>
                <c:pt idx="21">
                  <c:v>0.340922</c:v>
                </c:pt>
                <c:pt idx="22">
                  <c:v>0.35723700000000003</c:v>
                </c:pt>
                <c:pt idx="23">
                  <c:v>0.41069099999999997</c:v>
                </c:pt>
                <c:pt idx="24">
                  <c:v>0.45185199999999998</c:v>
                </c:pt>
                <c:pt idx="25">
                  <c:v>0.46683400000000003</c:v>
                </c:pt>
                <c:pt idx="26">
                  <c:v>0.481651</c:v>
                </c:pt>
                <c:pt idx="27">
                  <c:v>0.50904000000000005</c:v>
                </c:pt>
                <c:pt idx="28">
                  <c:v>0.53665300000000005</c:v>
                </c:pt>
                <c:pt idx="29">
                  <c:v>0.557473</c:v>
                </c:pt>
                <c:pt idx="30">
                  <c:v>0.54399399999999998</c:v>
                </c:pt>
                <c:pt idx="31">
                  <c:v>0.55725100000000005</c:v>
                </c:pt>
                <c:pt idx="32">
                  <c:v>0.56097300000000005</c:v>
                </c:pt>
                <c:pt idx="33">
                  <c:v>0.57628599999999996</c:v>
                </c:pt>
                <c:pt idx="34">
                  <c:v>0.54824899999999999</c:v>
                </c:pt>
                <c:pt idx="35">
                  <c:v>0.68755699999999997</c:v>
                </c:pt>
                <c:pt idx="36">
                  <c:v>0.71747399999999995</c:v>
                </c:pt>
                <c:pt idx="37">
                  <c:v>0.71736999999999995</c:v>
                </c:pt>
                <c:pt idx="38">
                  <c:v>0.71474199999999999</c:v>
                </c:pt>
                <c:pt idx="39">
                  <c:v>0.74733499999999997</c:v>
                </c:pt>
                <c:pt idx="40">
                  <c:v>0.73839100000000002</c:v>
                </c:pt>
                <c:pt idx="41">
                  <c:v>0.73446</c:v>
                </c:pt>
                <c:pt idx="42">
                  <c:v>0.76030900000000001</c:v>
                </c:pt>
                <c:pt idx="43">
                  <c:v>0.77512700000000001</c:v>
                </c:pt>
                <c:pt idx="44">
                  <c:v>0.79603699999999999</c:v>
                </c:pt>
                <c:pt idx="45">
                  <c:v>0.80712499999999998</c:v>
                </c:pt>
                <c:pt idx="46">
                  <c:v>0.82908400000000004</c:v>
                </c:pt>
                <c:pt idx="47">
                  <c:v>0.79893099999999995</c:v>
                </c:pt>
                <c:pt idx="48">
                  <c:v>0.86838099999999996</c:v>
                </c:pt>
                <c:pt idx="49">
                  <c:v>0.88370199999999999</c:v>
                </c:pt>
                <c:pt idx="50">
                  <c:v>0.89392400000000005</c:v>
                </c:pt>
                <c:pt idx="51">
                  <c:v>0.91212300000000002</c:v>
                </c:pt>
                <c:pt idx="52">
                  <c:v>0.95340400000000003</c:v>
                </c:pt>
                <c:pt idx="53">
                  <c:v>0.93381099999999995</c:v>
                </c:pt>
                <c:pt idx="54">
                  <c:v>0.95335700000000001</c:v>
                </c:pt>
                <c:pt idx="55">
                  <c:v>0.96443400000000001</c:v>
                </c:pt>
                <c:pt idx="56">
                  <c:v>0.99826300000000001</c:v>
                </c:pt>
                <c:pt idx="57">
                  <c:v>0.97514800000000001</c:v>
                </c:pt>
                <c:pt idx="58">
                  <c:v>1.0222329999999999</c:v>
                </c:pt>
                <c:pt idx="59">
                  <c:v>0.97769399999999995</c:v>
                </c:pt>
                <c:pt idx="60">
                  <c:v>1.119977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E7-0542-80F4-AF1E0B47B380}"/>
            </c:ext>
          </c:extLst>
        </c:ser>
        <c:ser>
          <c:idx val="2"/>
          <c:order val="3"/>
          <c:tx>
            <c:strRef>
              <c:f>'deepseek-reasoner_delta-trend'!$K$2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'deepseek-reasoner_delta-trend'!$K$3:$K$64</c:f>
              <c:numCache>
                <c:formatCode>General</c:formatCode>
                <c:ptCount val="6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E7-0542-80F4-AF1E0B47B380}"/>
            </c:ext>
          </c:extLst>
        </c:ser>
        <c:ser>
          <c:idx val="3"/>
          <c:order val="4"/>
          <c:tx>
            <c:strRef>
              <c:f>'deepseek-reasoner_delta-trend'!$L$2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'deepseek-reasoner_delta-trend'!$L$3:$L$64</c:f>
              <c:numCache>
                <c:formatCode>General</c:formatCode>
                <c:ptCount val="62"/>
                <c:pt idx="0">
                  <c:v>0</c:v>
                </c:pt>
                <c:pt idx="1">
                  <c:v>-7.6990000000000001E-3</c:v>
                </c:pt>
                <c:pt idx="2">
                  <c:v>-9.4230000000000008E-3</c:v>
                </c:pt>
                <c:pt idx="3">
                  <c:v>-3.6849999999999999E-3</c:v>
                </c:pt>
                <c:pt idx="4">
                  <c:v>1.6056999999999998E-2</c:v>
                </c:pt>
                <c:pt idx="5">
                  <c:v>2.5892999999999999E-2</c:v>
                </c:pt>
                <c:pt idx="6">
                  <c:v>2.452E-2</c:v>
                </c:pt>
                <c:pt idx="7">
                  <c:v>7.4966000000000005E-2</c:v>
                </c:pt>
                <c:pt idx="8">
                  <c:v>9.5531000000000005E-2</c:v>
                </c:pt>
                <c:pt idx="9">
                  <c:v>0.15964999999999999</c:v>
                </c:pt>
                <c:pt idx="10">
                  <c:v>0.172016</c:v>
                </c:pt>
                <c:pt idx="11">
                  <c:v>0.177479</c:v>
                </c:pt>
                <c:pt idx="12">
                  <c:v>0.17879999999999999</c:v>
                </c:pt>
                <c:pt idx="13">
                  <c:v>0.227659</c:v>
                </c:pt>
                <c:pt idx="14">
                  <c:v>0.24237900000000001</c:v>
                </c:pt>
                <c:pt idx="15">
                  <c:v>-1.3699999999999999E-3</c:v>
                </c:pt>
                <c:pt idx="16">
                  <c:v>1.6285000000000001E-2</c:v>
                </c:pt>
                <c:pt idx="17">
                  <c:v>4.0746999999999998E-2</c:v>
                </c:pt>
                <c:pt idx="18">
                  <c:v>8.9277999999999996E-2</c:v>
                </c:pt>
                <c:pt idx="19">
                  <c:v>0.103535</c:v>
                </c:pt>
                <c:pt idx="20">
                  <c:v>8.8278999999999996E-2</c:v>
                </c:pt>
                <c:pt idx="21">
                  <c:v>0.11171499999999999</c:v>
                </c:pt>
                <c:pt idx="22">
                  <c:v>0.14308100000000001</c:v>
                </c:pt>
                <c:pt idx="23">
                  <c:v>0.153699</c:v>
                </c:pt>
                <c:pt idx="24">
                  <c:v>0.175653</c:v>
                </c:pt>
                <c:pt idx="25">
                  <c:v>0.16675799999999999</c:v>
                </c:pt>
                <c:pt idx="26">
                  <c:v>0.18815499999999999</c:v>
                </c:pt>
                <c:pt idx="27">
                  <c:v>0.17541399999999999</c:v>
                </c:pt>
                <c:pt idx="28">
                  <c:v>0.182286</c:v>
                </c:pt>
                <c:pt idx="29">
                  <c:v>0.18853600000000001</c:v>
                </c:pt>
                <c:pt idx="30">
                  <c:v>0.183562</c:v>
                </c:pt>
                <c:pt idx="31">
                  <c:v>0.23294599999999999</c:v>
                </c:pt>
                <c:pt idx="32">
                  <c:v>0.235401</c:v>
                </c:pt>
                <c:pt idx="33">
                  <c:v>0.27164899999999997</c:v>
                </c:pt>
                <c:pt idx="34">
                  <c:v>0.25082599999999999</c:v>
                </c:pt>
                <c:pt idx="35">
                  <c:v>0.33028999999999997</c:v>
                </c:pt>
                <c:pt idx="36">
                  <c:v>0.33082400000000001</c:v>
                </c:pt>
                <c:pt idx="37">
                  <c:v>0.322162</c:v>
                </c:pt>
                <c:pt idx="38">
                  <c:v>0.29607499999999998</c:v>
                </c:pt>
                <c:pt idx="39">
                  <c:v>0.367031</c:v>
                </c:pt>
                <c:pt idx="40">
                  <c:v>0.38256400000000002</c:v>
                </c:pt>
                <c:pt idx="41">
                  <c:v>0.53991900000000004</c:v>
                </c:pt>
                <c:pt idx="42">
                  <c:v>0.54499299999999995</c:v>
                </c:pt>
                <c:pt idx="43">
                  <c:v>0.58006500000000005</c:v>
                </c:pt>
                <c:pt idx="44">
                  <c:v>0.58974599999999999</c:v>
                </c:pt>
                <c:pt idx="45">
                  <c:v>0.587283</c:v>
                </c:pt>
                <c:pt idx="46">
                  <c:v>0.60695399999999999</c:v>
                </c:pt>
                <c:pt idx="47">
                  <c:v>0.57308700000000001</c:v>
                </c:pt>
                <c:pt idx="48">
                  <c:v>0.62515900000000002</c:v>
                </c:pt>
                <c:pt idx="49">
                  <c:v>0.63908100000000001</c:v>
                </c:pt>
                <c:pt idx="50">
                  <c:v>0.66338699999999995</c:v>
                </c:pt>
                <c:pt idx="51">
                  <c:v>0.66739800000000005</c:v>
                </c:pt>
                <c:pt idx="52">
                  <c:v>0.69432400000000005</c:v>
                </c:pt>
                <c:pt idx="53">
                  <c:v>0.70792500000000003</c:v>
                </c:pt>
                <c:pt idx="54">
                  <c:v>0.71826400000000001</c:v>
                </c:pt>
                <c:pt idx="55">
                  <c:v>0.72592299999999998</c:v>
                </c:pt>
                <c:pt idx="56">
                  <c:v>0.73441699999999999</c:v>
                </c:pt>
                <c:pt idx="57">
                  <c:v>0.73966900000000002</c:v>
                </c:pt>
                <c:pt idx="58">
                  <c:v>0.733263</c:v>
                </c:pt>
                <c:pt idx="59">
                  <c:v>0.74711899999999998</c:v>
                </c:pt>
                <c:pt idx="60">
                  <c:v>0.82689500000000005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7E7-0542-80F4-AF1E0B47B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2512345679012316E-2"/>
          <c:y val="0.14649083333333329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MIX 100 nodes</a:t>
            </a:r>
          </a:p>
        </c:rich>
      </c:tx>
      <c:layout>
        <c:manualLayout>
          <c:xMode val="edge"/>
          <c:yMode val="edge"/>
          <c:x val="0.27598117283950613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'deepseek-reasoner_delta-trend'!$N$2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'deepseek-reasoner_delta-trend'!$N$3:$N$104</c:f>
              <c:numCache>
                <c:formatCode>General</c:formatCode>
                <c:ptCount val="102"/>
                <c:pt idx="0">
                  <c:v>0</c:v>
                </c:pt>
                <c:pt idx="1">
                  <c:v>-4.1309999999999999E-2</c:v>
                </c:pt>
                <c:pt idx="2">
                  <c:v>-3.3348999999999997E-2</c:v>
                </c:pt>
                <c:pt idx="3">
                  <c:v>-2.8563999999999999E-2</c:v>
                </c:pt>
                <c:pt idx="4">
                  <c:v>-3.5706000000000002E-2</c:v>
                </c:pt>
                <c:pt idx="5">
                  <c:v>-4.4777999999999998E-2</c:v>
                </c:pt>
                <c:pt idx="6">
                  <c:v>-5.4212000000000003E-2</c:v>
                </c:pt>
                <c:pt idx="7">
                  <c:v>-4.1274999999999999E-2</c:v>
                </c:pt>
                <c:pt idx="8">
                  <c:v>-3.7200000000000002E-3</c:v>
                </c:pt>
                <c:pt idx="9">
                  <c:v>-1.7080999999999999E-2</c:v>
                </c:pt>
                <c:pt idx="10">
                  <c:v>-3.8431E-2</c:v>
                </c:pt>
                <c:pt idx="11">
                  <c:v>-5.1664000000000002E-2</c:v>
                </c:pt>
                <c:pt idx="12">
                  <c:v>-4.3439999999999999E-2</c:v>
                </c:pt>
                <c:pt idx="13">
                  <c:v>-6.2073999999999997E-2</c:v>
                </c:pt>
                <c:pt idx="14">
                  <c:v>-2.8320999999999999E-2</c:v>
                </c:pt>
                <c:pt idx="15">
                  <c:v>-3.3399999999999999E-4</c:v>
                </c:pt>
                <c:pt idx="16">
                  <c:v>-1.3756000000000001E-2</c:v>
                </c:pt>
                <c:pt idx="17">
                  <c:v>-2.7807999999999999E-2</c:v>
                </c:pt>
                <c:pt idx="18">
                  <c:v>6.3020000000000003E-3</c:v>
                </c:pt>
                <c:pt idx="19">
                  <c:v>6.9764000000000007E-2</c:v>
                </c:pt>
                <c:pt idx="20">
                  <c:v>5.8566E-2</c:v>
                </c:pt>
                <c:pt idx="21">
                  <c:v>5.9388000000000003E-2</c:v>
                </c:pt>
                <c:pt idx="22">
                  <c:v>6.5733E-2</c:v>
                </c:pt>
                <c:pt idx="23">
                  <c:v>3.2702000000000002E-2</c:v>
                </c:pt>
                <c:pt idx="24">
                  <c:v>4.0327000000000002E-2</c:v>
                </c:pt>
                <c:pt idx="25">
                  <c:v>4.4963000000000003E-2</c:v>
                </c:pt>
                <c:pt idx="26">
                  <c:v>4.5830000000000003E-2</c:v>
                </c:pt>
                <c:pt idx="27">
                  <c:v>4.7933000000000003E-2</c:v>
                </c:pt>
                <c:pt idx="28">
                  <c:v>3.9509000000000002E-2</c:v>
                </c:pt>
                <c:pt idx="29">
                  <c:v>3.4973999999999998E-2</c:v>
                </c:pt>
                <c:pt idx="30">
                  <c:v>3.4415000000000001E-2</c:v>
                </c:pt>
                <c:pt idx="31">
                  <c:v>1.933E-3</c:v>
                </c:pt>
                <c:pt idx="32">
                  <c:v>1.6429999999999999E-3</c:v>
                </c:pt>
                <c:pt idx="33">
                  <c:v>3.8601000000000003E-2</c:v>
                </c:pt>
                <c:pt idx="34">
                  <c:v>6.7701999999999998E-2</c:v>
                </c:pt>
                <c:pt idx="35">
                  <c:v>5.4149000000000003E-2</c:v>
                </c:pt>
                <c:pt idx="36">
                  <c:v>4.3269000000000002E-2</c:v>
                </c:pt>
                <c:pt idx="37">
                  <c:v>4.0929E-2</c:v>
                </c:pt>
                <c:pt idx="38">
                  <c:v>3.8043E-2</c:v>
                </c:pt>
                <c:pt idx="39">
                  <c:v>4.6418000000000001E-2</c:v>
                </c:pt>
                <c:pt idx="40">
                  <c:v>5.9533000000000003E-2</c:v>
                </c:pt>
                <c:pt idx="41">
                  <c:v>0.105394</c:v>
                </c:pt>
                <c:pt idx="42">
                  <c:v>0.116701</c:v>
                </c:pt>
                <c:pt idx="43">
                  <c:v>0.117215</c:v>
                </c:pt>
                <c:pt idx="44">
                  <c:v>0.120141</c:v>
                </c:pt>
                <c:pt idx="45">
                  <c:v>0.114941</c:v>
                </c:pt>
                <c:pt idx="46">
                  <c:v>0.105948</c:v>
                </c:pt>
                <c:pt idx="47">
                  <c:v>9.5172999999999994E-2</c:v>
                </c:pt>
                <c:pt idx="48">
                  <c:v>9.2954999999999996E-2</c:v>
                </c:pt>
                <c:pt idx="49">
                  <c:v>9.7892999999999994E-2</c:v>
                </c:pt>
                <c:pt idx="50">
                  <c:v>7.5426000000000007E-2</c:v>
                </c:pt>
                <c:pt idx="51">
                  <c:v>7.3353000000000002E-2</c:v>
                </c:pt>
                <c:pt idx="52">
                  <c:v>9.4047000000000006E-2</c:v>
                </c:pt>
                <c:pt idx="53">
                  <c:v>0.102941</c:v>
                </c:pt>
                <c:pt idx="54">
                  <c:v>9.5638000000000001E-2</c:v>
                </c:pt>
                <c:pt idx="55">
                  <c:v>8.4131999999999998E-2</c:v>
                </c:pt>
                <c:pt idx="56">
                  <c:v>8.2409999999999997E-2</c:v>
                </c:pt>
                <c:pt idx="57">
                  <c:v>9.2095999999999997E-2</c:v>
                </c:pt>
                <c:pt idx="58">
                  <c:v>9.6069000000000002E-2</c:v>
                </c:pt>
                <c:pt idx="59">
                  <c:v>0.11133899999999999</c:v>
                </c:pt>
                <c:pt idx="60">
                  <c:v>0.100725</c:v>
                </c:pt>
                <c:pt idx="61">
                  <c:v>0.12298000000000001</c:v>
                </c:pt>
                <c:pt idx="62">
                  <c:v>0.11393</c:v>
                </c:pt>
                <c:pt idx="63">
                  <c:v>0.12025</c:v>
                </c:pt>
                <c:pt idx="64">
                  <c:v>0.104504</c:v>
                </c:pt>
                <c:pt idx="65">
                  <c:v>0.105215</c:v>
                </c:pt>
                <c:pt idx="66">
                  <c:v>9.2419000000000001E-2</c:v>
                </c:pt>
                <c:pt idx="67">
                  <c:v>0.15481200000000001</c:v>
                </c:pt>
                <c:pt idx="68">
                  <c:v>0.169934</c:v>
                </c:pt>
                <c:pt idx="69">
                  <c:v>0.18421899999999999</c:v>
                </c:pt>
                <c:pt idx="70">
                  <c:v>0.17189699999999999</c:v>
                </c:pt>
                <c:pt idx="71">
                  <c:v>0.18332699999999999</c:v>
                </c:pt>
                <c:pt idx="72">
                  <c:v>0.18421499999999999</c:v>
                </c:pt>
                <c:pt idx="73">
                  <c:v>0.149363</c:v>
                </c:pt>
                <c:pt idx="74">
                  <c:v>0.161466</c:v>
                </c:pt>
                <c:pt idx="75">
                  <c:v>0.16461799999999999</c:v>
                </c:pt>
                <c:pt idx="76">
                  <c:v>0.23149500000000001</c:v>
                </c:pt>
                <c:pt idx="77">
                  <c:v>0.25697500000000001</c:v>
                </c:pt>
                <c:pt idx="78">
                  <c:v>0.26793800000000001</c:v>
                </c:pt>
                <c:pt idx="79">
                  <c:v>0.258853</c:v>
                </c:pt>
                <c:pt idx="80">
                  <c:v>0.312253</c:v>
                </c:pt>
                <c:pt idx="81">
                  <c:v>0.27126699999999998</c:v>
                </c:pt>
                <c:pt idx="82">
                  <c:v>0.19067600000000001</c:v>
                </c:pt>
                <c:pt idx="83">
                  <c:v>0.20003099999999999</c:v>
                </c:pt>
                <c:pt idx="84">
                  <c:v>0.21745</c:v>
                </c:pt>
                <c:pt idx="85">
                  <c:v>0.21060000000000001</c:v>
                </c:pt>
                <c:pt idx="86">
                  <c:v>0.23630799999999999</c:v>
                </c:pt>
                <c:pt idx="87">
                  <c:v>0.25505</c:v>
                </c:pt>
                <c:pt idx="88">
                  <c:v>0.26865699999999998</c:v>
                </c:pt>
                <c:pt idx="89">
                  <c:v>0.27951399999999998</c:v>
                </c:pt>
                <c:pt idx="90">
                  <c:v>0.29265600000000003</c:v>
                </c:pt>
                <c:pt idx="91">
                  <c:v>0.33605400000000002</c:v>
                </c:pt>
                <c:pt idx="92">
                  <c:v>0.34731600000000001</c:v>
                </c:pt>
                <c:pt idx="93">
                  <c:v>0.34831000000000001</c:v>
                </c:pt>
                <c:pt idx="94">
                  <c:v>0.35854200000000003</c:v>
                </c:pt>
                <c:pt idx="95">
                  <c:v>0.31451699999999999</c:v>
                </c:pt>
                <c:pt idx="96">
                  <c:v>0.33711000000000002</c:v>
                </c:pt>
                <c:pt idx="97">
                  <c:v>0.35225600000000001</c:v>
                </c:pt>
                <c:pt idx="98">
                  <c:v>0.39720299999999997</c:v>
                </c:pt>
                <c:pt idx="99">
                  <c:v>0.45779300000000001</c:v>
                </c:pt>
                <c:pt idx="100">
                  <c:v>0.47660799999999998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AD-2243-AAA9-A3AA1D6757D1}"/>
            </c:ext>
          </c:extLst>
        </c:ser>
        <c:ser>
          <c:idx val="4"/>
          <c:order val="1"/>
          <c:tx>
            <c:strRef>
              <c:f>'deepseek-reasoner_delta-trend'!$O$2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'deepseek-reasoner_delta-trend'!$O$3:$O$103</c:f>
              <c:numCache>
                <c:formatCode>General</c:formatCode>
                <c:ptCount val="101"/>
                <c:pt idx="0">
                  <c:v>0</c:v>
                </c:pt>
                <c:pt idx="1">
                  <c:v>-1.2038999999999999E-2</c:v>
                </c:pt>
                <c:pt idx="2">
                  <c:v>-6.2700000000000004E-3</c:v>
                </c:pt>
                <c:pt idx="3">
                  <c:v>-1.3110000000000001E-3</c:v>
                </c:pt>
                <c:pt idx="4">
                  <c:v>-1.472E-3</c:v>
                </c:pt>
                <c:pt idx="5">
                  <c:v>-9.0620000000000006E-3</c:v>
                </c:pt>
                <c:pt idx="6">
                  <c:v>2.0469999999999999E-2</c:v>
                </c:pt>
                <c:pt idx="7">
                  <c:v>6.3759999999999997E-3</c:v>
                </c:pt>
                <c:pt idx="8">
                  <c:v>1.8109999999999999E-3</c:v>
                </c:pt>
                <c:pt idx="9">
                  <c:v>-1.0591E-2</c:v>
                </c:pt>
                <c:pt idx="10">
                  <c:v>-4.55E-4</c:v>
                </c:pt>
                <c:pt idx="11">
                  <c:v>3.2322999999999998E-2</c:v>
                </c:pt>
                <c:pt idx="12">
                  <c:v>5.9950000000000003E-2</c:v>
                </c:pt>
                <c:pt idx="13">
                  <c:v>5.0257999999999997E-2</c:v>
                </c:pt>
                <c:pt idx="14">
                  <c:v>1.4602E-2</c:v>
                </c:pt>
                <c:pt idx="15">
                  <c:v>2.291E-2</c:v>
                </c:pt>
                <c:pt idx="16">
                  <c:v>1.0135E-2</c:v>
                </c:pt>
                <c:pt idx="17">
                  <c:v>-1.5583E-2</c:v>
                </c:pt>
                <c:pt idx="18">
                  <c:v>3.5410999999999998E-2</c:v>
                </c:pt>
                <c:pt idx="19">
                  <c:v>4.2306000000000003E-2</c:v>
                </c:pt>
                <c:pt idx="20">
                  <c:v>7.1038000000000004E-2</c:v>
                </c:pt>
                <c:pt idx="21">
                  <c:v>7.5684000000000001E-2</c:v>
                </c:pt>
                <c:pt idx="22">
                  <c:v>7.9337000000000005E-2</c:v>
                </c:pt>
                <c:pt idx="23">
                  <c:v>0.12782399999999999</c:v>
                </c:pt>
                <c:pt idx="24">
                  <c:v>0.13939699999999999</c:v>
                </c:pt>
                <c:pt idx="25">
                  <c:v>0.147894</c:v>
                </c:pt>
                <c:pt idx="26">
                  <c:v>0.14807200000000001</c:v>
                </c:pt>
                <c:pt idx="27">
                  <c:v>0.15447</c:v>
                </c:pt>
                <c:pt idx="28">
                  <c:v>0.16275899999999999</c:v>
                </c:pt>
                <c:pt idx="29">
                  <c:v>0.16217799999999999</c:v>
                </c:pt>
                <c:pt idx="30">
                  <c:v>0.15725700000000001</c:v>
                </c:pt>
                <c:pt idx="31">
                  <c:v>0.102371</c:v>
                </c:pt>
                <c:pt idx="32">
                  <c:v>9.4192999999999999E-2</c:v>
                </c:pt>
                <c:pt idx="33">
                  <c:v>0.11520900000000001</c:v>
                </c:pt>
                <c:pt idx="34">
                  <c:v>0.14060300000000001</c:v>
                </c:pt>
                <c:pt idx="35">
                  <c:v>0.14131199999999999</c:v>
                </c:pt>
                <c:pt idx="36">
                  <c:v>0.13744000000000001</c:v>
                </c:pt>
                <c:pt idx="37">
                  <c:v>0.17574799999999999</c:v>
                </c:pt>
                <c:pt idx="38">
                  <c:v>0.16955200000000001</c:v>
                </c:pt>
                <c:pt idx="39">
                  <c:v>0.16591500000000001</c:v>
                </c:pt>
                <c:pt idx="40">
                  <c:v>0.18726599999999999</c:v>
                </c:pt>
                <c:pt idx="41">
                  <c:v>0.16189799999999999</c:v>
                </c:pt>
                <c:pt idx="42">
                  <c:v>0.19792499999999999</c:v>
                </c:pt>
                <c:pt idx="43">
                  <c:v>0.19672400000000001</c:v>
                </c:pt>
                <c:pt idx="44">
                  <c:v>0.21042</c:v>
                </c:pt>
                <c:pt idx="45">
                  <c:v>0.20166600000000001</c:v>
                </c:pt>
                <c:pt idx="46">
                  <c:v>0.23511499999999999</c:v>
                </c:pt>
                <c:pt idx="47">
                  <c:v>0.23379900000000001</c:v>
                </c:pt>
                <c:pt idx="48">
                  <c:v>0.217142</c:v>
                </c:pt>
                <c:pt idx="49">
                  <c:v>0.22751199999999999</c:v>
                </c:pt>
                <c:pt idx="50">
                  <c:v>0.22461600000000001</c:v>
                </c:pt>
                <c:pt idx="51">
                  <c:v>0.231434</c:v>
                </c:pt>
                <c:pt idx="52">
                  <c:v>0.25945099999999999</c:v>
                </c:pt>
                <c:pt idx="53">
                  <c:v>0.26246900000000001</c:v>
                </c:pt>
                <c:pt idx="54">
                  <c:v>0.281024</c:v>
                </c:pt>
                <c:pt idx="55">
                  <c:v>0.25681199999999998</c:v>
                </c:pt>
                <c:pt idx="56">
                  <c:v>0.256911</c:v>
                </c:pt>
                <c:pt idx="57">
                  <c:v>0.26192300000000002</c:v>
                </c:pt>
                <c:pt idx="58">
                  <c:v>0.26904499999999998</c:v>
                </c:pt>
                <c:pt idx="59">
                  <c:v>0.26084000000000002</c:v>
                </c:pt>
                <c:pt idx="60">
                  <c:v>0.26669100000000001</c:v>
                </c:pt>
                <c:pt idx="61">
                  <c:v>0.279588</c:v>
                </c:pt>
                <c:pt idx="62">
                  <c:v>0.25278800000000001</c:v>
                </c:pt>
                <c:pt idx="63">
                  <c:v>0.26114799999999999</c:v>
                </c:pt>
                <c:pt idx="64">
                  <c:v>0.24807199999999999</c:v>
                </c:pt>
                <c:pt idx="65">
                  <c:v>0.23726</c:v>
                </c:pt>
                <c:pt idx="66">
                  <c:v>0.222772</c:v>
                </c:pt>
                <c:pt idx="67">
                  <c:v>0.21956400000000001</c:v>
                </c:pt>
                <c:pt idx="68">
                  <c:v>0.22642799999999999</c:v>
                </c:pt>
                <c:pt idx="69">
                  <c:v>0.21429000000000001</c:v>
                </c:pt>
                <c:pt idx="70">
                  <c:v>0.218944</c:v>
                </c:pt>
                <c:pt idx="71">
                  <c:v>0.24976999999999999</c:v>
                </c:pt>
                <c:pt idx="72">
                  <c:v>0.24946499999999999</c:v>
                </c:pt>
                <c:pt idx="73">
                  <c:v>0.26156499999999999</c:v>
                </c:pt>
                <c:pt idx="74">
                  <c:v>0.30465399999999998</c:v>
                </c:pt>
                <c:pt idx="75">
                  <c:v>0.290493</c:v>
                </c:pt>
                <c:pt idx="76">
                  <c:v>0.34663100000000002</c:v>
                </c:pt>
                <c:pt idx="77">
                  <c:v>0.31318299999999999</c:v>
                </c:pt>
                <c:pt idx="78">
                  <c:v>0.32768900000000001</c:v>
                </c:pt>
                <c:pt idx="79">
                  <c:v>0.31285499999999999</c:v>
                </c:pt>
                <c:pt idx="80">
                  <c:v>0.35783599999999999</c:v>
                </c:pt>
                <c:pt idx="81">
                  <c:v>0.31306800000000001</c:v>
                </c:pt>
                <c:pt idx="82">
                  <c:v>0.24803</c:v>
                </c:pt>
                <c:pt idx="83">
                  <c:v>0.26632899999999998</c:v>
                </c:pt>
                <c:pt idx="84">
                  <c:v>0.26424199999999998</c:v>
                </c:pt>
                <c:pt idx="85">
                  <c:v>0.27202500000000002</c:v>
                </c:pt>
                <c:pt idx="86">
                  <c:v>0.29506599999999999</c:v>
                </c:pt>
                <c:pt idx="87">
                  <c:v>0.29278799999999999</c:v>
                </c:pt>
                <c:pt idx="88">
                  <c:v>0.29947000000000001</c:v>
                </c:pt>
                <c:pt idx="89">
                  <c:v>0.320137</c:v>
                </c:pt>
                <c:pt idx="90">
                  <c:v>0.31867600000000001</c:v>
                </c:pt>
                <c:pt idx="91">
                  <c:v>0.32064700000000002</c:v>
                </c:pt>
                <c:pt idx="92">
                  <c:v>0.31371700000000002</c:v>
                </c:pt>
                <c:pt idx="93">
                  <c:v>0.33371899999999999</c:v>
                </c:pt>
                <c:pt idx="94">
                  <c:v>0.31866699999999998</c:v>
                </c:pt>
                <c:pt idx="95">
                  <c:v>0.296292</c:v>
                </c:pt>
                <c:pt idx="96">
                  <c:v>0.30697200000000002</c:v>
                </c:pt>
                <c:pt idx="97">
                  <c:v>0.307172</c:v>
                </c:pt>
                <c:pt idx="98">
                  <c:v>0.28324199999999999</c:v>
                </c:pt>
                <c:pt idx="99">
                  <c:v>0.31109599999999998</c:v>
                </c:pt>
                <c:pt idx="100">
                  <c:v>0.31539499999999998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AD-2243-AAA9-A3AA1D6757D1}"/>
            </c:ext>
          </c:extLst>
        </c:ser>
        <c:ser>
          <c:idx val="1"/>
          <c:order val="2"/>
          <c:tx>
            <c:strRef>
              <c:f>'deepseek-reasoner_delta-trend'!$P$2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'deepseek-reasoner_delta-trend'!$P$3:$P$104</c:f>
              <c:numCache>
                <c:formatCode>General</c:formatCode>
                <c:ptCount val="102"/>
                <c:pt idx="0">
                  <c:v>0</c:v>
                </c:pt>
                <c:pt idx="1">
                  <c:v>-6.8170000000000001E-3</c:v>
                </c:pt>
                <c:pt idx="2">
                  <c:v>2.9910000000000002E-3</c:v>
                </c:pt>
                <c:pt idx="3">
                  <c:v>6.6649999999999999E-3</c:v>
                </c:pt>
                <c:pt idx="4">
                  <c:v>2.8830000000000001E-3</c:v>
                </c:pt>
                <c:pt idx="5">
                  <c:v>-4.0169999999999997E-3</c:v>
                </c:pt>
                <c:pt idx="6">
                  <c:v>-1.6469000000000001E-2</c:v>
                </c:pt>
                <c:pt idx="7">
                  <c:v>-2.3019999999999999E-2</c:v>
                </c:pt>
                <c:pt idx="8">
                  <c:v>-1.2205000000000001E-2</c:v>
                </c:pt>
                <c:pt idx="9">
                  <c:v>7.7949999999999998E-3</c:v>
                </c:pt>
                <c:pt idx="10">
                  <c:v>-3.5861999999999998E-2</c:v>
                </c:pt>
                <c:pt idx="11">
                  <c:v>1.9687E-2</c:v>
                </c:pt>
                <c:pt idx="12">
                  <c:v>2.7882000000000001E-2</c:v>
                </c:pt>
                <c:pt idx="13">
                  <c:v>3.0356999999999999E-2</c:v>
                </c:pt>
                <c:pt idx="14">
                  <c:v>5.4704000000000003E-2</c:v>
                </c:pt>
                <c:pt idx="15">
                  <c:v>4.8396000000000002E-2</c:v>
                </c:pt>
                <c:pt idx="16">
                  <c:v>3.8089999999999999E-3</c:v>
                </c:pt>
                <c:pt idx="17">
                  <c:v>1.8338E-2</c:v>
                </c:pt>
                <c:pt idx="18">
                  <c:v>1.6367E-2</c:v>
                </c:pt>
                <c:pt idx="19">
                  <c:v>2.7439999999999999E-2</c:v>
                </c:pt>
                <c:pt idx="20">
                  <c:v>4.4539999999999996E-3</c:v>
                </c:pt>
                <c:pt idx="21">
                  <c:v>4.5259999999999996E-3</c:v>
                </c:pt>
                <c:pt idx="22">
                  <c:v>7.3749999999999996E-3</c:v>
                </c:pt>
                <c:pt idx="23">
                  <c:v>-1.0619E-2</c:v>
                </c:pt>
                <c:pt idx="24">
                  <c:v>-4.8939999999999999E-3</c:v>
                </c:pt>
                <c:pt idx="25">
                  <c:v>-5.6909999999999999E-3</c:v>
                </c:pt>
                <c:pt idx="26">
                  <c:v>2.3636000000000001E-2</c:v>
                </c:pt>
                <c:pt idx="27">
                  <c:v>2.4211E-2</c:v>
                </c:pt>
                <c:pt idx="28">
                  <c:v>2.7629999999999998E-2</c:v>
                </c:pt>
                <c:pt idx="29">
                  <c:v>3.4876999999999998E-2</c:v>
                </c:pt>
                <c:pt idx="30">
                  <c:v>3.4750999999999997E-2</c:v>
                </c:pt>
                <c:pt idx="31">
                  <c:v>-1.5870000000000001E-3</c:v>
                </c:pt>
                <c:pt idx="32">
                  <c:v>-4.4699999999999997E-2</c:v>
                </c:pt>
                <c:pt idx="33">
                  <c:v>-4.9112000000000003E-2</c:v>
                </c:pt>
                <c:pt idx="34">
                  <c:v>-7.2829000000000005E-2</c:v>
                </c:pt>
                <c:pt idx="35">
                  <c:v>-7.1859999999999993E-2</c:v>
                </c:pt>
                <c:pt idx="36">
                  <c:v>-6.3815999999999998E-2</c:v>
                </c:pt>
                <c:pt idx="37">
                  <c:v>-6.8719000000000002E-2</c:v>
                </c:pt>
                <c:pt idx="38">
                  <c:v>-8.9349999999999999E-2</c:v>
                </c:pt>
                <c:pt idx="39">
                  <c:v>-7.5131000000000003E-2</c:v>
                </c:pt>
                <c:pt idx="40">
                  <c:v>-7.0902999999999994E-2</c:v>
                </c:pt>
                <c:pt idx="41">
                  <c:v>-0.20181499999999999</c:v>
                </c:pt>
                <c:pt idx="42">
                  <c:v>-0.26454699999999998</c:v>
                </c:pt>
                <c:pt idx="43">
                  <c:v>-0.26226300000000002</c:v>
                </c:pt>
                <c:pt idx="44">
                  <c:v>-0.25570399999999999</c:v>
                </c:pt>
                <c:pt idx="45">
                  <c:v>-0.27073000000000003</c:v>
                </c:pt>
                <c:pt idx="46">
                  <c:v>-0.26675399999999999</c:v>
                </c:pt>
                <c:pt idx="47">
                  <c:v>-0.27897899999999998</c:v>
                </c:pt>
                <c:pt idx="48">
                  <c:v>-0.25346600000000002</c:v>
                </c:pt>
                <c:pt idx="49">
                  <c:v>-0.25124999999999997</c:v>
                </c:pt>
                <c:pt idx="50">
                  <c:v>-0.24124699999999999</c:v>
                </c:pt>
                <c:pt idx="51">
                  <c:v>-0.215699</c:v>
                </c:pt>
                <c:pt idx="52">
                  <c:v>-0.24201</c:v>
                </c:pt>
                <c:pt idx="53">
                  <c:v>-5.7778999999999997E-2</c:v>
                </c:pt>
                <c:pt idx="54">
                  <c:v>-5.6278000000000002E-2</c:v>
                </c:pt>
                <c:pt idx="55">
                  <c:v>-6.5936999999999996E-2</c:v>
                </c:pt>
                <c:pt idx="56">
                  <c:v>-7.0968000000000003E-2</c:v>
                </c:pt>
                <c:pt idx="57">
                  <c:v>-0.109407</c:v>
                </c:pt>
                <c:pt idx="58">
                  <c:v>-0.116699</c:v>
                </c:pt>
                <c:pt idx="59">
                  <c:v>-0.104408</c:v>
                </c:pt>
                <c:pt idx="60">
                  <c:v>-9.9557000000000007E-2</c:v>
                </c:pt>
                <c:pt idx="61">
                  <c:v>-0.10467600000000001</c:v>
                </c:pt>
                <c:pt idx="62">
                  <c:v>-9.4699000000000005E-2</c:v>
                </c:pt>
                <c:pt idx="63">
                  <c:v>-8.8870000000000005E-2</c:v>
                </c:pt>
                <c:pt idx="64">
                  <c:v>-6.1566000000000003E-2</c:v>
                </c:pt>
                <c:pt idx="65">
                  <c:v>-5.6131E-2</c:v>
                </c:pt>
                <c:pt idx="66">
                  <c:v>-4.6399999999999997E-2</c:v>
                </c:pt>
                <c:pt idx="67">
                  <c:v>-4.8715000000000001E-2</c:v>
                </c:pt>
                <c:pt idx="68">
                  <c:v>-4.4338000000000002E-2</c:v>
                </c:pt>
                <c:pt idx="69">
                  <c:v>-3.8134000000000001E-2</c:v>
                </c:pt>
                <c:pt idx="70">
                  <c:v>-3.7393999999999997E-2</c:v>
                </c:pt>
                <c:pt idx="71">
                  <c:v>-2.4986999999999999E-2</c:v>
                </c:pt>
                <c:pt idx="72">
                  <c:v>-1.603E-3</c:v>
                </c:pt>
                <c:pt idx="73">
                  <c:v>8.3619999999999996E-3</c:v>
                </c:pt>
                <c:pt idx="74">
                  <c:v>-3.4422000000000001E-2</c:v>
                </c:pt>
                <c:pt idx="75">
                  <c:v>-7.1305999999999994E-2</c:v>
                </c:pt>
                <c:pt idx="76">
                  <c:v>-3.9874E-2</c:v>
                </c:pt>
                <c:pt idx="77">
                  <c:v>-3.2035000000000001E-2</c:v>
                </c:pt>
                <c:pt idx="78">
                  <c:v>-2.6530999999999999E-2</c:v>
                </c:pt>
                <c:pt idx="79">
                  <c:v>1.1174E-2</c:v>
                </c:pt>
                <c:pt idx="80">
                  <c:v>2.0074999999999999E-2</c:v>
                </c:pt>
                <c:pt idx="81">
                  <c:v>1.3129999999999999E-2</c:v>
                </c:pt>
                <c:pt idx="82">
                  <c:v>-2.7269999999999998E-3</c:v>
                </c:pt>
                <c:pt idx="83">
                  <c:v>-1.993E-3</c:v>
                </c:pt>
                <c:pt idx="84">
                  <c:v>1.8240000000000001E-3</c:v>
                </c:pt>
                <c:pt idx="85">
                  <c:v>-4.37E-4</c:v>
                </c:pt>
                <c:pt idx="86">
                  <c:v>1.0005999999999999E-2</c:v>
                </c:pt>
                <c:pt idx="87">
                  <c:v>2.5031999999999999E-2</c:v>
                </c:pt>
                <c:pt idx="88">
                  <c:v>2.5543E-2</c:v>
                </c:pt>
                <c:pt idx="89">
                  <c:v>2.8482E-2</c:v>
                </c:pt>
                <c:pt idx="90">
                  <c:v>0.106184</c:v>
                </c:pt>
                <c:pt idx="91">
                  <c:v>0.115507</c:v>
                </c:pt>
                <c:pt idx="92">
                  <c:v>0.12303699999999999</c:v>
                </c:pt>
                <c:pt idx="93">
                  <c:v>0.111549</c:v>
                </c:pt>
                <c:pt idx="94">
                  <c:v>0.107373</c:v>
                </c:pt>
                <c:pt idx="95">
                  <c:v>0.109365</c:v>
                </c:pt>
                <c:pt idx="96">
                  <c:v>0.11734899999999999</c:v>
                </c:pt>
                <c:pt idx="97">
                  <c:v>0.12388200000000001</c:v>
                </c:pt>
                <c:pt idx="98">
                  <c:v>0.12986700000000001</c:v>
                </c:pt>
                <c:pt idx="99">
                  <c:v>0.12961500000000001</c:v>
                </c:pt>
                <c:pt idx="100">
                  <c:v>0.121992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AD-2243-AAA9-A3AA1D6757D1}"/>
            </c:ext>
          </c:extLst>
        </c:ser>
        <c:ser>
          <c:idx val="2"/>
          <c:order val="3"/>
          <c:tx>
            <c:strRef>
              <c:f>'deepseek-reasoner_delta-trend'!$Q$2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'deepseek-reasoner_delta-trend'!$Q$3:$Q$104</c:f>
              <c:numCache>
                <c:formatCode>General</c:formatCode>
                <c:ptCount val="10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BAD-2243-AAA9-A3AA1D6757D1}"/>
            </c:ext>
          </c:extLst>
        </c:ser>
        <c:ser>
          <c:idx val="3"/>
          <c:order val="4"/>
          <c:tx>
            <c:strRef>
              <c:f>'deepseek-reasoner_delta-trend'!$R$2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'deepseek-reasoner_delta-trend'!$R$3:$R$104</c:f>
              <c:numCache>
                <c:formatCode>General</c:formatCode>
                <c:ptCount val="102"/>
                <c:pt idx="0">
                  <c:v>0</c:v>
                </c:pt>
                <c:pt idx="1">
                  <c:v>-9.5130000000000006E-3</c:v>
                </c:pt>
                <c:pt idx="2">
                  <c:v>-1.3159999999999999E-3</c:v>
                </c:pt>
                <c:pt idx="3">
                  <c:v>1.0102999999999999E-2</c:v>
                </c:pt>
                <c:pt idx="4">
                  <c:v>6.0179999999999999E-3</c:v>
                </c:pt>
                <c:pt idx="5">
                  <c:v>3.1199999999999999E-4</c:v>
                </c:pt>
                <c:pt idx="6">
                  <c:v>2.3362000000000001E-2</c:v>
                </c:pt>
                <c:pt idx="7">
                  <c:v>2.4097E-2</c:v>
                </c:pt>
                <c:pt idx="8">
                  <c:v>3.1503000000000003E-2</c:v>
                </c:pt>
                <c:pt idx="9">
                  <c:v>2.6960000000000001E-2</c:v>
                </c:pt>
                <c:pt idx="10">
                  <c:v>1.1978000000000001E-2</c:v>
                </c:pt>
                <c:pt idx="11">
                  <c:v>4.9170000000000004E-3</c:v>
                </c:pt>
                <c:pt idx="12">
                  <c:v>1.1202E-2</c:v>
                </c:pt>
                <c:pt idx="13">
                  <c:v>2.7718E-2</c:v>
                </c:pt>
                <c:pt idx="14">
                  <c:v>-6.0099999999999997E-3</c:v>
                </c:pt>
                <c:pt idx="15">
                  <c:v>-1.1809999999999999E-2</c:v>
                </c:pt>
                <c:pt idx="16">
                  <c:v>-2.6837E-2</c:v>
                </c:pt>
                <c:pt idx="17">
                  <c:v>-3.2432999999999997E-2</c:v>
                </c:pt>
                <c:pt idx="18">
                  <c:v>-3.6428000000000002E-2</c:v>
                </c:pt>
                <c:pt idx="19">
                  <c:v>-9.8429999999999993E-3</c:v>
                </c:pt>
                <c:pt idx="20">
                  <c:v>-2.7247E-2</c:v>
                </c:pt>
                <c:pt idx="21">
                  <c:v>-2.0900999999999999E-2</c:v>
                </c:pt>
                <c:pt idx="22">
                  <c:v>-1.9438E-2</c:v>
                </c:pt>
                <c:pt idx="23">
                  <c:v>-4.6885000000000003E-2</c:v>
                </c:pt>
                <c:pt idx="24">
                  <c:v>-4.8436E-2</c:v>
                </c:pt>
                <c:pt idx="25">
                  <c:v>-4.4318000000000003E-2</c:v>
                </c:pt>
                <c:pt idx="26">
                  <c:v>-4.6549E-2</c:v>
                </c:pt>
                <c:pt idx="27">
                  <c:v>-4.4609000000000003E-2</c:v>
                </c:pt>
                <c:pt idx="28">
                  <c:v>-4.5303000000000003E-2</c:v>
                </c:pt>
                <c:pt idx="29">
                  <c:v>-4.3756000000000003E-2</c:v>
                </c:pt>
                <c:pt idx="30">
                  <c:v>-5.2509E-2</c:v>
                </c:pt>
                <c:pt idx="31">
                  <c:v>-8.344E-2</c:v>
                </c:pt>
                <c:pt idx="32">
                  <c:v>-0.10381700000000001</c:v>
                </c:pt>
                <c:pt idx="33">
                  <c:v>-7.0546999999999999E-2</c:v>
                </c:pt>
                <c:pt idx="34">
                  <c:v>-6.2654000000000001E-2</c:v>
                </c:pt>
                <c:pt idx="35">
                  <c:v>-7.0643999999999998E-2</c:v>
                </c:pt>
                <c:pt idx="36">
                  <c:v>-6.7761000000000002E-2</c:v>
                </c:pt>
                <c:pt idx="37">
                  <c:v>-5.8888000000000003E-2</c:v>
                </c:pt>
                <c:pt idx="38">
                  <c:v>-7.8029000000000001E-2</c:v>
                </c:pt>
                <c:pt idx="39">
                  <c:v>-6.7188999999999999E-2</c:v>
                </c:pt>
                <c:pt idx="40">
                  <c:v>-6.5004000000000006E-2</c:v>
                </c:pt>
                <c:pt idx="41">
                  <c:v>-7.7201000000000006E-2</c:v>
                </c:pt>
                <c:pt idx="42">
                  <c:v>-8.7234999999999993E-2</c:v>
                </c:pt>
                <c:pt idx="43">
                  <c:v>-8.8802000000000006E-2</c:v>
                </c:pt>
                <c:pt idx="44">
                  <c:v>-9.9710999999999994E-2</c:v>
                </c:pt>
                <c:pt idx="45">
                  <c:v>-0.106887</c:v>
                </c:pt>
                <c:pt idx="46">
                  <c:v>-0.11031100000000001</c:v>
                </c:pt>
                <c:pt idx="47">
                  <c:v>-0.12812000000000001</c:v>
                </c:pt>
                <c:pt idx="48">
                  <c:v>-0.13813300000000001</c:v>
                </c:pt>
                <c:pt idx="49">
                  <c:v>-0.13891600000000001</c:v>
                </c:pt>
                <c:pt idx="50">
                  <c:v>-0.14774699999999999</c:v>
                </c:pt>
                <c:pt idx="51">
                  <c:v>-0.134571</c:v>
                </c:pt>
                <c:pt idx="52">
                  <c:v>-0.13552700000000001</c:v>
                </c:pt>
                <c:pt idx="53">
                  <c:v>-0.13935900000000001</c:v>
                </c:pt>
                <c:pt idx="54">
                  <c:v>-0.10136299999999999</c:v>
                </c:pt>
                <c:pt idx="55">
                  <c:v>-0.122887</c:v>
                </c:pt>
                <c:pt idx="56">
                  <c:v>-0.12467300000000001</c:v>
                </c:pt>
                <c:pt idx="57">
                  <c:v>-0.11695800000000001</c:v>
                </c:pt>
                <c:pt idx="58">
                  <c:v>-0.11765200000000001</c:v>
                </c:pt>
                <c:pt idx="59">
                  <c:v>-0.10677</c:v>
                </c:pt>
                <c:pt idx="60">
                  <c:v>-9.7252000000000005E-2</c:v>
                </c:pt>
                <c:pt idx="61">
                  <c:v>-0.101851</c:v>
                </c:pt>
                <c:pt idx="62">
                  <c:v>-9.3244999999999995E-2</c:v>
                </c:pt>
                <c:pt idx="63">
                  <c:v>-8.3187999999999998E-2</c:v>
                </c:pt>
                <c:pt idx="64">
                  <c:v>-8.7494000000000002E-2</c:v>
                </c:pt>
                <c:pt idx="65">
                  <c:v>-8.7081000000000006E-2</c:v>
                </c:pt>
                <c:pt idx="66">
                  <c:v>-8.9011999999999994E-2</c:v>
                </c:pt>
                <c:pt idx="67">
                  <c:v>-3.9233999999999998E-2</c:v>
                </c:pt>
                <c:pt idx="68">
                  <c:v>-4.1568000000000001E-2</c:v>
                </c:pt>
                <c:pt idx="69">
                  <c:v>-4.2568000000000002E-2</c:v>
                </c:pt>
                <c:pt idx="70">
                  <c:v>-5.4538999999999997E-2</c:v>
                </c:pt>
                <c:pt idx="71">
                  <c:v>-6.6462999999999994E-2</c:v>
                </c:pt>
                <c:pt idx="72">
                  <c:v>-6.7003999999999994E-2</c:v>
                </c:pt>
                <c:pt idx="73">
                  <c:v>-6.3298999999999994E-2</c:v>
                </c:pt>
                <c:pt idx="74">
                  <c:v>-6.7805000000000004E-2</c:v>
                </c:pt>
                <c:pt idx="75">
                  <c:v>-6.0678999999999997E-2</c:v>
                </c:pt>
                <c:pt idx="76">
                  <c:v>-5.9665999999999997E-2</c:v>
                </c:pt>
                <c:pt idx="77">
                  <c:v>-6.9389999999999999E-3</c:v>
                </c:pt>
                <c:pt idx="78">
                  <c:v>-6.7239999999999999E-3</c:v>
                </c:pt>
                <c:pt idx="79">
                  <c:v>-3.0939999999999999E-2</c:v>
                </c:pt>
                <c:pt idx="80">
                  <c:v>-1.7356E-2</c:v>
                </c:pt>
                <c:pt idx="81">
                  <c:v>-4.8680000000000001E-2</c:v>
                </c:pt>
                <c:pt idx="82">
                  <c:v>-7.2666999999999995E-2</c:v>
                </c:pt>
                <c:pt idx="83">
                  <c:v>-6.8338999999999997E-2</c:v>
                </c:pt>
                <c:pt idx="84">
                  <c:v>-6.2036000000000001E-2</c:v>
                </c:pt>
                <c:pt idx="85">
                  <c:v>-5.2297000000000003E-2</c:v>
                </c:pt>
                <c:pt idx="86">
                  <c:v>-3.4377999999999999E-2</c:v>
                </c:pt>
                <c:pt idx="87">
                  <c:v>-2.3456000000000001E-2</c:v>
                </c:pt>
                <c:pt idx="88">
                  <c:v>3.1000000000000001E-5</c:v>
                </c:pt>
                <c:pt idx="89">
                  <c:v>-5.2550000000000001E-3</c:v>
                </c:pt>
                <c:pt idx="90">
                  <c:v>6.2460000000000002E-2</c:v>
                </c:pt>
                <c:pt idx="91">
                  <c:v>6.4669000000000004E-2</c:v>
                </c:pt>
                <c:pt idx="92">
                  <c:v>7.2748999999999994E-2</c:v>
                </c:pt>
                <c:pt idx="93">
                  <c:v>7.9815999999999998E-2</c:v>
                </c:pt>
                <c:pt idx="94">
                  <c:v>7.7581999999999998E-2</c:v>
                </c:pt>
                <c:pt idx="95">
                  <c:v>0.12590499999999999</c:v>
                </c:pt>
                <c:pt idx="96">
                  <c:v>0.12832099999999999</c:v>
                </c:pt>
                <c:pt idx="97">
                  <c:v>0.126724</c:v>
                </c:pt>
                <c:pt idx="98">
                  <c:v>0.12084300000000001</c:v>
                </c:pt>
                <c:pt idx="99">
                  <c:v>9.7715999999999997E-2</c:v>
                </c:pt>
                <c:pt idx="100">
                  <c:v>0.103294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BAD-2243-AAA9-A3AA1D675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GB" sz="1600"/>
              <a:t>Delta Trend: 70/30 PRO 60 nodes</a:t>
            </a:r>
          </a:p>
        </c:rich>
      </c:tx>
      <c:layout>
        <c:manualLayout>
          <c:xMode val="edge"/>
          <c:yMode val="edge"/>
          <c:x val="0.27498657407407406"/>
          <c:y val="3.8805555555555558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'deepseek-reasoner_delta-trend'!$T$2</c:f>
              <c:strCache>
                <c:ptCount val="1"/>
                <c:pt idx="0">
                  <c:v>Temp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'deepseek-reasoner_delta-trend'!$T$3:$T$64</c:f>
              <c:numCache>
                <c:formatCode>General</c:formatCode>
                <c:ptCount val="62"/>
                <c:pt idx="0">
                  <c:v>0</c:v>
                </c:pt>
                <c:pt idx="1">
                  <c:v>-3.1458E-2</c:v>
                </c:pt>
                <c:pt idx="2">
                  <c:v>-3.1496999999999997E-2</c:v>
                </c:pt>
                <c:pt idx="3">
                  <c:v>-2.4232E-2</c:v>
                </c:pt>
                <c:pt idx="4">
                  <c:v>-3.0117000000000001E-2</c:v>
                </c:pt>
                <c:pt idx="5">
                  <c:v>-5.7658000000000001E-2</c:v>
                </c:pt>
                <c:pt idx="6">
                  <c:v>-5.6750000000000002E-2</c:v>
                </c:pt>
                <c:pt idx="7">
                  <c:v>-3.2569000000000001E-2</c:v>
                </c:pt>
                <c:pt idx="8">
                  <c:v>-3.2045999999999998E-2</c:v>
                </c:pt>
                <c:pt idx="9">
                  <c:v>-2.4941000000000001E-2</c:v>
                </c:pt>
                <c:pt idx="10">
                  <c:v>-4.3163E-2</c:v>
                </c:pt>
                <c:pt idx="11">
                  <c:v>-8.1337000000000007E-2</c:v>
                </c:pt>
                <c:pt idx="12">
                  <c:v>-7.6198000000000002E-2</c:v>
                </c:pt>
                <c:pt idx="13">
                  <c:v>-7.6811000000000004E-2</c:v>
                </c:pt>
                <c:pt idx="14">
                  <c:v>-0.18742400000000001</c:v>
                </c:pt>
                <c:pt idx="15">
                  <c:v>-0.179535</c:v>
                </c:pt>
                <c:pt idx="16">
                  <c:v>-0.21226800000000001</c:v>
                </c:pt>
                <c:pt idx="17">
                  <c:v>-0.195217</c:v>
                </c:pt>
                <c:pt idx="18">
                  <c:v>-0.246361</c:v>
                </c:pt>
                <c:pt idx="19">
                  <c:v>-0.26253399999999999</c:v>
                </c:pt>
                <c:pt idx="20">
                  <c:v>-0.24432400000000001</c:v>
                </c:pt>
                <c:pt idx="21">
                  <c:v>-0.23493700000000001</c:v>
                </c:pt>
                <c:pt idx="22">
                  <c:v>-0.24670300000000001</c:v>
                </c:pt>
                <c:pt idx="23">
                  <c:v>-0.24584900000000001</c:v>
                </c:pt>
                <c:pt idx="24">
                  <c:v>-0.23929700000000001</c:v>
                </c:pt>
                <c:pt idx="25">
                  <c:v>-0.22246299999999999</c:v>
                </c:pt>
                <c:pt idx="26">
                  <c:v>-0.21831600000000001</c:v>
                </c:pt>
                <c:pt idx="27">
                  <c:v>-0.444548</c:v>
                </c:pt>
                <c:pt idx="28">
                  <c:v>-0.627475</c:v>
                </c:pt>
                <c:pt idx="29">
                  <c:v>-0.644401</c:v>
                </c:pt>
                <c:pt idx="30">
                  <c:v>-0.62637799999999999</c:v>
                </c:pt>
                <c:pt idx="31">
                  <c:v>-0.63270899999999997</c:v>
                </c:pt>
                <c:pt idx="32">
                  <c:v>-0.670987</c:v>
                </c:pt>
                <c:pt idx="33">
                  <c:v>-0.69569199999999998</c:v>
                </c:pt>
                <c:pt idx="34">
                  <c:v>-0.85912900000000003</c:v>
                </c:pt>
                <c:pt idx="35">
                  <c:v>-0.782775</c:v>
                </c:pt>
                <c:pt idx="36">
                  <c:v>-0.81493000000000004</c:v>
                </c:pt>
                <c:pt idx="37">
                  <c:v>-0.82228699999999999</c:v>
                </c:pt>
                <c:pt idx="38">
                  <c:v>-0.74522999999999995</c:v>
                </c:pt>
                <c:pt idx="39">
                  <c:v>-0.88301799999999997</c:v>
                </c:pt>
                <c:pt idx="40">
                  <c:v>-0.887517</c:v>
                </c:pt>
                <c:pt idx="41">
                  <c:v>-0.88470700000000002</c:v>
                </c:pt>
                <c:pt idx="42">
                  <c:v>-0.88822199999999996</c:v>
                </c:pt>
                <c:pt idx="43">
                  <c:v>-0.85377599999999998</c:v>
                </c:pt>
                <c:pt idx="44">
                  <c:v>-1.0463899999999999</c:v>
                </c:pt>
                <c:pt idx="45">
                  <c:v>-1.0268440000000001</c:v>
                </c:pt>
                <c:pt idx="46">
                  <c:v>-1.0581</c:v>
                </c:pt>
                <c:pt idx="47">
                  <c:v>-0.88055899999999998</c:v>
                </c:pt>
                <c:pt idx="48">
                  <c:v>-0.953542</c:v>
                </c:pt>
                <c:pt idx="49">
                  <c:v>-0.96398600000000001</c:v>
                </c:pt>
                <c:pt idx="50">
                  <c:v>-0.89939599999999997</c:v>
                </c:pt>
                <c:pt idx="51">
                  <c:v>-0.91977799999999998</c:v>
                </c:pt>
                <c:pt idx="52">
                  <c:v>-0.99229299999999998</c:v>
                </c:pt>
                <c:pt idx="53">
                  <c:v>-0.99847799999999998</c:v>
                </c:pt>
                <c:pt idx="54">
                  <c:v>-0.95088300000000003</c:v>
                </c:pt>
                <c:pt idx="55">
                  <c:v>-0.96782999999999997</c:v>
                </c:pt>
                <c:pt idx="56">
                  <c:v>-0.96232200000000001</c:v>
                </c:pt>
                <c:pt idx="57">
                  <c:v>-0.93511</c:v>
                </c:pt>
                <c:pt idx="58">
                  <c:v>-0.97156600000000004</c:v>
                </c:pt>
                <c:pt idx="59">
                  <c:v>-0.96131900000000003</c:v>
                </c:pt>
                <c:pt idx="60">
                  <c:v>-1.096581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E2-AA49-9918-F4A56318CEAB}"/>
            </c:ext>
          </c:extLst>
        </c:ser>
        <c:ser>
          <c:idx val="4"/>
          <c:order val="1"/>
          <c:tx>
            <c:strRef>
              <c:f>'deepseek-reasoner_delta-trend'!$U$2</c:f>
              <c:strCache>
                <c:ptCount val="1"/>
                <c:pt idx="0">
                  <c:v>Temp 0.5</c:v>
                </c:pt>
              </c:strCache>
            </c:strRef>
          </c:tx>
          <c:marker>
            <c:symbol val="none"/>
          </c:marker>
          <c:val>
            <c:numRef>
              <c:f>'deepseek-reasoner_delta-trend'!$U$3:$U$63</c:f>
              <c:numCache>
                <c:formatCode>General</c:formatCode>
                <c:ptCount val="61"/>
                <c:pt idx="0">
                  <c:v>0</c:v>
                </c:pt>
                <c:pt idx="1">
                  <c:v>-3.5742999999999997E-2</c:v>
                </c:pt>
                <c:pt idx="2">
                  <c:v>-3.6517000000000001E-2</c:v>
                </c:pt>
                <c:pt idx="3">
                  <c:v>-3.5610000000000003E-2</c:v>
                </c:pt>
                <c:pt idx="4">
                  <c:v>-6.6069000000000003E-2</c:v>
                </c:pt>
                <c:pt idx="5">
                  <c:v>-9.3031000000000003E-2</c:v>
                </c:pt>
                <c:pt idx="6">
                  <c:v>-9.0167999999999998E-2</c:v>
                </c:pt>
                <c:pt idx="7">
                  <c:v>-9.3033000000000005E-2</c:v>
                </c:pt>
                <c:pt idx="8">
                  <c:v>-0.229213</c:v>
                </c:pt>
                <c:pt idx="9">
                  <c:v>-0.375774</c:v>
                </c:pt>
                <c:pt idx="10">
                  <c:v>-0.38926300000000003</c:v>
                </c:pt>
                <c:pt idx="11">
                  <c:v>-0.41871599999999998</c:v>
                </c:pt>
                <c:pt idx="12">
                  <c:v>-0.44030799999999998</c:v>
                </c:pt>
                <c:pt idx="13">
                  <c:v>-0.43719200000000003</c:v>
                </c:pt>
                <c:pt idx="14">
                  <c:v>-0.40747299999999997</c:v>
                </c:pt>
                <c:pt idx="15">
                  <c:v>-0.53403500000000004</c:v>
                </c:pt>
                <c:pt idx="16">
                  <c:v>-0.56629600000000002</c:v>
                </c:pt>
                <c:pt idx="17">
                  <c:v>-0.51652699999999996</c:v>
                </c:pt>
                <c:pt idx="18">
                  <c:v>-0.63717500000000005</c:v>
                </c:pt>
                <c:pt idx="19">
                  <c:v>-0.63649900000000004</c:v>
                </c:pt>
                <c:pt idx="20">
                  <c:v>-0.69530999999999998</c:v>
                </c:pt>
                <c:pt idx="21">
                  <c:v>-0.66902099999999998</c:v>
                </c:pt>
                <c:pt idx="22">
                  <c:v>-0.671906</c:v>
                </c:pt>
                <c:pt idx="23">
                  <c:v>-0.65431499999999998</c:v>
                </c:pt>
                <c:pt idx="24">
                  <c:v>-0.66707300000000003</c:v>
                </c:pt>
                <c:pt idx="25">
                  <c:v>-0.68518599999999996</c:v>
                </c:pt>
                <c:pt idx="26">
                  <c:v>-0.77925999999999995</c:v>
                </c:pt>
                <c:pt idx="27">
                  <c:v>-0.74458100000000005</c:v>
                </c:pt>
                <c:pt idx="28">
                  <c:v>-0.74252499999999999</c:v>
                </c:pt>
                <c:pt idx="29">
                  <c:v>-0.75792899999999996</c:v>
                </c:pt>
                <c:pt idx="30">
                  <c:v>-0.74533099999999997</c:v>
                </c:pt>
                <c:pt idx="31">
                  <c:v>-0.67599100000000001</c:v>
                </c:pt>
                <c:pt idx="32">
                  <c:v>-0.74454900000000002</c:v>
                </c:pt>
                <c:pt idx="33">
                  <c:v>-0.72584800000000005</c:v>
                </c:pt>
                <c:pt idx="34">
                  <c:v>-0.67572900000000002</c:v>
                </c:pt>
                <c:pt idx="35">
                  <c:v>-0.75375700000000001</c:v>
                </c:pt>
                <c:pt idx="36">
                  <c:v>-0.73709100000000005</c:v>
                </c:pt>
                <c:pt idx="37">
                  <c:v>-0.740981</c:v>
                </c:pt>
                <c:pt idx="38">
                  <c:v>-0.73458599999999996</c:v>
                </c:pt>
                <c:pt idx="39">
                  <c:v>-0.74991099999999999</c:v>
                </c:pt>
                <c:pt idx="40">
                  <c:v>-0.65158799999999995</c:v>
                </c:pt>
                <c:pt idx="41">
                  <c:v>-0.69233199999999995</c:v>
                </c:pt>
                <c:pt idx="42">
                  <c:v>-0.69018999999999997</c:v>
                </c:pt>
                <c:pt idx="43">
                  <c:v>-0.68428100000000003</c:v>
                </c:pt>
                <c:pt idx="44">
                  <c:v>-0.67638799999999999</c:v>
                </c:pt>
                <c:pt idx="45">
                  <c:v>-0.56136600000000003</c:v>
                </c:pt>
                <c:pt idx="46">
                  <c:v>-0.70076499999999997</c:v>
                </c:pt>
                <c:pt idx="47">
                  <c:v>-0.67334799999999995</c:v>
                </c:pt>
                <c:pt idx="48">
                  <c:v>-0.72922200000000004</c:v>
                </c:pt>
                <c:pt idx="49">
                  <c:v>-0.72593399999999997</c:v>
                </c:pt>
                <c:pt idx="50">
                  <c:v>-0.73410699999999995</c:v>
                </c:pt>
                <c:pt idx="51">
                  <c:v>-0.76406300000000005</c:v>
                </c:pt>
                <c:pt idx="52">
                  <c:v>-0.80518299999999998</c:v>
                </c:pt>
                <c:pt idx="53">
                  <c:v>-0.812778</c:v>
                </c:pt>
                <c:pt idx="54">
                  <c:v>-0.78176999999999996</c:v>
                </c:pt>
                <c:pt idx="55">
                  <c:v>-0.78803000000000001</c:v>
                </c:pt>
                <c:pt idx="56">
                  <c:v>-0.79314300000000004</c:v>
                </c:pt>
                <c:pt idx="57">
                  <c:v>-0.74442399999999997</c:v>
                </c:pt>
                <c:pt idx="58">
                  <c:v>-0.68318699999999999</c:v>
                </c:pt>
                <c:pt idx="59">
                  <c:v>-0.89179399999999998</c:v>
                </c:pt>
                <c:pt idx="60">
                  <c:v>-0.99313499999999999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2-AA49-9918-F4A56318CEAB}"/>
            </c:ext>
          </c:extLst>
        </c:ser>
        <c:ser>
          <c:idx val="1"/>
          <c:order val="2"/>
          <c:tx>
            <c:strRef>
              <c:f>'deepseek-reasoner_delta-trend'!$V$2</c:f>
              <c:strCache>
                <c:ptCount val="1"/>
                <c:pt idx="0">
                  <c:v>Temp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'deepseek-reasoner_delta-trend'!$V$3:$V$64</c:f>
              <c:numCache>
                <c:formatCode>General</c:formatCode>
                <c:ptCount val="62"/>
                <c:pt idx="0">
                  <c:v>0</c:v>
                </c:pt>
                <c:pt idx="1">
                  <c:v>-0.21580099999999999</c:v>
                </c:pt>
                <c:pt idx="2">
                  <c:v>-0.36114600000000002</c:v>
                </c:pt>
                <c:pt idx="3">
                  <c:v>-0.35297200000000001</c:v>
                </c:pt>
                <c:pt idx="4">
                  <c:v>-0.35585</c:v>
                </c:pt>
                <c:pt idx="5">
                  <c:v>-0.34027299999999999</c:v>
                </c:pt>
                <c:pt idx="6">
                  <c:v>-0.40299800000000002</c:v>
                </c:pt>
                <c:pt idx="7">
                  <c:v>-0.40076699999999998</c:v>
                </c:pt>
                <c:pt idx="8">
                  <c:v>-0.33114900000000003</c:v>
                </c:pt>
                <c:pt idx="9">
                  <c:v>-0.41089999999999999</c:v>
                </c:pt>
                <c:pt idx="10">
                  <c:v>-0.432863</c:v>
                </c:pt>
                <c:pt idx="11">
                  <c:v>-0.44192300000000001</c:v>
                </c:pt>
                <c:pt idx="12">
                  <c:v>-0.49160599999999999</c:v>
                </c:pt>
                <c:pt idx="13">
                  <c:v>-0.50979300000000005</c:v>
                </c:pt>
                <c:pt idx="14">
                  <c:v>-0.45910099999999998</c:v>
                </c:pt>
                <c:pt idx="15">
                  <c:v>-0.49409399999999998</c:v>
                </c:pt>
                <c:pt idx="16">
                  <c:v>-0.59119500000000003</c:v>
                </c:pt>
                <c:pt idx="17">
                  <c:v>-0.57900200000000002</c:v>
                </c:pt>
                <c:pt idx="18">
                  <c:v>-0.64296699999999996</c:v>
                </c:pt>
                <c:pt idx="19">
                  <c:v>-0.65531300000000003</c:v>
                </c:pt>
                <c:pt idx="20">
                  <c:v>-0.63158700000000001</c:v>
                </c:pt>
                <c:pt idx="21">
                  <c:v>-0.64488400000000001</c:v>
                </c:pt>
                <c:pt idx="22">
                  <c:v>-0.64609799999999995</c:v>
                </c:pt>
                <c:pt idx="23">
                  <c:v>-0.63231700000000002</c:v>
                </c:pt>
                <c:pt idx="24">
                  <c:v>-0.634548</c:v>
                </c:pt>
                <c:pt idx="25">
                  <c:v>-0.30829499999999999</c:v>
                </c:pt>
                <c:pt idx="26">
                  <c:v>-0.35609099999999999</c:v>
                </c:pt>
                <c:pt idx="27">
                  <c:v>-0.33779500000000001</c:v>
                </c:pt>
                <c:pt idx="28">
                  <c:v>-0.33414300000000002</c:v>
                </c:pt>
                <c:pt idx="29">
                  <c:v>-0.32889299999999999</c:v>
                </c:pt>
                <c:pt idx="30">
                  <c:v>-0.316577</c:v>
                </c:pt>
                <c:pt idx="31">
                  <c:v>-0.31839499999999998</c:v>
                </c:pt>
                <c:pt idx="32">
                  <c:v>-0.32315500000000003</c:v>
                </c:pt>
                <c:pt idx="33">
                  <c:v>0.83131200000000005</c:v>
                </c:pt>
                <c:pt idx="34">
                  <c:v>0.97699800000000003</c:v>
                </c:pt>
                <c:pt idx="35">
                  <c:v>0.965364</c:v>
                </c:pt>
                <c:pt idx="36">
                  <c:v>0.98870000000000002</c:v>
                </c:pt>
                <c:pt idx="37">
                  <c:v>1.0197350000000001</c:v>
                </c:pt>
                <c:pt idx="38">
                  <c:v>1.0565880000000001</c:v>
                </c:pt>
                <c:pt idx="39">
                  <c:v>1.068711</c:v>
                </c:pt>
                <c:pt idx="40">
                  <c:v>1.113972</c:v>
                </c:pt>
                <c:pt idx="41">
                  <c:v>1.097078</c:v>
                </c:pt>
                <c:pt idx="42">
                  <c:v>1.14839</c:v>
                </c:pt>
                <c:pt idx="43">
                  <c:v>1.18214</c:v>
                </c:pt>
                <c:pt idx="44">
                  <c:v>1.160833</c:v>
                </c:pt>
                <c:pt idx="45">
                  <c:v>1.168598</c:v>
                </c:pt>
                <c:pt idx="46">
                  <c:v>1.1960649999999999</c:v>
                </c:pt>
                <c:pt idx="47">
                  <c:v>1.129337</c:v>
                </c:pt>
                <c:pt idx="48">
                  <c:v>1.2255069999999999</c:v>
                </c:pt>
                <c:pt idx="49">
                  <c:v>1.0521370000000001</c:v>
                </c:pt>
                <c:pt idx="50">
                  <c:v>1.248299</c:v>
                </c:pt>
                <c:pt idx="51">
                  <c:v>1.270302</c:v>
                </c:pt>
                <c:pt idx="52">
                  <c:v>1.2851269999999999</c:v>
                </c:pt>
                <c:pt idx="53">
                  <c:v>1.328303</c:v>
                </c:pt>
                <c:pt idx="54">
                  <c:v>1.306505</c:v>
                </c:pt>
                <c:pt idx="55">
                  <c:v>1.3258779999999999</c:v>
                </c:pt>
                <c:pt idx="56">
                  <c:v>1.327442</c:v>
                </c:pt>
                <c:pt idx="57">
                  <c:v>1.2653289999999999</c:v>
                </c:pt>
                <c:pt idx="58">
                  <c:v>1.338708</c:v>
                </c:pt>
                <c:pt idx="59">
                  <c:v>1.132333</c:v>
                </c:pt>
                <c:pt idx="60">
                  <c:v>1.2594730000000001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E2-AA49-9918-F4A56318CEAB}"/>
            </c:ext>
          </c:extLst>
        </c:ser>
        <c:ser>
          <c:idx val="2"/>
          <c:order val="3"/>
          <c:tx>
            <c:strRef>
              <c:f>'deepseek-reasoner_delta-trend'!$W$2</c:f>
              <c:strCache>
                <c:ptCount val="1"/>
                <c:pt idx="0">
                  <c:v>Temp 1.5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'deepseek-reasoner_delta-trend'!$W$3:$W$64</c:f>
              <c:numCache>
                <c:formatCode>General</c:formatCode>
                <c:ptCount val="6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7E2-AA49-9918-F4A56318CEAB}"/>
            </c:ext>
          </c:extLst>
        </c:ser>
        <c:ser>
          <c:idx val="3"/>
          <c:order val="4"/>
          <c:tx>
            <c:strRef>
              <c:f>'deepseek-reasoner_delta-trend'!$X$2</c:f>
              <c:strCache>
                <c:ptCount val="1"/>
                <c:pt idx="0">
                  <c:v>Seed 4321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'deepseek-reasoner_delta-trend'!$X$3:$X$64</c:f>
              <c:numCache>
                <c:formatCode>General</c:formatCode>
                <c:ptCount val="62"/>
                <c:pt idx="0">
                  <c:v>0</c:v>
                </c:pt>
                <c:pt idx="1">
                  <c:v>-4.5411E-2</c:v>
                </c:pt>
                <c:pt idx="2">
                  <c:v>-9.1517000000000001E-2</c:v>
                </c:pt>
                <c:pt idx="3">
                  <c:v>-0.10688300000000001</c:v>
                </c:pt>
                <c:pt idx="4">
                  <c:v>-0.102454</c:v>
                </c:pt>
                <c:pt idx="5">
                  <c:v>-0.137851</c:v>
                </c:pt>
                <c:pt idx="6">
                  <c:v>-0.14649599999999999</c:v>
                </c:pt>
                <c:pt idx="7">
                  <c:v>-0.150003</c:v>
                </c:pt>
                <c:pt idx="8">
                  <c:v>-8.8641999999999999E-2</c:v>
                </c:pt>
                <c:pt idx="9">
                  <c:v>-9.2904E-2</c:v>
                </c:pt>
                <c:pt idx="10">
                  <c:v>-0.143013</c:v>
                </c:pt>
                <c:pt idx="11">
                  <c:v>-0.13861200000000001</c:v>
                </c:pt>
                <c:pt idx="12">
                  <c:v>-0.14061199999999999</c:v>
                </c:pt>
                <c:pt idx="13">
                  <c:v>-0.15045700000000001</c:v>
                </c:pt>
                <c:pt idx="14">
                  <c:v>-0.181919</c:v>
                </c:pt>
                <c:pt idx="15">
                  <c:v>-0.21506</c:v>
                </c:pt>
                <c:pt idx="16">
                  <c:v>-0.22004699999999999</c:v>
                </c:pt>
                <c:pt idx="17">
                  <c:v>-0.23363100000000001</c:v>
                </c:pt>
                <c:pt idx="18">
                  <c:v>-0.25744400000000001</c:v>
                </c:pt>
                <c:pt idx="19">
                  <c:v>-0.25239099999999998</c:v>
                </c:pt>
                <c:pt idx="20">
                  <c:v>-0.14810899999999999</c:v>
                </c:pt>
                <c:pt idx="21">
                  <c:v>-0.21046799999999999</c:v>
                </c:pt>
                <c:pt idx="22">
                  <c:v>-0.22977300000000001</c:v>
                </c:pt>
                <c:pt idx="23">
                  <c:v>-9.9284999999999998E-2</c:v>
                </c:pt>
                <c:pt idx="24">
                  <c:v>-0.101135</c:v>
                </c:pt>
                <c:pt idx="25">
                  <c:v>-7.7335000000000001E-2</c:v>
                </c:pt>
                <c:pt idx="26">
                  <c:v>-5.6786999999999997E-2</c:v>
                </c:pt>
                <c:pt idx="27">
                  <c:v>-4.8114999999999998E-2</c:v>
                </c:pt>
                <c:pt idx="28">
                  <c:v>-4.9827999999999997E-2</c:v>
                </c:pt>
                <c:pt idx="29">
                  <c:v>-4.1307999999999997E-2</c:v>
                </c:pt>
                <c:pt idx="30">
                  <c:v>-3.7574000000000003E-2</c:v>
                </c:pt>
                <c:pt idx="31">
                  <c:v>-4.8459000000000002E-2</c:v>
                </c:pt>
                <c:pt idx="32">
                  <c:v>-6.5518999999999994E-2</c:v>
                </c:pt>
                <c:pt idx="33">
                  <c:v>-5.7482999999999999E-2</c:v>
                </c:pt>
                <c:pt idx="34">
                  <c:v>-3.6167999999999999E-2</c:v>
                </c:pt>
                <c:pt idx="35">
                  <c:v>-2.9825999999999998E-2</c:v>
                </c:pt>
                <c:pt idx="36">
                  <c:v>-4.1667999999999997E-2</c:v>
                </c:pt>
                <c:pt idx="37">
                  <c:v>5.5997999999999999E-2</c:v>
                </c:pt>
                <c:pt idx="38">
                  <c:v>5.4200999999999999E-2</c:v>
                </c:pt>
                <c:pt idx="39">
                  <c:v>5.6684999999999999E-2</c:v>
                </c:pt>
                <c:pt idx="40">
                  <c:v>6.6090999999999997E-2</c:v>
                </c:pt>
                <c:pt idx="41">
                  <c:v>0.10484599999999999</c:v>
                </c:pt>
                <c:pt idx="42">
                  <c:v>0.11215</c:v>
                </c:pt>
                <c:pt idx="43">
                  <c:v>0.12289700000000001</c:v>
                </c:pt>
                <c:pt idx="44">
                  <c:v>0.14410300000000001</c:v>
                </c:pt>
                <c:pt idx="45">
                  <c:v>0.106543</c:v>
                </c:pt>
                <c:pt idx="46">
                  <c:v>0.102076</c:v>
                </c:pt>
                <c:pt idx="47">
                  <c:v>0.17182800000000001</c:v>
                </c:pt>
                <c:pt idx="48">
                  <c:v>0.186366</c:v>
                </c:pt>
                <c:pt idx="49">
                  <c:v>0.17755099999999999</c:v>
                </c:pt>
                <c:pt idx="50">
                  <c:v>0.15743699999999999</c:v>
                </c:pt>
                <c:pt idx="51">
                  <c:v>0.121756</c:v>
                </c:pt>
                <c:pt idx="52">
                  <c:v>0.121923</c:v>
                </c:pt>
                <c:pt idx="53">
                  <c:v>0.130609</c:v>
                </c:pt>
                <c:pt idx="54">
                  <c:v>0.13525799999999999</c:v>
                </c:pt>
                <c:pt idx="55">
                  <c:v>0.14938399999999999</c:v>
                </c:pt>
                <c:pt idx="56">
                  <c:v>0.15241199999999999</c:v>
                </c:pt>
                <c:pt idx="57">
                  <c:v>0.139154</c:v>
                </c:pt>
                <c:pt idx="58">
                  <c:v>0.157916</c:v>
                </c:pt>
                <c:pt idx="59">
                  <c:v>0.13353100000000001</c:v>
                </c:pt>
                <c:pt idx="60">
                  <c:v>0.13750299999999999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7E2-AA49-9918-F4A56318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6.4472222222222181E-2"/>
          <c:y val="0.63685194444444448"/>
          <c:w val="0.14177777777777775"/>
          <c:h val="0.3189624999999999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300720" cy="44602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DFB480-4328-AF48-AAB2-85EC081D7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8300720" cy="44602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237642-328F-B54A-B779-EB3FB7AD5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66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64D1F-BEDC-D440-84D1-7469349E7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86</xdr:row>
      <xdr:rowOff>0</xdr:rowOff>
    </xdr:from>
    <xdr:ext cx="6480000" cy="36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DA20A3-46A8-8147-B335-1BD1ED183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106</xdr:row>
      <xdr:rowOff>0</xdr:rowOff>
    </xdr:from>
    <xdr:ext cx="6480000" cy="36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CBDF53-61A6-6142-A1B1-7476DB254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126</xdr:row>
      <xdr:rowOff>0</xdr:rowOff>
    </xdr:from>
    <xdr:ext cx="6480000" cy="36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609D44-ACA0-4A40-A8BD-7BA5B10DB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12</xdr:col>
      <xdr:colOff>0</xdr:colOff>
      <xdr:row>66</xdr:row>
      <xdr:rowOff>0</xdr:rowOff>
    </xdr:from>
    <xdr:ext cx="6480000" cy="36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C117A4-34B3-1A43-9305-3FB5B6F43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12</xdr:col>
      <xdr:colOff>0</xdr:colOff>
      <xdr:row>86</xdr:row>
      <xdr:rowOff>0</xdr:rowOff>
    </xdr:from>
    <xdr:ext cx="6480000" cy="36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CF3D16-89D8-0A41-9AAF-FCBCE5BEE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12</xdr:col>
      <xdr:colOff>0</xdr:colOff>
      <xdr:row>106</xdr:row>
      <xdr:rowOff>0</xdr:rowOff>
    </xdr:from>
    <xdr:ext cx="6480000" cy="36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82BA045-0117-BD4A-A1F3-A66111C18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</xdr:col>
      <xdr:colOff>0</xdr:colOff>
      <xdr:row>126</xdr:row>
      <xdr:rowOff>0</xdr:rowOff>
    </xdr:from>
    <xdr:ext cx="6480000" cy="36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C549CA3-85F9-F345-B950-3FFC2AFA5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8300720" cy="446024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A793107-E8F2-AF40-84A6-C3E001FD4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11</xdr:col>
      <xdr:colOff>0</xdr:colOff>
      <xdr:row>31</xdr:row>
      <xdr:rowOff>0</xdr:rowOff>
    </xdr:from>
    <xdr:ext cx="8300720" cy="446024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7006014-6196-DE45-B771-6F8356892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300720" cy="4460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9E4E0-6962-1A4F-8922-CD5D4D437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2</xdr:row>
      <xdr:rowOff>0</xdr:rowOff>
    </xdr:from>
    <xdr:ext cx="648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5C5B5B-CEAC-8346-A458-0EED45902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22</xdr:row>
      <xdr:rowOff>0</xdr:rowOff>
    </xdr:from>
    <xdr:ext cx="648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28CBE5-A0B8-7841-ADDA-F9F41500D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42</xdr:row>
      <xdr:rowOff>0</xdr:rowOff>
    </xdr:from>
    <xdr:ext cx="6480000" cy="36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F37A47-5BF2-514F-AFDC-04F63CAE6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0</xdr:colOff>
      <xdr:row>62</xdr:row>
      <xdr:rowOff>0</xdr:rowOff>
    </xdr:from>
    <xdr:ext cx="6480000" cy="36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D6B719-F91D-4848-A225-F9A1A2766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300720" cy="4460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68F03-3701-6742-A0DB-56EDF9548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2315E-57A4-9D4B-B2BD-35A572931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22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C8A2D-4A13-1F40-848B-D07C248F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42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65BADD-7ED7-8B4B-873C-FB00351BE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0</xdr:colOff>
      <xdr:row>62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488C52-E53F-F14B-8A16-8DE8FD60F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300720" cy="4460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702C1-04E5-7146-97CB-FA1306D1B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FF046-2980-DC4A-8980-B90035F96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22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DDD9E-D161-4F4C-BE47-4E0215518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42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C36C6B-DAE9-0A4A-B357-6669B9296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0</xdr:colOff>
      <xdr:row>62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A205E5-1C21-5C4E-A379-CCEF42511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8300720" cy="4460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25183-7D44-0446-AA27-0FF3A8869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0.1308</cdr:x>
      <cdr:y>0.11395</cdr:y>
    </cdr:from>
    <cdr:to>
      <cdr:x>0.2797</cdr:x>
      <cdr:y>0.16855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AF4A93-9140-8508-E5AF-9857DC10AF00}"/>
            </a:ext>
          </a:extLst>
        </cdr:cNvPr>
        <cdr:cNvSpPr txBox="1"/>
      </cdr:nvSpPr>
      <cdr:spPr>
        <a:xfrm xmlns:a="http://schemas.openxmlformats.org/drawingml/2006/main">
          <a:off x="1035957" y="492275"/>
          <a:ext cx="1179286" cy="2358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0.54708</cdr:x>
      <cdr:y>0.91092</cdr:y>
    </cdr:from>
    <cdr:to>
      <cdr:x>0.72544</cdr:x>
      <cdr:y>0.97216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4332853" y="3935176"/>
          <a:ext cx="1412611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 MIX 100 nodes</a:t>
          </a:r>
        </a:p>
      </cdr:txBody>
    </cdr:sp>
  </cdr:relSizeAnchor>
  <cdr:relSizeAnchor xmlns:cdr="http://schemas.openxmlformats.org/drawingml/2006/chartDrawing">
    <cdr:from>
      <cdr:x>0.79934</cdr:x>
      <cdr:y>0.91596</cdr:y>
    </cdr:from>
    <cdr:to>
      <cdr:x>0.97038</cdr:x>
      <cdr:y>0.9772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330797" y="3956944"/>
          <a:ext cx="1354637" cy="26455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70/30</a:t>
          </a:r>
          <a:r>
            <a:rPr lang="en-GB" sz="1100" baseline="0"/>
            <a:t> PRO 60 </a:t>
          </a:r>
          <a:r>
            <a:rPr lang="en-GB" sz="1100"/>
            <a:t>nodes</a:t>
          </a:r>
        </a:p>
      </cdr:txBody>
    </cdr:sp>
  </cdr:relSizeAnchor>
  <cdr:relSizeAnchor xmlns:cdr="http://schemas.openxmlformats.org/drawingml/2006/chartDrawing">
    <cdr:from>
      <cdr:x>0.07729</cdr:x>
      <cdr:y>0.90782</cdr:y>
    </cdr:from>
    <cdr:to>
      <cdr:x>0.25564</cdr:x>
      <cdr:y>0.96906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2D5DA2A4-609D-BB09-F54E-06567A2E0FA7}"/>
            </a:ext>
          </a:extLst>
        </cdr:cNvPr>
        <cdr:cNvSpPr txBox="1"/>
      </cdr:nvSpPr>
      <cdr:spPr>
        <a:xfrm xmlns:a="http://schemas.openxmlformats.org/drawingml/2006/main">
          <a:off x="612174" y="3921770"/>
          <a:ext cx="1412532" cy="26455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MIX 100 nodes</a:t>
          </a:r>
        </a:p>
      </cdr:txBody>
    </cdr:sp>
  </cdr:relSizeAnchor>
  <cdr:relSizeAnchor xmlns:cdr="http://schemas.openxmlformats.org/drawingml/2006/chartDrawing">
    <cdr:from>
      <cdr:x>0.3159</cdr:x>
      <cdr:y>0.91075</cdr:y>
    </cdr:from>
    <cdr:to>
      <cdr:x>0.48694</cdr:x>
      <cdr:y>0.972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A607E5DC-95C0-3F4E-AA29-53B099ECEC74}"/>
            </a:ext>
          </a:extLst>
        </cdr:cNvPr>
        <cdr:cNvSpPr txBox="1"/>
      </cdr:nvSpPr>
      <cdr:spPr>
        <a:xfrm xmlns:a="http://schemas.openxmlformats.org/drawingml/2006/main">
          <a:off x="2501909" y="3934442"/>
          <a:ext cx="1354637" cy="264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60/40 PRO 60 nodes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D58A8-40D6-F049-9718-F8D5D063B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22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59493-EDD3-8A49-86EC-C478DB426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0</xdr:colOff>
      <xdr:row>42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4971E1-A956-1D46-ACC2-CB80311D4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25</xdr:col>
      <xdr:colOff>0</xdr:colOff>
      <xdr:row>62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3C4B8F-DBDC-1348-AF9C-859A5A494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_Research-project_deepseek-reasoner.xlsx" TargetMode="External"/><Relationship Id="rId1" Type="http://schemas.openxmlformats.org/officeDocument/2006/relationships/externalLinkPath" Target="temp-0_Research-project_deepseek-reason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.5_Research-project_deepseek-reasoner.xlsx" TargetMode="External"/><Relationship Id="rId1" Type="http://schemas.openxmlformats.org/officeDocument/2006/relationships/externalLinkPath" Target="temp-0.5_Research-project_deepseek-reason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default_Research-project_deepseek-reasoner.xlsx" TargetMode="External"/><Relationship Id="rId1" Type="http://schemas.openxmlformats.org/officeDocument/2006/relationships/externalLinkPath" Target="temp-default_Research-project_deepseek-reason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deepseek-reasoner.xlsx" TargetMode="External"/><Relationship Id="rId1" Type="http://schemas.openxmlformats.org/officeDocument/2006/relationships/externalLinkPath" Target="seed-4321_Research-project_deepseek-reason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_Research-project_GPT4o-mini.xlsx" TargetMode="External"/><Relationship Id="rId1" Type="http://schemas.openxmlformats.org/officeDocument/2006/relationships/externalLinkPath" Target="temp-0_Research-project_GPT4o-mini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.5_Research-project_GPT4o-mini.xlsx" TargetMode="External"/><Relationship Id="rId1" Type="http://schemas.openxmlformats.org/officeDocument/2006/relationships/externalLinkPath" Target="temp-0.5_Research-project_GPT4o-mini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default_Research-project_GPT4o-mini.xlsx" TargetMode="External"/><Relationship Id="rId1" Type="http://schemas.openxmlformats.org/officeDocument/2006/relationships/externalLinkPath" Target="temp-default_Research-project_GPT4o-min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1.5_Research-project_GPT4o-mini.xlsx" TargetMode="External"/><Relationship Id="rId1" Type="http://schemas.openxmlformats.org/officeDocument/2006/relationships/externalLinkPath" Target="temp-1.5_Research-project_GPT4o-min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GPT4o-mini.xlsx" TargetMode="External"/><Relationship Id="rId1" Type="http://schemas.openxmlformats.org/officeDocument/2006/relationships/externalLinkPath" Target="seed-4321_Research-project_GPT4o-mini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_Research-project_GEMINI2.5-flash-lite.xlsx" TargetMode="External"/><Relationship Id="rId1" Type="http://schemas.openxmlformats.org/officeDocument/2006/relationships/externalLinkPath" Target="temp-0_Research-project_GEMINI2.5-flash-lit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.5_Research-project_GEMINI2.5-flash-lite.xlsx" TargetMode="External"/><Relationship Id="rId1" Type="http://schemas.openxmlformats.org/officeDocument/2006/relationships/externalLinkPath" Target="temp-0.5_Research-project_GEMINI2.5-flash-lit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default_Research-project_GEMINI2.5-flash-lite.xlsx" TargetMode="External"/><Relationship Id="rId1" Type="http://schemas.openxmlformats.org/officeDocument/2006/relationships/externalLinkPath" Target="temp-default_Research-project_GEMINI2.5-flash-lit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1.5_Research-project_GEMINI2.5-flash-lite.xlsx" TargetMode="External"/><Relationship Id="rId1" Type="http://schemas.openxmlformats.org/officeDocument/2006/relationships/externalLinkPath" Target="temp-1.5_Research-project_GEMINI2.5-flash-lit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GEMINI2.5-flash-lite.xlsx" TargetMode="External"/><Relationship Id="rId1" Type="http://schemas.openxmlformats.org/officeDocument/2006/relationships/externalLinkPath" Target="seed-4321_Research-project_GEMINI2.5-flash-lit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_Research-project_deepseek-chat.xlsx" TargetMode="External"/><Relationship Id="rId1" Type="http://schemas.openxmlformats.org/officeDocument/2006/relationships/externalLinkPath" Target="temp-0_Research-project_deepseek-cha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0.5_Research-project_deepseek-chat.xlsx" TargetMode="External"/><Relationship Id="rId1" Type="http://schemas.openxmlformats.org/officeDocument/2006/relationships/externalLinkPath" Target="temp-0.5_Research-project_deepseek-cha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temp-default_Research-project_deepseek-chat.xlsx" TargetMode="External"/><Relationship Id="rId1" Type="http://schemas.openxmlformats.org/officeDocument/2006/relationships/externalLinkPath" Target="temp-default_Research-project_deepseek-chat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ixium/Repos/CLLM-SenteTruth-replication-study/results/seed-4321_Research-project_deepseek-chat.xlsx" TargetMode="External"/><Relationship Id="rId1" Type="http://schemas.openxmlformats.org/officeDocument/2006/relationships/externalLinkPath" Target="seed-4321_Research-project_deepseek-ch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2.1689999999999999E-3</v>
          </cell>
        </row>
        <row r="4">
          <cell r="L4">
            <v>1.4761E-2</v>
          </cell>
          <cell r="O4">
            <v>100</v>
          </cell>
        </row>
        <row r="5">
          <cell r="L5">
            <v>2.3987000000000001E-2</v>
          </cell>
          <cell r="O5">
            <v>0</v>
          </cell>
        </row>
        <row r="6">
          <cell r="L6">
            <v>1.8976E-2</v>
          </cell>
          <cell r="O6">
            <v>1.0812029999999999</v>
          </cell>
        </row>
        <row r="7">
          <cell r="L7">
            <v>3.4826999999999997E-2</v>
          </cell>
        </row>
        <row r="8">
          <cell r="L8">
            <v>5.5274999999999998E-2</v>
          </cell>
        </row>
        <row r="9">
          <cell r="L9">
            <v>7.6017000000000001E-2</v>
          </cell>
        </row>
        <row r="10">
          <cell r="L10">
            <v>9.3310000000000004E-2</v>
          </cell>
        </row>
        <row r="11">
          <cell r="L11">
            <v>0.12856000000000001</v>
          </cell>
        </row>
        <row r="12">
          <cell r="L12">
            <v>0.100705</v>
          </cell>
        </row>
        <row r="13">
          <cell r="L13">
            <v>0.10836800000000001</v>
          </cell>
        </row>
        <row r="14">
          <cell r="L14">
            <v>0.12246700000000001</v>
          </cell>
        </row>
        <row r="15">
          <cell r="L15">
            <v>0.12718599999999999</v>
          </cell>
        </row>
        <row r="16">
          <cell r="L16">
            <v>0.142627</v>
          </cell>
        </row>
        <row r="17">
          <cell r="L17">
            <v>0.14727399999999999</v>
          </cell>
        </row>
        <row r="18">
          <cell r="L18">
            <v>0.147207</v>
          </cell>
        </row>
        <row r="19">
          <cell r="L19">
            <v>0.160243</v>
          </cell>
        </row>
        <row r="20">
          <cell r="L20">
            <v>0.17315900000000001</v>
          </cell>
        </row>
        <row r="21">
          <cell r="L21">
            <v>0.18689800000000001</v>
          </cell>
        </row>
        <row r="22">
          <cell r="L22">
            <v>0.19917899999999999</v>
          </cell>
        </row>
        <row r="23">
          <cell r="L23">
            <v>0.215588</v>
          </cell>
        </row>
        <row r="24">
          <cell r="L24">
            <v>0.22251499999999999</v>
          </cell>
        </row>
        <row r="25">
          <cell r="L25">
            <v>0.196462</v>
          </cell>
        </row>
        <row r="26">
          <cell r="L26">
            <v>0.22131999999999999</v>
          </cell>
        </row>
        <row r="27">
          <cell r="L27">
            <v>0.22748399999999999</v>
          </cell>
        </row>
        <row r="28">
          <cell r="L28">
            <v>0.23261100000000001</v>
          </cell>
        </row>
        <row r="29">
          <cell r="L29">
            <v>0.23949699999999999</v>
          </cell>
        </row>
        <row r="30">
          <cell r="L30">
            <v>0.24371300000000001</v>
          </cell>
        </row>
        <row r="31">
          <cell r="L31">
            <v>0.25020399999999998</v>
          </cell>
        </row>
        <row r="32">
          <cell r="L32">
            <v>0.253971</v>
          </cell>
        </row>
        <row r="33">
          <cell r="L33">
            <v>0.223774</v>
          </cell>
        </row>
        <row r="34">
          <cell r="L34">
            <v>0.26340599999999997</v>
          </cell>
        </row>
        <row r="35">
          <cell r="L35">
            <v>0.305593</v>
          </cell>
        </row>
        <row r="36">
          <cell r="L36">
            <v>0.34925099999999998</v>
          </cell>
        </row>
        <row r="37">
          <cell r="L37">
            <v>0.401779</v>
          </cell>
        </row>
        <row r="38">
          <cell r="L38">
            <v>0.41278700000000002</v>
          </cell>
        </row>
        <row r="39">
          <cell r="L39">
            <v>0.41351100000000002</v>
          </cell>
        </row>
        <row r="40">
          <cell r="L40">
            <v>0.41455700000000001</v>
          </cell>
        </row>
        <row r="41">
          <cell r="L41">
            <v>0.42174899999999999</v>
          </cell>
        </row>
        <row r="42">
          <cell r="L42">
            <v>0.43638700000000002</v>
          </cell>
        </row>
        <row r="43">
          <cell r="L43">
            <v>0.43165999999999999</v>
          </cell>
        </row>
        <row r="44">
          <cell r="L44">
            <v>0.45300699999999999</v>
          </cell>
        </row>
        <row r="45">
          <cell r="L45">
            <v>0.45732600000000001</v>
          </cell>
        </row>
        <row r="46">
          <cell r="L46">
            <v>0.46381299999999998</v>
          </cell>
        </row>
        <row r="47">
          <cell r="L47">
            <v>0.472802</v>
          </cell>
        </row>
        <row r="48">
          <cell r="L48">
            <v>0.452075</v>
          </cell>
        </row>
        <row r="49">
          <cell r="L49">
            <v>0.46346500000000002</v>
          </cell>
        </row>
        <row r="50">
          <cell r="L50">
            <v>0.49004199999999998</v>
          </cell>
        </row>
        <row r="51">
          <cell r="L51">
            <v>0.50949599999999995</v>
          </cell>
        </row>
        <row r="52">
          <cell r="L52">
            <v>0.51627500000000004</v>
          </cell>
        </row>
        <row r="53">
          <cell r="L53">
            <v>0.50559600000000005</v>
          </cell>
        </row>
        <row r="54">
          <cell r="L54">
            <v>0.53957299999999997</v>
          </cell>
        </row>
        <row r="55">
          <cell r="L55">
            <v>0.55424399999999996</v>
          </cell>
        </row>
        <row r="56">
          <cell r="L56">
            <v>0.56467000000000001</v>
          </cell>
        </row>
        <row r="57">
          <cell r="L57">
            <v>0.56479400000000002</v>
          </cell>
        </row>
        <row r="58">
          <cell r="L58">
            <v>0.56260600000000005</v>
          </cell>
        </row>
        <row r="59">
          <cell r="L59">
            <v>0.580959</v>
          </cell>
        </row>
        <row r="60">
          <cell r="L60">
            <v>0.68721600000000005</v>
          </cell>
        </row>
        <row r="61">
          <cell r="L61">
            <v>0.68877999999999995</v>
          </cell>
        </row>
        <row r="62">
          <cell r="L62">
            <v>0.71941699999999997</v>
          </cell>
        </row>
        <row r="63">
          <cell r="L63">
            <v>0.72611700000000001</v>
          </cell>
        </row>
        <row r="64">
          <cell r="L64">
            <v>0.71870000000000001</v>
          </cell>
        </row>
        <row r="65">
          <cell r="L65">
            <v>0.75097800000000003</v>
          </cell>
        </row>
        <row r="66">
          <cell r="L66">
            <v>0.75054799999999999</v>
          </cell>
        </row>
        <row r="67">
          <cell r="L67">
            <v>0.76948099999999997</v>
          </cell>
        </row>
        <row r="68">
          <cell r="L68">
            <v>0.77432299999999998</v>
          </cell>
        </row>
        <row r="69">
          <cell r="L69">
            <v>0.70716800000000002</v>
          </cell>
        </row>
        <row r="70">
          <cell r="L70">
            <v>0.81975299999999995</v>
          </cell>
        </row>
        <row r="71">
          <cell r="L71">
            <v>0.80943500000000002</v>
          </cell>
        </row>
        <row r="72">
          <cell r="L72">
            <v>0.84896799999999994</v>
          </cell>
        </row>
        <row r="73">
          <cell r="L73">
            <v>0.84643900000000005</v>
          </cell>
        </row>
        <row r="74">
          <cell r="L74">
            <v>0.833816</v>
          </cell>
        </row>
        <row r="75">
          <cell r="L75">
            <v>0.841368</v>
          </cell>
        </row>
        <row r="76">
          <cell r="L76">
            <v>0.87499199999999999</v>
          </cell>
        </row>
        <row r="77">
          <cell r="L77">
            <v>0.87969200000000003</v>
          </cell>
        </row>
        <row r="78">
          <cell r="L78">
            <v>0.90674999999999994</v>
          </cell>
        </row>
        <row r="79">
          <cell r="L79">
            <v>0.84110700000000005</v>
          </cell>
        </row>
        <row r="80">
          <cell r="L80">
            <v>0.89120699999999997</v>
          </cell>
        </row>
        <row r="81">
          <cell r="L81">
            <v>0.84816400000000003</v>
          </cell>
        </row>
        <row r="82">
          <cell r="L82">
            <v>0.94455900000000004</v>
          </cell>
        </row>
        <row r="83">
          <cell r="L83">
            <v>0.96561900000000001</v>
          </cell>
        </row>
        <row r="84">
          <cell r="L84">
            <v>0.86955800000000005</v>
          </cell>
        </row>
        <row r="85">
          <cell r="L85">
            <v>0.95933599999999997</v>
          </cell>
        </row>
        <row r="86">
          <cell r="L86">
            <v>0.96384899999999996</v>
          </cell>
        </row>
        <row r="87">
          <cell r="L87">
            <v>0.95723499999999995</v>
          </cell>
        </row>
        <row r="88">
          <cell r="L88">
            <v>1.0230889999999999</v>
          </cell>
        </row>
        <row r="89">
          <cell r="L89">
            <v>0.98002400000000001</v>
          </cell>
        </row>
        <row r="90">
          <cell r="L90">
            <v>1.004872</v>
          </cell>
        </row>
        <row r="91">
          <cell r="L91">
            <v>1.0411539999999999</v>
          </cell>
        </row>
        <row r="92">
          <cell r="L92">
            <v>1.055331</v>
          </cell>
        </row>
        <row r="93">
          <cell r="L93">
            <v>1.0624819999999999</v>
          </cell>
        </row>
        <row r="94">
          <cell r="L94">
            <v>1.0651079999999999</v>
          </cell>
        </row>
        <row r="95">
          <cell r="L95">
            <v>1.051544</v>
          </cell>
        </row>
        <row r="96">
          <cell r="L96">
            <v>1.0708770000000001</v>
          </cell>
        </row>
        <row r="97">
          <cell r="L97">
            <v>1.0519400000000001</v>
          </cell>
        </row>
        <row r="98">
          <cell r="L98">
            <v>1.0760289999999999</v>
          </cell>
        </row>
        <row r="99">
          <cell r="L99">
            <v>1.079377</v>
          </cell>
        </row>
        <row r="100">
          <cell r="L100">
            <v>1.071156</v>
          </cell>
        </row>
        <row r="101">
          <cell r="L101">
            <v>1.048316</v>
          </cell>
        </row>
        <row r="102">
          <cell r="L102">
            <v>1.0812029999999999</v>
          </cell>
        </row>
      </sheetData>
      <sheetData sheetId="1">
        <row r="2">
          <cell r="AA2">
            <v>0.09</v>
          </cell>
        </row>
        <row r="3">
          <cell r="AA3">
            <v>0</v>
          </cell>
        </row>
        <row r="4">
          <cell r="AA4">
            <v>1.6E-2</v>
          </cell>
        </row>
      </sheetData>
      <sheetData sheetId="2">
        <row r="2">
          <cell r="L2">
            <v>0</v>
          </cell>
        </row>
        <row r="3">
          <cell r="L3">
            <v>-1.438E-3</v>
          </cell>
        </row>
        <row r="4">
          <cell r="L4">
            <v>9.358E-3</v>
          </cell>
          <cell r="O4">
            <v>51</v>
          </cell>
        </row>
        <row r="5">
          <cell r="L5">
            <v>1.2710000000000001E-2</v>
          </cell>
          <cell r="O5">
            <v>0.15</v>
          </cell>
        </row>
        <row r="6">
          <cell r="L6">
            <v>1.6976000000000002E-2</v>
          </cell>
          <cell r="O6">
            <v>1.3165</v>
          </cell>
        </row>
        <row r="7">
          <cell r="L7">
            <v>-5.3638999999999999E-2</v>
          </cell>
        </row>
        <row r="8">
          <cell r="L8">
            <v>-8.4855E-2</v>
          </cell>
        </row>
        <row r="9">
          <cell r="L9">
            <v>-8.2696000000000006E-2</v>
          </cell>
        </row>
        <row r="10">
          <cell r="L10">
            <v>-5.4463999999999999E-2</v>
          </cell>
        </row>
        <row r="11">
          <cell r="L11">
            <v>-5.4843000000000003E-2</v>
          </cell>
        </row>
        <row r="12">
          <cell r="L12">
            <v>-7.4410000000000004E-2</v>
          </cell>
        </row>
        <row r="13">
          <cell r="L13">
            <v>-1.1741E-2</v>
          </cell>
        </row>
        <row r="14">
          <cell r="L14">
            <v>-1.5839999999999999E-3</v>
          </cell>
        </row>
        <row r="15">
          <cell r="L15">
            <v>7.835E-3</v>
          </cell>
        </row>
        <row r="16">
          <cell r="L16">
            <v>4.2647999999999998E-2</v>
          </cell>
        </row>
        <row r="17">
          <cell r="L17">
            <v>5.4923E-2</v>
          </cell>
        </row>
        <row r="18">
          <cell r="L18">
            <v>0.339781</v>
          </cell>
        </row>
        <row r="19">
          <cell r="L19">
            <v>0.49051299999999998</v>
          </cell>
        </row>
        <row r="20">
          <cell r="L20">
            <v>0.53585799999999995</v>
          </cell>
        </row>
        <row r="21">
          <cell r="L21">
            <v>0.49388900000000002</v>
          </cell>
        </row>
        <row r="22">
          <cell r="L22">
            <v>0.56324399999999997</v>
          </cell>
        </row>
        <row r="23">
          <cell r="L23">
            <v>0.59904299999999999</v>
          </cell>
        </row>
        <row r="24">
          <cell r="L24">
            <v>0.64236599999999999</v>
          </cell>
        </row>
        <row r="25">
          <cell r="L25">
            <v>0.65832000000000002</v>
          </cell>
        </row>
        <row r="26">
          <cell r="L26">
            <v>0.66471199999999997</v>
          </cell>
        </row>
        <row r="27">
          <cell r="L27">
            <v>0.72110300000000005</v>
          </cell>
        </row>
        <row r="28">
          <cell r="L28">
            <v>0.74405500000000002</v>
          </cell>
        </row>
        <row r="29">
          <cell r="L29">
            <v>0.75770599999999999</v>
          </cell>
        </row>
        <row r="30">
          <cell r="L30">
            <v>0.78274600000000005</v>
          </cell>
        </row>
        <row r="31">
          <cell r="L31">
            <v>0.81346399999999996</v>
          </cell>
        </row>
        <row r="32">
          <cell r="L32">
            <v>0.79139700000000002</v>
          </cell>
        </row>
        <row r="33">
          <cell r="L33">
            <v>0.81767999999999996</v>
          </cell>
        </row>
        <row r="34">
          <cell r="L34">
            <v>0.80265399999999998</v>
          </cell>
        </row>
        <row r="35">
          <cell r="L35">
            <v>0.81456099999999998</v>
          </cell>
        </row>
        <row r="36">
          <cell r="L36">
            <v>0.82276099999999996</v>
          </cell>
        </row>
        <row r="37">
          <cell r="L37">
            <v>0.919713</v>
          </cell>
        </row>
        <row r="38">
          <cell r="L38">
            <v>0.93226900000000001</v>
          </cell>
        </row>
        <row r="39">
          <cell r="L39">
            <v>0.95553299999999997</v>
          </cell>
        </row>
        <row r="40">
          <cell r="L40">
            <v>0.96116999999999997</v>
          </cell>
        </row>
        <row r="41">
          <cell r="L41">
            <v>1.0238259999999999</v>
          </cell>
        </row>
        <row r="42">
          <cell r="L42">
            <v>1.021166</v>
          </cell>
        </row>
        <row r="43">
          <cell r="L43">
            <v>0.99430200000000002</v>
          </cell>
        </row>
        <row r="44">
          <cell r="L44">
            <v>1.0241579999999999</v>
          </cell>
        </row>
        <row r="45">
          <cell r="L45">
            <v>1.033182</v>
          </cell>
        </row>
        <row r="46">
          <cell r="L46">
            <v>1.0581689999999999</v>
          </cell>
        </row>
        <row r="47">
          <cell r="L47">
            <v>1.0578650000000001</v>
          </cell>
        </row>
        <row r="48">
          <cell r="L48">
            <v>1.06488</v>
          </cell>
        </row>
        <row r="49">
          <cell r="L49">
            <v>1.0077780000000001</v>
          </cell>
        </row>
        <row r="50">
          <cell r="L50">
            <v>1.1354059999999999</v>
          </cell>
        </row>
        <row r="51">
          <cell r="L51">
            <v>1.1276900000000001</v>
          </cell>
        </row>
        <row r="52">
          <cell r="L52">
            <v>1.14699</v>
          </cell>
        </row>
        <row r="53">
          <cell r="L53">
            <v>1.163778</v>
          </cell>
        </row>
        <row r="54">
          <cell r="L54">
            <v>1.202234</v>
          </cell>
        </row>
        <row r="55">
          <cell r="L55">
            <v>1.2310509999999999</v>
          </cell>
        </row>
        <row r="56">
          <cell r="L56">
            <v>1.2194039999999999</v>
          </cell>
        </row>
        <row r="57">
          <cell r="L57">
            <v>1.239077</v>
          </cell>
        </row>
        <row r="58">
          <cell r="L58">
            <v>1.256232</v>
          </cell>
        </row>
        <row r="59">
          <cell r="L59">
            <v>1.2226239999999999</v>
          </cell>
        </row>
        <row r="60">
          <cell r="L60">
            <v>1.2621849999999999</v>
          </cell>
        </row>
        <row r="61">
          <cell r="L61">
            <v>1.051709</v>
          </cell>
        </row>
        <row r="62">
          <cell r="L62">
            <v>1.3165</v>
          </cell>
        </row>
      </sheetData>
      <sheetData sheetId="3">
        <row r="2">
          <cell r="AA2">
            <v>0.16666700000000001</v>
          </cell>
        </row>
        <row r="3">
          <cell r="AA3">
            <v>0</v>
          </cell>
        </row>
        <row r="4">
          <cell r="AA4">
            <v>1.9167E-2</v>
          </cell>
        </row>
      </sheetData>
      <sheetData sheetId="4">
        <row r="2">
          <cell r="L2">
            <v>0</v>
          </cell>
        </row>
        <row r="3">
          <cell r="L3">
            <v>-4.1309999999999999E-2</v>
          </cell>
        </row>
        <row r="4">
          <cell r="L4">
            <v>-3.3348999999999997E-2</v>
          </cell>
          <cell r="O4">
            <v>83</v>
          </cell>
        </row>
        <row r="5">
          <cell r="L5">
            <v>-2.8563999999999999E-2</v>
          </cell>
          <cell r="O5">
            <v>0.17</v>
          </cell>
        </row>
        <row r="6">
          <cell r="L6">
            <v>-3.5706000000000002E-2</v>
          </cell>
          <cell r="O6">
            <v>0.47660799999999998</v>
          </cell>
        </row>
        <row r="7">
          <cell r="L7">
            <v>-4.4777999999999998E-2</v>
          </cell>
        </row>
        <row r="8">
          <cell r="L8">
            <v>-5.4212000000000003E-2</v>
          </cell>
        </row>
        <row r="9">
          <cell r="L9">
            <v>-4.1274999999999999E-2</v>
          </cell>
        </row>
        <row r="10">
          <cell r="L10">
            <v>-3.7200000000000002E-3</v>
          </cell>
        </row>
        <row r="11">
          <cell r="L11">
            <v>-1.7080999999999999E-2</v>
          </cell>
        </row>
        <row r="12">
          <cell r="L12">
            <v>-3.8431E-2</v>
          </cell>
        </row>
        <row r="13">
          <cell r="L13">
            <v>-5.1664000000000002E-2</v>
          </cell>
        </row>
        <row r="14">
          <cell r="L14">
            <v>-4.3439999999999999E-2</v>
          </cell>
        </row>
        <row r="15">
          <cell r="L15">
            <v>-6.2073999999999997E-2</v>
          </cell>
        </row>
        <row r="16">
          <cell r="L16">
            <v>-2.8320999999999999E-2</v>
          </cell>
        </row>
        <row r="17">
          <cell r="L17">
            <v>-3.3399999999999999E-4</v>
          </cell>
        </row>
        <row r="18">
          <cell r="L18">
            <v>-1.3756000000000001E-2</v>
          </cell>
        </row>
        <row r="19">
          <cell r="L19">
            <v>-2.7807999999999999E-2</v>
          </cell>
        </row>
        <row r="20">
          <cell r="L20">
            <v>6.3020000000000003E-3</v>
          </cell>
        </row>
        <row r="21">
          <cell r="L21">
            <v>6.9764000000000007E-2</v>
          </cell>
        </row>
        <row r="22">
          <cell r="L22">
            <v>5.8566E-2</v>
          </cell>
        </row>
        <row r="23">
          <cell r="L23">
            <v>5.9388000000000003E-2</v>
          </cell>
        </row>
        <row r="24">
          <cell r="L24">
            <v>6.5733E-2</v>
          </cell>
        </row>
        <row r="25">
          <cell r="L25">
            <v>3.2702000000000002E-2</v>
          </cell>
        </row>
        <row r="26">
          <cell r="L26">
            <v>4.0327000000000002E-2</v>
          </cell>
        </row>
        <row r="27">
          <cell r="L27">
            <v>4.4963000000000003E-2</v>
          </cell>
        </row>
        <row r="28">
          <cell r="L28">
            <v>4.5830000000000003E-2</v>
          </cell>
        </row>
        <row r="29">
          <cell r="L29">
            <v>4.7933000000000003E-2</v>
          </cell>
        </row>
        <row r="30">
          <cell r="L30">
            <v>3.9509000000000002E-2</v>
          </cell>
        </row>
        <row r="31">
          <cell r="L31">
            <v>3.4973999999999998E-2</v>
          </cell>
        </row>
        <row r="32">
          <cell r="L32">
            <v>3.4415000000000001E-2</v>
          </cell>
        </row>
        <row r="33">
          <cell r="L33">
            <v>1.933E-3</v>
          </cell>
        </row>
        <row r="34">
          <cell r="L34">
            <v>1.6429999999999999E-3</v>
          </cell>
        </row>
        <row r="35">
          <cell r="L35">
            <v>3.8601000000000003E-2</v>
          </cell>
        </row>
        <row r="36">
          <cell r="L36">
            <v>6.7701999999999998E-2</v>
          </cell>
        </row>
        <row r="37">
          <cell r="L37">
            <v>5.4149000000000003E-2</v>
          </cell>
        </row>
        <row r="38">
          <cell r="L38">
            <v>4.3269000000000002E-2</v>
          </cell>
        </row>
        <row r="39">
          <cell r="L39">
            <v>4.0929E-2</v>
          </cell>
        </row>
        <row r="40">
          <cell r="L40">
            <v>3.8043E-2</v>
          </cell>
        </row>
        <row r="41">
          <cell r="L41">
            <v>4.6418000000000001E-2</v>
          </cell>
        </row>
        <row r="42">
          <cell r="L42">
            <v>5.9533000000000003E-2</v>
          </cell>
        </row>
        <row r="43">
          <cell r="L43">
            <v>0.105394</v>
          </cell>
        </row>
        <row r="44">
          <cell r="L44">
            <v>0.116701</v>
          </cell>
        </row>
        <row r="45">
          <cell r="L45">
            <v>0.117215</v>
          </cell>
        </row>
        <row r="46">
          <cell r="L46">
            <v>0.120141</v>
          </cell>
        </row>
        <row r="47">
          <cell r="L47">
            <v>0.114941</v>
          </cell>
        </row>
        <row r="48">
          <cell r="L48">
            <v>0.105948</v>
          </cell>
        </row>
        <row r="49">
          <cell r="L49">
            <v>9.5172999999999994E-2</v>
          </cell>
        </row>
        <row r="50">
          <cell r="L50">
            <v>9.2954999999999996E-2</v>
          </cell>
        </row>
        <row r="51">
          <cell r="L51">
            <v>9.7892999999999994E-2</v>
          </cell>
        </row>
        <row r="52">
          <cell r="L52">
            <v>7.5426000000000007E-2</v>
          </cell>
        </row>
        <row r="53">
          <cell r="L53">
            <v>7.3353000000000002E-2</v>
          </cell>
        </row>
        <row r="54">
          <cell r="L54">
            <v>9.4047000000000006E-2</v>
          </cell>
        </row>
        <row r="55">
          <cell r="L55">
            <v>0.102941</v>
          </cell>
        </row>
        <row r="56">
          <cell r="L56">
            <v>9.5638000000000001E-2</v>
          </cell>
        </row>
        <row r="57">
          <cell r="L57">
            <v>8.4131999999999998E-2</v>
          </cell>
        </row>
        <row r="58">
          <cell r="L58">
            <v>8.2409999999999997E-2</v>
          </cell>
        </row>
        <row r="59">
          <cell r="L59">
            <v>9.2095999999999997E-2</v>
          </cell>
        </row>
        <row r="60">
          <cell r="L60">
            <v>9.6069000000000002E-2</v>
          </cell>
        </row>
        <row r="61">
          <cell r="L61">
            <v>0.11133899999999999</v>
          </cell>
        </row>
        <row r="62">
          <cell r="L62">
            <v>0.100725</v>
          </cell>
        </row>
        <row r="63">
          <cell r="L63">
            <v>0.12298000000000001</v>
          </cell>
        </row>
        <row r="64">
          <cell r="L64">
            <v>0.11393</v>
          </cell>
        </row>
        <row r="65">
          <cell r="L65">
            <v>0.12025</v>
          </cell>
        </row>
        <row r="66">
          <cell r="L66">
            <v>0.104504</v>
          </cell>
        </row>
        <row r="67">
          <cell r="L67">
            <v>0.105215</v>
          </cell>
        </row>
        <row r="68">
          <cell r="L68">
            <v>9.2419000000000001E-2</v>
          </cell>
        </row>
        <row r="69">
          <cell r="L69">
            <v>0.15481200000000001</v>
          </cell>
        </row>
        <row r="70">
          <cell r="L70">
            <v>0.169934</v>
          </cell>
        </row>
        <row r="71">
          <cell r="L71">
            <v>0.18421899999999999</v>
          </cell>
        </row>
        <row r="72">
          <cell r="L72">
            <v>0.17189699999999999</v>
          </cell>
        </row>
        <row r="73">
          <cell r="L73">
            <v>0.18332699999999999</v>
          </cell>
        </row>
        <row r="74">
          <cell r="L74">
            <v>0.18421499999999999</v>
          </cell>
        </row>
        <row r="75">
          <cell r="L75">
            <v>0.149363</v>
          </cell>
        </row>
        <row r="76">
          <cell r="L76">
            <v>0.161466</v>
          </cell>
        </row>
        <row r="77">
          <cell r="L77">
            <v>0.16461799999999999</v>
          </cell>
        </row>
        <row r="78">
          <cell r="L78">
            <v>0.23149500000000001</v>
          </cell>
        </row>
        <row r="79">
          <cell r="L79">
            <v>0.25697500000000001</v>
          </cell>
        </row>
        <row r="80">
          <cell r="L80">
            <v>0.26793800000000001</v>
          </cell>
        </row>
        <row r="81">
          <cell r="L81">
            <v>0.258853</v>
          </cell>
        </row>
        <row r="82">
          <cell r="L82">
            <v>0.312253</v>
          </cell>
        </row>
        <row r="83">
          <cell r="L83">
            <v>0.27126699999999998</v>
          </cell>
        </row>
        <row r="84">
          <cell r="L84">
            <v>0.19067600000000001</v>
          </cell>
        </row>
        <row r="85">
          <cell r="L85">
            <v>0.20003099999999999</v>
          </cell>
        </row>
        <row r="86">
          <cell r="L86">
            <v>0.21745</v>
          </cell>
        </row>
        <row r="87">
          <cell r="L87">
            <v>0.21060000000000001</v>
          </cell>
        </row>
        <row r="88">
          <cell r="L88">
            <v>0.23630799999999999</v>
          </cell>
        </row>
        <row r="89">
          <cell r="L89">
            <v>0.25505</v>
          </cell>
        </row>
        <row r="90">
          <cell r="L90">
            <v>0.26865699999999998</v>
          </cell>
        </row>
        <row r="91">
          <cell r="L91">
            <v>0.27951399999999998</v>
          </cell>
        </row>
        <row r="92">
          <cell r="L92">
            <v>0.29265600000000003</v>
          </cell>
        </row>
        <row r="93">
          <cell r="L93">
            <v>0.33605400000000002</v>
          </cell>
        </row>
        <row r="94">
          <cell r="L94">
            <v>0.34731600000000001</v>
          </cell>
        </row>
        <row r="95">
          <cell r="L95">
            <v>0.34831000000000001</v>
          </cell>
        </row>
        <row r="96">
          <cell r="L96">
            <v>0.35854200000000003</v>
          </cell>
        </row>
        <row r="97">
          <cell r="L97">
            <v>0.31451699999999999</v>
          </cell>
        </row>
        <row r="98">
          <cell r="L98">
            <v>0.33711000000000002</v>
          </cell>
        </row>
        <row r="99">
          <cell r="L99">
            <v>0.35225600000000001</v>
          </cell>
        </row>
        <row r="100">
          <cell r="L100">
            <v>0.39720299999999997</v>
          </cell>
        </row>
        <row r="101">
          <cell r="L101">
            <v>0.45779300000000001</v>
          </cell>
        </row>
        <row r="102">
          <cell r="L102">
            <v>0.47660799999999998</v>
          </cell>
        </row>
      </sheetData>
      <sheetData sheetId="5">
        <row r="2">
          <cell r="AA2">
            <v>0.47</v>
          </cell>
        </row>
        <row r="3">
          <cell r="AA3">
            <v>0</v>
          </cell>
        </row>
        <row r="4">
          <cell r="AA4">
            <v>0.23833299999999999</v>
          </cell>
        </row>
      </sheetData>
      <sheetData sheetId="6">
        <row r="2">
          <cell r="L2">
            <v>0</v>
          </cell>
        </row>
        <row r="3">
          <cell r="L3">
            <v>-3.1458E-2</v>
          </cell>
        </row>
        <row r="4">
          <cell r="L4">
            <v>-3.1496999999999997E-2</v>
          </cell>
          <cell r="O4">
            <v>0</v>
          </cell>
        </row>
        <row r="5">
          <cell r="L5">
            <v>-2.4232E-2</v>
          </cell>
          <cell r="O5">
            <v>1</v>
          </cell>
        </row>
        <row r="6">
          <cell r="L6">
            <v>-3.0117000000000001E-2</v>
          </cell>
          <cell r="O6">
            <v>-1.096581</v>
          </cell>
        </row>
        <row r="7">
          <cell r="L7">
            <v>-5.7658000000000001E-2</v>
          </cell>
        </row>
        <row r="8">
          <cell r="L8">
            <v>-5.6750000000000002E-2</v>
          </cell>
        </row>
        <row r="9">
          <cell r="L9">
            <v>-3.2569000000000001E-2</v>
          </cell>
        </row>
        <row r="10">
          <cell r="L10">
            <v>-3.2045999999999998E-2</v>
          </cell>
        </row>
        <row r="11">
          <cell r="L11">
            <v>-2.4941000000000001E-2</v>
          </cell>
        </row>
        <row r="12">
          <cell r="L12">
            <v>-4.3163E-2</v>
          </cell>
        </row>
        <row r="13">
          <cell r="L13">
            <v>-8.1337000000000007E-2</v>
          </cell>
        </row>
        <row r="14">
          <cell r="L14">
            <v>-7.6198000000000002E-2</v>
          </cell>
        </row>
        <row r="15">
          <cell r="L15">
            <v>-7.6811000000000004E-2</v>
          </cell>
        </row>
        <row r="16">
          <cell r="L16">
            <v>-0.18742400000000001</v>
          </cell>
        </row>
        <row r="17">
          <cell r="L17">
            <v>-0.179535</v>
          </cell>
        </row>
        <row r="18">
          <cell r="L18">
            <v>-0.21226800000000001</v>
          </cell>
        </row>
        <row r="19">
          <cell r="L19">
            <v>-0.195217</v>
          </cell>
        </row>
        <row r="20">
          <cell r="L20">
            <v>-0.246361</v>
          </cell>
        </row>
        <row r="21">
          <cell r="L21">
            <v>-0.26253399999999999</v>
          </cell>
        </row>
        <row r="22">
          <cell r="L22">
            <v>-0.24432400000000001</v>
          </cell>
        </row>
        <row r="23">
          <cell r="L23">
            <v>-0.23493700000000001</v>
          </cell>
        </row>
        <row r="24">
          <cell r="L24">
            <v>-0.24670300000000001</v>
          </cell>
        </row>
        <row r="25">
          <cell r="L25">
            <v>-0.24584900000000001</v>
          </cell>
        </row>
        <row r="26">
          <cell r="L26">
            <v>-0.23929700000000001</v>
          </cell>
        </row>
        <row r="27">
          <cell r="L27">
            <v>-0.22246299999999999</v>
          </cell>
        </row>
        <row r="28">
          <cell r="L28">
            <v>-0.21831600000000001</v>
          </cell>
        </row>
        <row r="29">
          <cell r="L29">
            <v>-0.444548</v>
          </cell>
        </row>
        <row r="30">
          <cell r="L30">
            <v>-0.627475</v>
          </cell>
        </row>
        <row r="31">
          <cell r="L31">
            <v>-0.644401</v>
          </cell>
        </row>
        <row r="32">
          <cell r="L32">
            <v>-0.62637799999999999</v>
          </cell>
        </row>
        <row r="33">
          <cell r="L33">
            <v>-0.63270899999999997</v>
          </cell>
        </row>
        <row r="34">
          <cell r="L34">
            <v>-0.670987</v>
          </cell>
        </row>
        <row r="35">
          <cell r="L35">
            <v>-0.69569199999999998</v>
          </cell>
        </row>
        <row r="36">
          <cell r="L36">
            <v>-0.85912900000000003</v>
          </cell>
        </row>
        <row r="37">
          <cell r="L37">
            <v>-0.782775</v>
          </cell>
        </row>
        <row r="38">
          <cell r="L38">
            <v>-0.81493000000000004</v>
          </cell>
        </row>
        <row r="39">
          <cell r="L39">
            <v>-0.82228699999999999</v>
          </cell>
        </row>
        <row r="40">
          <cell r="L40">
            <v>-0.74522999999999995</v>
          </cell>
        </row>
        <row r="41">
          <cell r="L41">
            <v>-0.88301799999999997</v>
          </cell>
        </row>
        <row r="42">
          <cell r="L42">
            <v>-0.887517</v>
          </cell>
        </row>
        <row r="43">
          <cell r="L43">
            <v>-0.88470700000000002</v>
          </cell>
        </row>
        <row r="44">
          <cell r="L44">
            <v>-0.88822199999999996</v>
          </cell>
        </row>
        <row r="45">
          <cell r="L45">
            <v>-0.85377599999999998</v>
          </cell>
        </row>
        <row r="46">
          <cell r="L46">
            <v>-1.0463899999999999</v>
          </cell>
        </row>
        <row r="47">
          <cell r="L47">
            <v>-1.0268440000000001</v>
          </cell>
        </row>
        <row r="48">
          <cell r="L48">
            <v>-1.0581</v>
          </cell>
        </row>
        <row r="49">
          <cell r="L49">
            <v>-0.88055899999999998</v>
          </cell>
        </row>
        <row r="50">
          <cell r="L50">
            <v>-0.953542</v>
          </cell>
        </row>
        <row r="51">
          <cell r="L51">
            <v>-0.96398600000000001</v>
          </cell>
        </row>
        <row r="52">
          <cell r="L52">
            <v>-0.89939599999999997</v>
          </cell>
        </row>
        <row r="53">
          <cell r="L53">
            <v>-0.91977799999999998</v>
          </cell>
        </row>
        <row r="54">
          <cell r="L54">
            <v>-0.99229299999999998</v>
          </cell>
        </row>
        <row r="55">
          <cell r="L55">
            <v>-0.99847799999999998</v>
          </cell>
        </row>
        <row r="56">
          <cell r="L56">
            <v>-0.95088300000000003</v>
          </cell>
        </row>
        <row r="57">
          <cell r="L57">
            <v>-0.96782999999999997</v>
          </cell>
        </row>
        <row r="58">
          <cell r="L58">
            <v>-0.96232200000000001</v>
          </cell>
        </row>
        <row r="59">
          <cell r="L59">
            <v>-0.93511</v>
          </cell>
        </row>
        <row r="60">
          <cell r="L60">
            <v>-0.97156600000000004</v>
          </cell>
        </row>
        <row r="61">
          <cell r="L61">
            <v>-0.96131900000000003</v>
          </cell>
        </row>
        <row r="62">
          <cell r="L62">
            <v>-1.096581</v>
          </cell>
        </row>
      </sheetData>
      <sheetData sheetId="7">
        <row r="2">
          <cell r="AA2">
            <v>1</v>
          </cell>
        </row>
        <row r="3">
          <cell r="AA3">
            <v>0.75</v>
          </cell>
        </row>
        <row r="4">
          <cell r="AA4">
            <v>0.96166700000000005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-1.3162E-2</v>
          </cell>
        </row>
        <row r="4">
          <cell r="L4">
            <v>-1.753E-3</v>
          </cell>
          <cell r="O4">
            <v>98</v>
          </cell>
        </row>
        <row r="5">
          <cell r="L5">
            <v>7.5589999999999997E-3</v>
          </cell>
          <cell r="O5">
            <v>0.02</v>
          </cell>
        </row>
        <row r="6">
          <cell r="L6">
            <v>1.1789000000000001E-2</v>
          </cell>
          <cell r="O6">
            <v>1.2033579999999999</v>
          </cell>
        </row>
        <row r="7">
          <cell r="L7">
            <v>2.1205000000000002E-2</v>
          </cell>
        </row>
        <row r="8">
          <cell r="L8">
            <v>1.421E-2</v>
          </cell>
        </row>
        <row r="9">
          <cell r="L9">
            <v>3.2912999999999998E-2</v>
          </cell>
        </row>
        <row r="10">
          <cell r="L10">
            <v>5.7912999999999999E-2</v>
          </cell>
        </row>
        <row r="11">
          <cell r="L11">
            <v>7.1565000000000004E-2</v>
          </cell>
        </row>
        <row r="12">
          <cell r="L12">
            <v>5.7936000000000001E-2</v>
          </cell>
        </row>
        <row r="13">
          <cell r="L13">
            <v>6.1823999999999997E-2</v>
          </cell>
        </row>
        <row r="14">
          <cell r="L14">
            <v>7.5005000000000002E-2</v>
          </cell>
        </row>
        <row r="15">
          <cell r="L15">
            <v>8.3968000000000001E-2</v>
          </cell>
        </row>
        <row r="16">
          <cell r="L16">
            <v>7.1117E-2</v>
          </cell>
        </row>
        <row r="17">
          <cell r="L17">
            <v>7.9725000000000004E-2</v>
          </cell>
        </row>
        <row r="18">
          <cell r="L18">
            <v>9.8337999999999995E-2</v>
          </cell>
        </row>
        <row r="19">
          <cell r="L19">
            <v>0.119297</v>
          </cell>
        </row>
        <row r="20">
          <cell r="L20">
            <v>0.17469799999999999</v>
          </cell>
        </row>
        <row r="21">
          <cell r="L21">
            <v>0.20177400000000001</v>
          </cell>
        </row>
        <row r="22">
          <cell r="L22">
            <v>0.243725</v>
          </cell>
        </row>
        <row r="23">
          <cell r="L23">
            <v>0.26746700000000001</v>
          </cell>
        </row>
        <row r="24">
          <cell r="L24">
            <v>0.27130300000000002</v>
          </cell>
        </row>
        <row r="25">
          <cell r="L25">
            <v>0.30470399999999997</v>
          </cell>
        </row>
        <row r="26">
          <cell r="L26">
            <v>0.329175</v>
          </cell>
        </row>
        <row r="27">
          <cell r="L27">
            <v>0.33788699999999999</v>
          </cell>
        </row>
        <row r="28">
          <cell r="L28">
            <v>0.33662700000000001</v>
          </cell>
        </row>
        <row r="29">
          <cell r="L29">
            <v>0.35034100000000001</v>
          </cell>
        </row>
        <row r="30">
          <cell r="L30">
            <v>0.35899799999999998</v>
          </cell>
        </row>
        <row r="31">
          <cell r="L31">
            <v>0.36422599999999999</v>
          </cell>
        </row>
        <row r="32">
          <cell r="L32">
            <v>0.36602000000000001</v>
          </cell>
        </row>
        <row r="33">
          <cell r="L33">
            <v>0.34447899999999998</v>
          </cell>
        </row>
        <row r="34">
          <cell r="L34">
            <v>0.34800599999999998</v>
          </cell>
        </row>
        <row r="35">
          <cell r="L35">
            <v>0.36933899999999997</v>
          </cell>
        </row>
        <row r="36">
          <cell r="L36">
            <v>0.37955100000000003</v>
          </cell>
        </row>
        <row r="37">
          <cell r="L37">
            <v>0.45172899999999999</v>
          </cell>
        </row>
        <row r="38">
          <cell r="L38">
            <v>0.45730300000000002</v>
          </cell>
        </row>
        <row r="39">
          <cell r="L39">
            <v>0.476636</v>
          </cell>
        </row>
        <row r="40">
          <cell r="L40">
            <v>0.48256100000000002</v>
          </cell>
        </row>
        <row r="41">
          <cell r="L41">
            <v>0.49489</v>
          </cell>
        </row>
        <row r="42">
          <cell r="L42">
            <v>0.49406899999999998</v>
          </cell>
        </row>
        <row r="43">
          <cell r="L43">
            <v>0.43038700000000002</v>
          </cell>
        </row>
        <row r="44">
          <cell r="L44">
            <v>0.55905800000000005</v>
          </cell>
        </row>
        <row r="45">
          <cell r="L45">
            <v>0.56636799999999998</v>
          </cell>
        </row>
        <row r="46">
          <cell r="L46">
            <v>0.56891700000000001</v>
          </cell>
        </row>
        <row r="47">
          <cell r="L47">
            <v>0.57622399999999996</v>
          </cell>
        </row>
        <row r="48">
          <cell r="L48">
            <v>0.56490499999999999</v>
          </cell>
        </row>
        <row r="49">
          <cell r="L49">
            <v>0.57156700000000005</v>
          </cell>
        </row>
        <row r="50">
          <cell r="L50">
            <v>0.56693899999999997</v>
          </cell>
        </row>
        <row r="51">
          <cell r="L51">
            <v>0.585982</v>
          </cell>
        </row>
        <row r="52">
          <cell r="L52">
            <v>0.59340199999999999</v>
          </cell>
        </row>
        <row r="53">
          <cell r="L53">
            <v>0.59803300000000004</v>
          </cell>
        </row>
        <row r="54">
          <cell r="L54">
            <v>0.58587299999999998</v>
          </cell>
        </row>
        <row r="55">
          <cell r="L55">
            <v>0.61515500000000001</v>
          </cell>
        </row>
        <row r="56">
          <cell r="L56">
            <v>0.62274200000000002</v>
          </cell>
        </row>
        <row r="57">
          <cell r="L57">
            <v>0.632019</v>
          </cell>
        </row>
        <row r="58">
          <cell r="L58">
            <v>0.63184700000000005</v>
          </cell>
        </row>
        <row r="59">
          <cell r="L59">
            <v>0.61495699999999998</v>
          </cell>
        </row>
        <row r="60">
          <cell r="L60">
            <v>0.65329400000000004</v>
          </cell>
        </row>
        <row r="61">
          <cell r="L61">
            <v>0.62711099999999997</v>
          </cell>
        </row>
        <row r="62">
          <cell r="L62">
            <v>0.59408499999999997</v>
          </cell>
        </row>
        <row r="63">
          <cell r="L63">
            <v>0.64902099999999996</v>
          </cell>
        </row>
        <row r="64">
          <cell r="L64">
            <v>0.64661000000000002</v>
          </cell>
        </row>
        <row r="65">
          <cell r="L65">
            <v>0.66827700000000001</v>
          </cell>
        </row>
        <row r="66">
          <cell r="L66">
            <v>0.70664899999999997</v>
          </cell>
        </row>
        <row r="67">
          <cell r="L67">
            <v>0.72979099999999997</v>
          </cell>
        </row>
        <row r="68">
          <cell r="L68">
            <v>0.72366200000000003</v>
          </cell>
        </row>
        <row r="69">
          <cell r="L69">
            <v>0.757579</v>
          </cell>
        </row>
        <row r="70">
          <cell r="L70">
            <v>0.81803800000000004</v>
          </cell>
        </row>
        <row r="71">
          <cell r="L71">
            <v>0.80186100000000005</v>
          </cell>
        </row>
        <row r="72">
          <cell r="L72">
            <v>0.822465</v>
          </cell>
        </row>
        <row r="73">
          <cell r="L73">
            <v>0.80534099999999997</v>
          </cell>
        </row>
        <row r="74">
          <cell r="L74">
            <v>0.81626299999999996</v>
          </cell>
        </row>
        <row r="75">
          <cell r="L75">
            <v>0.85997199999999996</v>
          </cell>
        </row>
        <row r="76">
          <cell r="L76">
            <v>0.87193399999999999</v>
          </cell>
        </row>
        <row r="77">
          <cell r="L77">
            <v>0.87332799999999999</v>
          </cell>
        </row>
        <row r="78">
          <cell r="L78">
            <v>0.90822599999999998</v>
          </cell>
        </row>
        <row r="79">
          <cell r="L79">
            <v>0.84640599999999999</v>
          </cell>
        </row>
        <row r="80">
          <cell r="L80">
            <v>0.86638000000000004</v>
          </cell>
        </row>
        <row r="81">
          <cell r="L81">
            <v>0.842117</v>
          </cell>
        </row>
        <row r="82">
          <cell r="L82">
            <v>0.94165200000000004</v>
          </cell>
        </row>
        <row r="83">
          <cell r="L83">
            <v>0.98697199999999996</v>
          </cell>
        </row>
        <row r="84">
          <cell r="L84">
            <v>0.998996</v>
          </cell>
        </row>
        <row r="85">
          <cell r="L85">
            <v>1.0016750000000001</v>
          </cell>
        </row>
        <row r="86">
          <cell r="L86">
            <v>1.0233270000000001</v>
          </cell>
        </row>
        <row r="87">
          <cell r="L87">
            <v>1.014</v>
          </cell>
        </row>
        <row r="88">
          <cell r="L88">
            <v>1.0678989999999999</v>
          </cell>
        </row>
        <row r="89">
          <cell r="L89">
            <v>1.065987</v>
          </cell>
        </row>
        <row r="90">
          <cell r="L90">
            <v>1.08267</v>
          </cell>
        </row>
        <row r="91">
          <cell r="L91">
            <v>1.1416949999999999</v>
          </cell>
        </row>
        <row r="92">
          <cell r="L92">
            <v>1.161289</v>
          </cell>
        </row>
        <row r="93">
          <cell r="L93">
            <v>1.1400889999999999</v>
          </cell>
        </row>
        <row r="94">
          <cell r="L94">
            <v>1.1736679999999999</v>
          </cell>
        </row>
        <row r="95">
          <cell r="L95">
            <v>1.1661269999999999</v>
          </cell>
        </row>
        <row r="96">
          <cell r="L96">
            <v>1.2034800000000001</v>
          </cell>
        </row>
        <row r="97">
          <cell r="L97">
            <v>1.131543</v>
          </cell>
        </row>
        <row r="98">
          <cell r="L98">
            <v>1.181322</v>
          </cell>
        </row>
        <row r="99">
          <cell r="L99">
            <v>1.22784</v>
          </cell>
        </row>
        <row r="100">
          <cell r="L100">
            <v>1.134741</v>
          </cell>
        </row>
        <row r="101">
          <cell r="L101">
            <v>1.1902079999999999</v>
          </cell>
        </row>
        <row r="102">
          <cell r="L102">
            <v>1.2033579999999999</v>
          </cell>
        </row>
      </sheetData>
      <sheetData sheetId="1">
        <row r="2">
          <cell r="AA2">
            <v>0.05</v>
          </cell>
        </row>
        <row r="3">
          <cell r="AA3">
            <v>0</v>
          </cell>
        </row>
        <row r="4">
          <cell r="AA4">
            <v>1.4333E-2</v>
          </cell>
        </row>
      </sheetData>
      <sheetData sheetId="2">
        <row r="2">
          <cell r="L2">
            <v>0</v>
          </cell>
        </row>
        <row r="3">
          <cell r="L3">
            <v>-1.8114999999999999E-2</v>
          </cell>
        </row>
        <row r="4">
          <cell r="L4">
            <v>-1.3408E-2</v>
          </cell>
          <cell r="O4">
            <v>55</v>
          </cell>
        </row>
        <row r="5">
          <cell r="L5">
            <v>4.8250000000000003E-3</v>
          </cell>
          <cell r="O5">
            <v>8.3333000000000004E-2</v>
          </cell>
        </row>
        <row r="6">
          <cell r="L6">
            <v>-4.4060000000000002E-3</v>
          </cell>
          <cell r="O6">
            <v>0.71219900000000003</v>
          </cell>
        </row>
        <row r="7">
          <cell r="L7">
            <v>-7.9380000000000006E-3</v>
          </cell>
        </row>
        <row r="8">
          <cell r="L8">
            <v>-3.9290000000000002E-3</v>
          </cell>
        </row>
        <row r="9">
          <cell r="L9">
            <v>1.8912999999999999E-2</v>
          </cell>
        </row>
        <row r="10">
          <cell r="L10">
            <v>3.474E-2</v>
          </cell>
        </row>
        <row r="11">
          <cell r="L11">
            <v>4.5450999999999998E-2</v>
          </cell>
        </row>
        <row r="12">
          <cell r="L12">
            <v>3.5701999999999998E-2</v>
          </cell>
        </row>
        <row r="13">
          <cell r="L13">
            <v>3.3959000000000003E-2</v>
          </cell>
        </row>
        <row r="14">
          <cell r="L14">
            <v>3.8806E-2</v>
          </cell>
        </row>
        <row r="15">
          <cell r="L15">
            <v>6.2126000000000001E-2</v>
          </cell>
        </row>
        <row r="16">
          <cell r="L16">
            <v>0.10825600000000001</v>
          </cell>
        </row>
        <row r="17">
          <cell r="L17">
            <v>0.15751599999999999</v>
          </cell>
        </row>
        <row r="18">
          <cell r="L18">
            <v>0.15099099999999999</v>
          </cell>
        </row>
        <row r="19">
          <cell r="L19">
            <v>0.173878</v>
          </cell>
        </row>
        <row r="20">
          <cell r="L20">
            <v>0.26764700000000002</v>
          </cell>
        </row>
        <row r="21">
          <cell r="L21">
            <v>0.27869699999999997</v>
          </cell>
        </row>
        <row r="22">
          <cell r="L22">
            <v>0.231958</v>
          </cell>
        </row>
        <row r="23">
          <cell r="L23">
            <v>0.32991599999999999</v>
          </cell>
        </row>
        <row r="24">
          <cell r="L24">
            <v>0.36564099999999999</v>
          </cell>
        </row>
        <row r="25">
          <cell r="L25">
            <v>0.38956000000000002</v>
          </cell>
        </row>
        <row r="26">
          <cell r="L26">
            <v>0.41830499999999998</v>
          </cell>
        </row>
        <row r="27">
          <cell r="L27">
            <v>0.42692600000000003</v>
          </cell>
        </row>
        <row r="28">
          <cell r="L28">
            <v>0.443712</v>
          </cell>
        </row>
        <row r="29">
          <cell r="L29">
            <v>0.44644699999999998</v>
          </cell>
        </row>
        <row r="30">
          <cell r="L30">
            <v>5.1658000000000003E-2</v>
          </cell>
        </row>
        <row r="31">
          <cell r="L31">
            <v>9.3623999999999999E-2</v>
          </cell>
        </row>
        <row r="32">
          <cell r="L32">
            <v>5.6850999999999999E-2</v>
          </cell>
        </row>
        <row r="33">
          <cell r="L33">
            <v>5.8125999999999997E-2</v>
          </cell>
        </row>
        <row r="34">
          <cell r="L34">
            <v>7.6803999999999997E-2</v>
          </cell>
        </row>
        <row r="35">
          <cell r="L35">
            <v>9.9738999999999994E-2</v>
          </cell>
        </row>
        <row r="36">
          <cell r="L36">
            <v>0.119674</v>
          </cell>
        </row>
        <row r="37">
          <cell r="L37">
            <v>0.12657099999999999</v>
          </cell>
        </row>
        <row r="38">
          <cell r="L38">
            <v>0.14462900000000001</v>
          </cell>
        </row>
        <row r="39">
          <cell r="L39">
            <v>0.15573200000000001</v>
          </cell>
        </row>
        <row r="40">
          <cell r="L40">
            <v>0.178397</v>
          </cell>
        </row>
        <row r="41">
          <cell r="L41">
            <v>0.22237299999999999</v>
          </cell>
        </row>
        <row r="42">
          <cell r="L42">
            <v>0.25045400000000001</v>
          </cell>
        </row>
        <row r="43">
          <cell r="L43">
            <v>0.26009700000000002</v>
          </cell>
        </row>
        <row r="44">
          <cell r="L44">
            <v>0.28071800000000002</v>
          </cell>
        </row>
        <row r="45">
          <cell r="L45">
            <v>0.293796</v>
          </cell>
        </row>
        <row r="46">
          <cell r="L46">
            <v>0.29569000000000001</v>
          </cell>
        </row>
        <row r="47">
          <cell r="L47">
            <v>0.29316399999999998</v>
          </cell>
        </row>
        <row r="48">
          <cell r="L48">
            <v>0.305668</v>
          </cell>
        </row>
        <row r="49">
          <cell r="L49">
            <v>0.32435000000000003</v>
          </cell>
        </row>
        <row r="50">
          <cell r="L50">
            <v>0.34856199999999998</v>
          </cell>
        </row>
        <row r="51">
          <cell r="L51">
            <v>0.35485299999999997</v>
          </cell>
        </row>
        <row r="52">
          <cell r="L52">
            <v>0.39363300000000001</v>
          </cell>
        </row>
        <row r="53">
          <cell r="L53">
            <v>0.54419600000000001</v>
          </cell>
        </row>
        <row r="54">
          <cell r="L54">
            <v>0.55942999999999998</v>
          </cell>
        </row>
        <row r="55">
          <cell r="L55">
            <v>0.58835300000000001</v>
          </cell>
        </row>
        <row r="56">
          <cell r="L56">
            <v>0.58859600000000001</v>
          </cell>
        </row>
        <row r="57">
          <cell r="L57">
            <v>0.60461500000000001</v>
          </cell>
        </row>
        <row r="58">
          <cell r="L58">
            <v>0.62992599999999999</v>
          </cell>
        </row>
        <row r="59">
          <cell r="L59">
            <v>0.64786200000000005</v>
          </cell>
        </row>
        <row r="60">
          <cell r="L60">
            <v>0.65524400000000005</v>
          </cell>
        </row>
        <row r="61">
          <cell r="L61">
            <v>0.62666999999999995</v>
          </cell>
        </row>
        <row r="62">
          <cell r="L62">
            <v>0.71219900000000003</v>
          </cell>
        </row>
      </sheetData>
      <sheetData sheetId="3">
        <row r="2">
          <cell r="AA2">
            <v>0.35</v>
          </cell>
        </row>
        <row r="3">
          <cell r="AA3">
            <v>0</v>
          </cell>
        </row>
        <row r="4">
          <cell r="AA4">
            <v>8.1667000000000003E-2</v>
          </cell>
        </row>
      </sheetData>
      <sheetData sheetId="4">
        <row r="2">
          <cell r="L2">
            <v>0</v>
          </cell>
        </row>
        <row r="3">
          <cell r="L3">
            <v>-1.2038999999999999E-2</v>
          </cell>
        </row>
        <row r="4">
          <cell r="L4">
            <v>-6.2700000000000004E-3</v>
          </cell>
          <cell r="O4">
            <v>92</v>
          </cell>
        </row>
        <row r="5">
          <cell r="L5">
            <v>-1.3110000000000001E-3</v>
          </cell>
          <cell r="O5">
            <v>0.08</v>
          </cell>
        </row>
        <row r="6">
          <cell r="L6">
            <v>-1.472E-3</v>
          </cell>
          <cell r="O6">
            <v>0.31539499999999998</v>
          </cell>
        </row>
        <row r="7">
          <cell r="L7">
            <v>-9.0620000000000006E-3</v>
          </cell>
        </row>
        <row r="8">
          <cell r="L8">
            <v>2.0469999999999999E-2</v>
          </cell>
        </row>
        <row r="9">
          <cell r="L9">
            <v>6.3759999999999997E-3</v>
          </cell>
        </row>
        <row r="10">
          <cell r="L10">
            <v>1.8109999999999999E-3</v>
          </cell>
        </row>
        <row r="11">
          <cell r="L11">
            <v>-1.0591E-2</v>
          </cell>
        </row>
        <row r="12">
          <cell r="L12">
            <v>-4.55E-4</v>
          </cell>
        </row>
        <row r="13">
          <cell r="L13">
            <v>3.2322999999999998E-2</v>
          </cell>
        </row>
        <row r="14">
          <cell r="L14">
            <v>5.9950000000000003E-2</v>
          </cell>
        </row>
        <row r="15">
          <cell r="L15">
            <v>5.0257999999999997E-2</v>
          </cell>
        </row>
        <row r="16">
          <cell r="L16">
            <v>1.4602E-2</v>
          </cell>
        </row>
        <row r="17">
          <cell r="L17">
            <v>2.291E-2</v>
          </cell>
        </row>
        <row r="18">
          <cell r="L18">
            <v>1.0135E-2</v>
          </cell>
        </row>
        <row r="19">
          <cell r="L19">
            <v>-1.5583E-2</v>
          </cell>
        </row>
        <row r="20">
          <cell r="L20">
            <v>3.5410999999999998E-2</v>
          </cell>
        </row>
        <row r="21">
          <cell r="L21">
            <v>4.2306000000000003E-2</v>
          </cell>
        </row>
        <row r="22">
          <cell r="L22">
            <v>7.1038000000000004E-2</v>
          </cell>
        </row>
        <row r="23">
          <cell r="L23">
            <v>7.5684000000000001E-2</v>
          </cell>
        </row>
        <row r="24">
          <cell r="L24">
            <v>7.9337000000000005E-2</v>
          </cell>
        </row>
        <row r="25">
          <cell r="L25">
            <v>0.12782399999999999</v>
          </cell>
        </row>
        <row r="26">
          <cell r="L26">
            <v>0.13939699999999999</v>
          </cell>
        </row>
        <row r="27">
          <cell r="L27">
            <v>0.147894</v>
          </cell>
        </row>
        <row r="28">
          <cell r="L28">
            <v>0.14807200000000001</v>
          </cell>
        </row>
        <row r="29">
          <cell r="L29">
            <v>0.15447</v>
          </cell>
        </row>
        <row r="30">
          <cell r="L30">
            <v>0.16275899999999999</v>
          </cell>
        </row>
        <row r="31">
          <cell r="L31">
            <v>0.16217799999999999</v>
          </cell>
        </row>
        <row r="32">
          <cell r="L32">
            <v>0.15725700000000001</v>
          </cell>
        </row>
        <row r="33">
          <cell r="L33">
            <v>0.102371</v>
          </cell>
        </row>
        <row r="34">
          <cell r="L34">
            <v>9.4192999999999999E-2</v>
          </cell>
        </row>
        <row r="35">
          <cell r="L35">
            <v>0.11520900000000001</v>
          </cell>
        </row>
        <row r="36">
          <cell r="L36">
            <v>0.14060300000000001</v>
          </cell>
        </row>
        <row r="37">
          <cell r="L37">
            <v>0.14131199999999999</v>
          </cell>
        </row>
        <row r="38">
          <cell r="L38">
            <v>0.13744000000000001</v>
          </cell>
        </row>
        <row r="39">
          <cell r="L39">
            <v>0.17574799999999999</v>
          </cell>
        </row>
        <row r="40">
          <cell r="L40">
            <v>0.16955200000000001</v>
          </cell>
        </row>
        <row r="41">
          <cell r="L41">
            <v>0.16591500000000001</v>
          </cell>
        </row>
        <row r="42">
          <cell r="L42">
            <v>0.18726599999999999</v>
          </cell>
        </row>
        <row r="43">
          <cell r="L43">
            <v>0.16189799999999999</v>
          </cell>
        </row>
        <row r="44">
          <cell r="L44">
            <v>0.19792499999999999</v>
          </cell>
        </row>
        <row r="45">
          <cell r="L45">
            <v>0.19672400000000001</v>
          </cell>
        </row>
        <row r="46">
          <cell r="L46">
            <v>0.21042</v>
          </cell>
        </row>
        <row r="47">
          <cell r="L47">
            <v>0.20166600000000001</v>
          </cell>
        </row>
        <row r="48">
          <cell r="L48">
            <v>0.23511499999999999</v>
          </cell>
        </row>
        <row r="49">
          <cell r="L49">
            <v>0.23379900000000001</v>
          </cell>
        </row>
        <row r="50">
          <cell r="L50">
            <v>0.217142</v>
          </cell>
        </row>
        <row r="51">
          <cell r="L51">
            <v>0.22751199999999999</v>
          </cell>
        </row>
        <row r="52">
          <cell r="L52">
            <v>0.22461600000000001</v>
          </cell>
        </row>
        <row r="53">
          <cell r="L53">
            <v>0.231434</v>
          </cell>
        </row>
        <row r="54">
          <cell r="L54">
            <v>0.25945099999999999</v>
          </cell>
        </row>
        <row r="55">
          <cell r="L55">
            <v>0.26246900000000001</v>
          </cell>
        </row>
        <row r="56">
          <cell r="L56">
            <v>0.281024</v>
          </cell>
        </row>
        <row r="57">
          <cell r="L57">
            <v>0.25681199999999998</v>
          </cell>
        </row>
        <row r="58">
          <cell r="L58">
            <v>0.256911</v>
          </cell>
        </row>
        <row r="59">
          <cell r="L59">
            <v>0.26192300000000002</v>
          </cell>
        </row>
        <row r="60">
          <cell r="L60">
            <v>0.26904499999999998</v>
          </cell>
        </row>
        <row r="61">
          <cell r="L61">
            <v>0.26084000000000002</v>
          </cell>
        </row>
        <row r="62">
          <cell r="L62">
            <v>0.26669100000000001</v>
          </cell>
        </row>
        <row r="63">
          <cell r="L63">
            <v>0.279588</v>
          </cell>
        </row>
        <row r="64">
          <cell r="L64">
            <v>0.25278800000000001</v>
          </cell>
        </row>
        <row r="65">
          <cell r="L65">
            <v>0.26114799999999999</v>
          </cell>
        </row>
        <row r="66">
          <cell r="L66">
            <v>0.24807199999999999</v>
          </cell>
        </row>
        <row r="67">
          <cell r="L67">
            <v>0.23726</v>
          </cell>
        </row>
        <row r="68">
          <cell r="L68">
            <v>0.222772</v>
          </cell>
        </row>
        <row r="69">
          <cell r="L69">
            <v>0.21956400000000001</v>
          </cell>
        </row>
        <row r="70">
          <cell r="L70">
            <v>0.22642799999999999</v>
          </cell>
        </row>
        <row r="71">
          <cell r="L71">
            <v>0.21429000000000001</v>
          </cell>
        </row>
        <row r="72">
          <cell r="L72">
            <v>0.218944</v>
          </cell>
        </row>
        <row r="73">
          <cell r="L73">
            <v>0.24976999999999999</v>
          </cell>
        </row>
        <row r="74">
          <cell r="L74">
            <v>0.24946499999999999</v>
          </cell>
        </row>
        <row r="75">
          <cell r="L75">
            <v>0.26156499999999999</v>
          </cell>
        </row>
        <row r="76">
          <cell r="L76">
            <v>0.30465399999999998</v>
          </cell>
        </row>
        <row r="77">
          <cell r="L77">
            <v>0.290493</v>
          </cell>
        </row>
        <row r="78">
          <cell r="L78">
            <v>0.34663100000000002</v>
          </cell>
        </row>
        <row r="79">
          <cell r="L79">
            <v>0.31318299999999999</v>
          </cell>
        </row>
        <row r="80">
          <cell r="L80">
            <v>0.32768900000000001</v>
          </cell>
        </row>
        <row r="81">
          <cell r="L81">
            <v>0.31285499999999999</v>
          </cell>
        </row>
        <row r="82">
          <cell r="L82">
            <v>0.35783599999999999</v>
          </cell>
        </row>
        <row r="83">
          <cell r="L83">
            <v>0.31306800000000001</v>
          </cell>
        </row>
        <row r="84">
          <cell r="L84">
            <v>0.24803</v>
          </cell>
        </row>
        <row r="85">
          <cell r="L85">
            <v>0.26632899999999998</v>
          </cell>
        </row>
        <row r="86">
          <cell r="L86">
            <v>0.26424199999999998</v>
          </cell>
        </row>
        <row r="87">
          <cell r="L87">
            <v>0.27202500000000002</v>
          </cell>
        </row>
        <row r="88">
          <cell r="L88">
            <v>0.29506599999999999</v>
          </cell>
        </row>
        <row r="89">
          <cell r="L89">
            <v>0.29278799999999999</v>
          </cell>
        </row>
        <row r="90">
          <cell r="L90">
            <v>0.29947000000000001</v>
          </cell>
        </row>
        <row r="91">
          <cell r="L91">
            <v>0.320137</v>
          </cell>
        </row>
        <row r="92">
          <cell r="L92">
            <v>0.31867600000000001</v>
          </cell>
        </row>
        <row r="93">
          <cell r="L93">
            <v>0.32064700000000002</v>
          </cell>
        </row>
        <row r="94">
          <cell r="L94">
            <v>0.31371700000000002</v>
          </cell>
        </row>
        <row r="95">
          <cell r="L95">
            <v>0.33371899999999999</v>
          </cell>
        </row>
        <row r="96">
          <cell r="L96">
            <v>0.31866699999999998</v>
          </cell>
        </row>
        <row r="97">
          <cell r="L97">
            <v>0.296292</v>
          </cell>
        </row>
        <row r="98">
          <cell r="L98">
            <v>0.30697200000000002</v>
          </cell>
        </row>
        <row r="99">
          <cell r="L99">
            <v>0.307172</v>
          </cell>
        </row>
        <row r="100">
          <cell r="L100">
            <v>0.28324199999999999</v>
          </cell>
        </row>
        <row r="101">
          <cell r="L101">
            <v>0.31109599999999998</v>
          </cell>
        </row>
        <row r="102">
          <cell r="L102">
            <v>0.31539499999999998</v>
          </cell>
        </row>
      </sheetData>
      <sheetData sheetId="5">
        <row r="2">
          <cell r="AA2">
            <v>0.54</v>
          </cell>
        </row>
        <row r="3">
          <cell r="AA3">
            <v>0.01</v>
          </cell>
        </row>
        <row r="4">
          <cell r="AA4">
            <v>0.17199999999999999</v>
          </cell>
        </row>
      </sheetData>
      <sheetData sheetId="6">
        <row r="2">
          <cell r="L2">
            <v>0</v>
          </cell>
        </row>
        <row r="3">
          <cell r="L3">
            <v>-3.5742999999999997E-2</v>
          </cell>
        </row>
        <row r="4">
          <cell r="L4">
            <v>-3.6517000000000001E-2</v>
          </cell>
          <cell r="O4">
            <v>0</v>
          </cell>
        </row>
        <row r="5">
          <cell r="L5">
            <v>-3.5610000000000003E-2</v>
          </cell>
          <cell r="O5">
            <v>1</v>
          </cell>
        </row>
        <row r="6">
          <cell r="L6">
            <v>-6.6069000000000003E-2</v>
          </cell>
          <cell r="O6">
            <v>-0.99313499999999999</v>
          </cell>
        </row>
        <row r="7">
          <cell r="L7">
            <v>-9.3031000000000003E-2</v>
          </cell>
        </row>
        <row r="8">
          <cell r="L8">
            <v>-9.0167999999999998E-2</v>
          </cell>
        </row>
        <row r="9">
          <cell r="L9">
            <v>-9.3033000000000005E-2</v>
          </cell>
        </row>
        <row r="10">
          <cell r="L10">
            <v>-0.229213</v>
          </cell>
        </row>
        <row r="11">
          <cell r="L11">
            <v>-0.375774</v>
          </cell>
        </row>
        <row r="12">
          <cell r="L12">
            <v>-0.38926300000000003</v>
          </cell>
        </row>
        <row r="13">
          <cell r="L13">
            <v>-0.41871599999999998</v>
          </cell>
        </row>
        <row r="14">
          <cell r="L14">
            <v>-0.44030799999999998</v>
          </cell>
        </row>
        <row r="15">
          <cell r="L15">
            <v>-0.43719200000000003</v>
          </cell>
        </row>
        <row r="16">
          <cell r="L16">
            <v>-0.40747299999999997</v>
          </cell>
        </row>
        <row r="17">
          <cell r="L17">
            <v>-0.53403500000000004</v>
          </cell>
        </row>
        <row r="18">
          <cell r="L18">
            <v>-0.56629600000000002</v>
          </cell>
        </row>
        <row r="19">
          <cell r="L19">
            <v>-0.51652699999999996</v>
          </cell>
        </row>
        <row r="20">
          <cell r="L20">
            <v>-0.63717500000000005</v>
          </cell>
        </row>
        <row r="21">
          <cell r="L21">
            <v>-0.63649900000000004</v>
          </cell>
        </row>
        <row r="22">
          <cell r="L22">
            <v>-0.69530999999999998</v>
          </cell>
        </row>
        <row r="23">
          <cell r="L23">
            <v>-0.66902099999999998</v>
          </cell>
        </row>
        <row r="24">
          <cell r="L24">
            <v>-0.671906</v>
          </cell>
        </row>
        <row r="25">
          <cell r="L25">
            <v>-0.65431499999999998</v>
          </cell>
        </row>
        <row r="26">
          <cell r="L26">
            <v>-0.66707300000000003</v>
          </cell>
        </row>
        <row r="27">
          <cell r="L27">
            <v>-0.68518599999999996</v>
          </cell>
        </row>
        <row r="28">
          <cell r="L28">
            <v>-0.77925999999999995</v>
          </cell>
        </row>
        <row r="29">
          <cell r="L29">
            <v>-0.74458100000000005</v>
          </cell>
        </row>
        <row r="30">
          <cell r="L30">
            <v>-0.74252499999999999</v>
          </cell>
        </row>
        <row r="31">
          <cell r="L31">
            <v>-0.75792899999999996</v>
          </cell>
        </row>
        <row r="32">
          <cell r="L32">
            <v>-0.74533099999999997</v>
          </cell>
        </row>
        <row r="33">
          <cell r="L33">
            <v>-0.67599100000000001</v>
          </cell>
        </row>
        <row r="34">
          <cell r="L34">
            <v>-0.74454900000000002</v>
          </cell>
        </row>
        <row r="35">
          <cell r="L35">
            <v>-0.72584800000000005</v>
          </cell>
        </row>
        <row r="36">
          <cell r="L36">
            <v>-0.67572900000000002</v>
          </cell>
        </row>
        <row r="37">
          <cell r="L37">
            <v>-0.75375700000000001</v>
          </cell>
        </row>
        <row r="38">
          <cell r="L38">
            <v>-0.73709100000000005</v>
          </cell>
        </row>
        <row r="39">
          <cell r="L39">
            <v>-0.740981</v>
          </cell>
        </row>
        <row r="40">
          <cell r="L40">
            <v>-0.73458599999999996</v>
          </cell>
        </row>
        <row r="41">
          <cell r="L41">
            <v>-0.74991099999999999</v>
          </cell>
        </row>
        <row r="42">
          <cell r="L42">
            <v>-0.65158799999999995</v>
          </cell>
        </row>
        <row r="43">
          <cell r="L43">
            <v>-0.69233199999999995</v>
          </cell>
        </row>
        <row r="44">
          <cell r="L44">
            <v>-0.69018999999999997</v>
          </cell>
        </row>
        <row r="45">
          <cell r="L45">
            <v>-0.68428100000000003</v>
          </cell>
        </row>
        <row r="46">
          <cell r="L46">
            <v>-0.67638799999999999</v>
          </cell>
        </row>
        <row r="47">
          <cell r="L47">
            <v>-0.56136600000000003</v>
          </cell>
        </row>
        <row r="48">
          <cell r="L48">
            <v>-0.70076499999999997</v>
          </cell>
        </row>
        <row r="49">
          <cell r="L49">
            <v>-0.67334799999999995</v>
          </cell>
        </row>
        <row r="50">
          <cell r="L50">
            <v>-0.72922200000000004</v>
          </cell>
        </row>
        <row r="51">
          <cell r="L51">
            <v>-0.72593399999999997</v>
          </cell>
        </row>
        <row r="52">
          <cell r="L52">
            <v>-0.73410699999999995</v>
          </cell>
        </row>
        <row r="53">
          <cell r="L53">
            <v>-0.76406300000000005</v>
          </cell>
        </row>
        <row r="54">
          <cell r="L54">
            <v>-0.80518299999999998</v>
          </cell>
        </row>
        <row r="55">
          <cell r="L55">
            <v>-0.812778</v>
          </cell>
        </row>
        <row r="56">
          <cell r="L56">
            <v>-0.78176999999999996</v>
          </cell>
        </row>
        <row r="57">
          <cell r="L57">
            <v>-0.78803000000000001</v>
          </cell>
        </row>
        <row r="58">
          <cell r="L58">
            <v>-0.79314300000000004</v>
          </cell>
        </row>
        <row r="59">
          <cell r="L59">
            <v>-0.74442399999999997</v>
          </cell>
        </row>
        <row r="60">
          <cell r="L60">
            <v>-0.68318699999999999</v>
          </cell>
        </row>
        <row r="61">
          <cell r="L61">
            <v>-0.89179399999999998</v>
          </cell>
        </row>
        <row r="62">
          <cell r="L62">
            <v>-0.99313499999999999</v>
          </cell>
        </row>
      </sheetData>
      <sheetData sheetId="7">
        <row r="2">
          <cell r="AA2">
            <v>1</v>
          </cell>
        </row>
        <row r="3">
          <cell r="AA3">
            <v>0.73333300000000001</v>
          </cell>
        </row>
        <row r="4">
          <cell r="AA4">
            <v>0.93166700000000002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1.2999999999999999E-3</v>
          </cell>
        </row>
        <row r="4">
          <cell r="L4">
            <v>1.7861999999999999E-2</v>
          </cell>
          <cell r="O4">
            <v>100</v>
          </cell>
        </row>
        <row r="5">
          <cell r="L5">
            <v>3.6545000000000001E-2</v>
          </cell>
          <cell r="O5">
            <v>0</v>
          </cell>
        </row>
        <row r="6">
          <cell r="L6">
            <v>4.1394E-2</v>
          </cell>
          <cell r="O6">
            <v>1.3069539999999999</v>
          </cell>
        </row>
        <row r="7">
          <cell r="L7">
            <v>5.3619E-2</v>
          </cell>
        </row>
        <row r="8">
          <cell r="L8">
            <v>7.4298000000000003E-2</v>
          </cell>
        </row>
        <row r="9">
          <cell r="L9">
            <v>8.4338999999999997E-2</v>
          </cell>
        </row>
        <row r="10">
          <cell r="L10">
            <v>9.3510999999999997E-2</v>
          </cell>
        </row>
        <row r="11">
          <cell r="L11">
            <v>0.118896</v>
          </cell>
        </row>
        <row r="12">
          <cell r="L12">
            <v>0.168042</v>
          </cell>
        </row>
        <row r="13">
          <cell r="L13">
            <v>0.19702800000000001</v>
          </cell>
        </row>
        <row r="14">
          <cell r="L14">
            <v>0.21482899999999999</v>
          </cell>
        </row>
        <row r="15">
          <cell r="L15">
            <v>0.216721</v>
          </cell>
        </row>
        <row r="16">
          <cell r="L16">
            <v>0.21363399999999999</v>
          </cell>
        </row>
        <row r="17">
          <cell r="L17">
            <v>0.25921300000000003</v>
          </cell>
        </row>
        <row r="18">
          <cell r="L18">
            <v>0.27286300000000002</v>
          </cell>
        </row>
        <row r="19">
          <cell r="L19">
            <v>0.28747400000000001</v>
          </cell>
        </row>
        <row r="20">
          <cell r="L20">
            <v>0.31177300000000002</v>
          </cell>
        </row>
        <row r="21">
          <cell r="L21">
            <v>0.29654700000000001</v>
          </cell>
        </row>
        <row r="22">
          <cell r="L22">
            <v>0.31215399999999999</v>
          </cell>
        </row>
        <row r="23">
          <cell r="L23">
            <v>0.32787699999999997</v>
          </cell>
        </row>
        <row r="24">
          <cell r="L24">
            <v>0.33074399999999998</v>
          </cell>
        </row>
        <row r="25">
          <cell r="L25">
            <v>0.315635</v>
          </cell>
        </row>
        <row r="26">
          <cell r="L26">
            <v>0.341254</v>
          </cell>
        </row>
        <row r="27">
          <cell r="L27">
            <v>0.34993200000000002</v>
          </cell>
        </row>
        <row r="28">
          <cell r="L28">
            <v>0.35405900000000001</v>
          </cell>
        </row>
        <row r="29">
          <cell r="L29">
            <v>0.35752800000000001</v>
          </cell>
        </row>
        <row r="30">
          <cell r="L30">
            <v>0.36385099999999998</v>
          </cell>
        </row>
        <row r="31">
          <cell r="L31">
            <v>0.36457699999999998</v>
          </cell>
        </row>
        <row r="32">
          <cell r="L32">
            <v>0.37606000000000001</v>
          </cell>
        </row>
        <row r="33">
          <cell r="L33">
            <v>0.352601</v>
          </cell>
        </row>
        <row r="34">
          <cell r="L34">
            <v>0.345086</v>
          </cell>
        </row>
        <row r="35">
          <cell r="L35">
            <v>0.366595</v>
          </cell>
        </row>
        <row r="36">
          <cell r="L36">
            <v>0.374612</v>
          </cell>
        </row>
        <row r="37">
          <cell r="L37">
            <v>0.38144400000000001</v>
          </cell>
        </row>
        <row r="38">
          <cell r="L38">
            <v>0.39633800000000002</v>
          </cell>
        </row>
        <row r="39">
          <cell r="L39">
            <v>0.41723900000000003</v>
          </cell>
        </row>
        <row r="40">
          <cell r="L40">
            <v>0.41755100000000001</v>
          </cell>
        </row>
        <row r="41">
          <cell r="L41">
            <v>0.43421399999999999</v>
          </cell>
        </row>
        <row r="42">
          <cell r="L42">
            <v>0.443824</v>
          </cell>
        </row>
        <row r="43">
          <cell r="L43">
            <v>0.40820499999999998</v>
          </cell>
        </row>
        <row r="44">
          <cell r="L44">
            <v>0.47606999999999999</v>
          </cell>
        </row>
        <row r="45">
          <cell r="L45">
            <v>0.480966</v>
          </cell>
        </row>
        <row r="46">
          <cell r="L46">
            <v>0.50361400000000001</v>
          </cell>
        </row>
        <row r="47">
          <cell r="L47">
            <v>0.51778100000000005</v>
          </cell>
        </row>
        <row r="48">
          <cell r="L48">
            <v>0.56340400000000002</v>
          </cell>
        </row>
        <row r="49">
          <cell r="L49">
            <v>0.58577199999999996</v>
          </cell>
        </row>
        <row r="50">
          <cell r="L50">
            <v>0.58353500000000003</v>
          </cell>
        </row>
        <row r="51">
          <cell r="L51">
            <v>0.60538199999999998</v>
          </cell>
        </row>
        <row r="52">
          <cell r="L52">
            <v>0.60888299999999995</v>
          </cell>
        </row>
        <row r="53">
          <cell r="L53">
            <v>0.638069</v>
          </cell>
        </row>
        <row r="54">
          <cell r="L54">
            <v>0.64066999999999996</v>
          </cell>
        </row>
        <row r="55">
          <cell r="L55">
            <v>0.66317099999999995</v>
          </cell>
        </row>
        <row r="56">
          <cell r="L56">
            <v>0.65205800000000003</v>
          </cell>
        </row>
        <row r="57">
          <cell r="L57">
            <v>0.62432100000000001</v>
          </cell>
        </row>
        <row r="58">
          <cell r="L58">
            <v>0.661304</v>
          </cell>
        </row>
        <row r="59">
          <cell r="L59">
            <v>0.65380799999999994</v>
          </cell>
        </row>
        <row r="60">
          <cell r="L60">
            <v>0.65815199999999996</v>
          </cell>
        </row>
        <row r="61">
          <cell r="L61">
            <v>0.67523699999999998</v>
          </cell>
        </row>
        <row r="62">
          <cell r="L62">
            <v>0.68589999999999995</v>
          </cell>
        </row>
        <row r="63">
          <cell r="L63">
            <v>0.69743999999999995</v>
          </cell>
        </row>
        <row r="64">
          <cell r="L64">
            <v>0.68647199999999997</v>
          </cell>
        </row>
        <row r="65">
          <cell r="L65">
            <v>0.70979199999999998</v>
          </cell>
        </row>
        <row r="66">
          <cell r="L66">
            <v>0.74799400000000005</v>
          </cell>
        </row>
        <row r="67">
          <cell r="L67">
            <v>0.75378500000000004</v>
          </cell>
        </row>
        <row r="68">
          <cell r="L68">
            <v>0.77113900000000002</v>
          </cell>
        </row>
        <row r="69">
          <cell r="L69">
            <v>0.75939699999999999</v>
          </cell>
        </row>
        <row r="70">
          <cell r="L70">
            <v>0.82634600000000002</v>
          </cell>
        </row>
        <row r="71">
          <cell r="L71">
            <v>0.83801899999999996</v>
          </cell>
        </row>
        <row r="72">
          <cell r="L72">
            <v>0.84015200000000001</v>
          </cell>
        </row>
        <row r="73">
          <cell r="L73">
            <v>0.86736000000000002</v>
          </cell>
        </row>
        <row r="74">
          <cell r="L74">
            <v>0.83855800000000003</v>
          </cell>
        </row>
        <row r="75">
          <cell r="L75">
            <v>0.87936300000000001</v>
          </cell>
        </row>
        <row r="76">
          <cell r="L76">
            <v>0.85550499999999996</v>
          </cell>
        </row>
        <row r="77">
          <cell r="L77">
            <v>0.84628000000000003</v>
          </cell>
        </row>
        <row r="78">
          <cell r="L78">
            <v>0.88335600000000003</v>
          </cell>
        </row>
        <row r="79">
          <cell r="L79">
            <v>0.87870099999999995</v>
          </cell>
        </row>
        <row r="80">
          <cell r="L80">
            <v>0.90763400000000005</v>
          </cell>
        </row>
        <row r="81">
          <cell r="L81">
            <v>1.029258</v>
          </cell>
        </row>
        <row r="82">
          <cell r="L82">
            <v>1.0982879999999999</v>
          </cell>
        </row>
        <row r="83">
          <cell r="L83">
            <v>1.0462830000000001</v>
          </cell>
        </row>
        <row r="84">
          <cell r="L84">
            <v>1.078668</v>
          </cell>
        </row>
        <row r="85">
          <cell r="L85">
            <v>1.1256379999999999</v>
          </cell>
        </row>
        <row r="86">
          <cell r="L86">
            <v>1.1223460000000001</v>
          </cell>
        </row>
        <row r="87">
          <cell r="L87">
            <v>1.1181749999999999</v>
          </cell>
        </row>
        <row r="88">
          <cell r="L88">
            <v>1.185792</v>
          </cell>
        </row>
        <row r="89">
          <cell r="L89">
            <v>1.190985</v>
          </cell>
        </row>
        <row r="90">
          <cell r="L90">
            <v>1.199314</v>
          </cell>
        </row>
        <row r="91">
          <cell r="L91">
            <v>1.254966</v>
          </cell>
        </row>
        <row r="92">
          <cell r="L92">
            <v>1.264176</v>
          </cell>
        </row>
        <row r="93">
          <cell r="L93">
            <v>1.2685839999999999</v>
          </cell>
        </row>
        <row r="94">
          <cell r="L94">
            <v>1.2471410000000001</v>
          </cell>
        </row>
        <row r="95">
          <cell r="L95">
            <v>1.278173</v>
          </cell>
        </row>
        <row r="96">
          <cell r="L96">
            <v>1.2845089999999999</v>
          </cell>
        </row>
        <row r="97">
          <cell r="L97">
            <v>1.2380789999999999</v>
          </cell>
        </row>
        <row r="98">
          <cell r="L98">
            <v>1.2845200000000001</v>
          </cell>
        </row>
        <row r="99">
          <cell r="L99">
            <v>1.305212</v>
          </cell>
        </row>
        <row r="100">
          <cell r="L100">
            <v>1.285293</v>
          </cell>
        </row>
        <row r="101">
          <cell r="L101">
            <v>1.3013319999999999</v>
          </cell>
        </row>
        <row r="102">
          <cell r="L102">
            <v>1.3069539999999999</v>
          </cell>
        </row>
      </sheetData>
      <sheetData sheetId="1">
        <row r="2">
          <cell r="AA2">
            <v>0.05</v>
          </cell>
        </row>
        <row r="3">
          <cell r="AA3">
            <v>0</v>
          </cell>
        </row>
        <row r="4">
          <cell r="AA4">
            <v>1.1332999999999999E-2</v>
          </cell>
        </row>
      </sheetData>
      <sheetData sheetId="2">
        <row r="2">
          <cell r="L2">
            <v>0</v>
          </cell>
        </row>
        <row r="3">
          <cell r="L3">
            <v>-6.1570000000000001E-3</v>
          </cell>
        </row>
        <row r="4">
          <cell r="L4">
            <v>3.0920000000000001E-3</v>
          </cell>
          <cell r="O4">
            <v>57</v>
          </cell>
        </row>
        <row r="5">
          <cell r="L5">
            <v>1.0579E-2</v>
          </cell>
          <cell r="O5">
            <v>0.05</v>
          </cell>
        </row>
        <row r="6">
          <cell r="L6">
            <v>-1.1269E-2</v>
          </cell>
          <cell r="O6">
            <v>1.119977</v>
          </cell>
        </row>
        <row r="7">
          <cell r="L7">
            <v>-7.3530000000000002E-3</v>
          </cell>
        </row>
        <row r="8">
          <cell r="L8">
            <v>2.4810000000000001E-3</v>
          </cell>
        </row>
        <row r="9">
          <cell r="L9">
            <v>1.9552E-2</v>
          </cell>
        </row>
        <row r="10">
          <cell r="L10">
            <v>7.7883999999999995E-2</v>
          </cell>
        </row>
        <row r="11">
          <cell r="L11">
            <v>0.12790799999999999</v>
          </cell>
        </row>
        <row r="12">
          <cell r="L12">
            <v>0.13774</v>
          </cell>
        </row>
        <row r="13">
          <cell r="L13">
            <v>0.14286499999999999</v>
          </cell>
        </row>
        <row r="14">
          <cell r="L14">
            <v>0.16042400000000001</v>
          </cell>
        </row>
        <row r="15">
          <cell r="L15">
            <v>0.17180000000000001</v>
          </cell>
        </row>
        <row r="16">
          <cell r="L16">
            <v>0.17519599999999999</v>
          </cell>
        </row>
        <row r="17">
          <cell r="L17">
            <v>0.28787699999999999</v>
          </cell>
        </row>
        <row r="18">
          <cell r="L18">
            <v>0.26991599999999999</v>
          </cell>
        </row>
        <row r="19">
          <cell r="L19">
            <v>0.34790500000000002</v>
          </cell>
        </row>
        <row r="20">
          <cell r="L20">
            <v>0.32756400000000002</v>
          </cell>
        </row>
        <row r="21">
          <cell r="L21">
            <v>0.35802299999999998</v>
          </cell>
        </row>
        <row r="22">
          <cell r="L22">
            <v>0.33242500000000003</v>
          </cell>
        </row>
        <row r="23">
          <cell r="L23">
            <v>0.340922</v>
          </cell>
        </row>
        <row r="24">
          <cell r="L24">
            <v>0.35723700000000003</v>
          </cell>
        </row>
        <row r="25">
          <cell r="L25">
            <v>0.41069099999999997</v>
          </cell>
        </row>
        <row r="26">
          <cell r="L26">
            <v>0.45185199999999998</v>
          </cell>
        </row>
        <row r="27">
          <cell r="L27">
            <v>0.46683400000000003</v>
          </cell>
        </row>
        <row r="28">
          <cell r="L28">
            <v>0.481651</v>
          </cell>
        </row>
        <row r="29">
          <cell r="L29">
            <v>0.50904000000000005</v>
          </cell>
        </row>
        <row r="30">
          <cell r="L30">
            <v>0.53665300000000005</v>
          </cell>
        </row>
        <row r="31">
          <cell r="L31">
            <v>0.557473</v>
          </cell>
        </row>
        <row r="32">
          <cell r="L32">
            <v>0.54399399999999998</v>
          </cell>
        </row>
        <row r="33">
          <cell r="L33">
            <v>0.55725100000000005</v>
          </cell>
        </row>
        <row r="34">
          <cell r="L34">
            <v>0.56097300000000005</v>
          </cell>
        </row>
        <row r="35">
          <cell r="L35">
            <v>0.57628599999999996</v>
          </cell>
        </row>
        <row r="36">
          <cell r="L36">
            <v>0.54824899999999999</v>
          </cell>
        </row>
        <row r="37">
          <cell r="L37">
            <v>0.68755699999999997</v>
          </cell>
        </row>
        <row r="38">
          <cell r="L38">
            <v>0.71747399999999995</v>
          </cell>
        </row>
        <row r="39">
          <cell r="L39">
            <v>0.71736999999999995</v>
          </cell>
        </row>
        <row r="40">
          <cell r="L40">
            <v>0.71474199999999999</v>
          </cell>
        </row>
        <row r="41">
          <cell r="L41">
            <v>0.74733499999999997</v>
          </cell>
        </row>
        <row r="42">
          <cell r="L42">
            <v>0.73839100000000002</v>
          </cell>
        </row>
        <row r="43">
          <cell r="L43">
            <v>0.73446</v>
          </cell>
        </row>
        <row r="44">
          <cell r="L44">
            <v>0.76030900000000001</v>
          </cell>
        </row>
        <row r="45">
          <cell r="L45">
            <v>0.77512700000000001</v>
          </cell>
        </row>
        <row r="46">
          <cell r="L46">
            <v>0.79603699999999999</v>
          </cell>
        </row>
        <row r="47">
          <cell r="L47">
            <v>0.80712499999999998</v>
          </cell>
        </row>
        <row r="48">
          <cell r="L48">
            <v>0.82908400000000004</v>
          </cell>
        </row>
        <row r="49">
          <cell r="L49">
            <v>0.79893099999999995</v>
          </cell>
        </row>
        <row r="50">
          <cell r="L50">
            <v>0.86838099999999996</v>
          </cell>
        </row>
        <row r="51">
          <cell r="L51">
            <v>0.88370199999999999</v>
          </cell>
        </row>
        <row r="52">
          <cell r="L52">
            <v>0.89392400000000005</v>
          </cell>
        </row>
        <row r="53">
          <cell r="L53">
            <v>0.91212300000000002</v>
          </cell>
        </row>
        <row r="54">
          <cell r="L54">
            <v>0.95340400000000003</v>
          </cell>
        </row>
        <row r="55">
          <cell r="L55">
            <v>0.93381099999999995</v>
          </cell>
        </row>
        <row r="56">
          <cell r="L56">
            <v>0.95335700000000001</v>
          </cell>
        </row>
        <row r="57">
          <cell r="L57">
            <v>0.96443400000000001</v>
          </cell>
        </row>
        <row r="58">
          <cell r="L58">
            <v>0.99826300000000001</v>
          </cell>
        </row>
        <row r="59">
          <cell r="L59">
            <v>0.97514800000000001</v>
          </cell>
        </row>
        <row r="60">
          <cell r="L60">
            <v>1.0222329999999999</v>
          </cell>
        </row>
        <row r="61">
          <cell r="L61">
            <v>0.97769399999999995</v>
          </cell>
        </row>
        <row r="62">
          <cell r="L62">
            <v>1.119977</v>
          </cell>
        </row>
      </sheetData>
      <sheetData sheetId="3">
        <row r="2">
          <cell r="AA2">
            <v>8.3333000000000004E-2</v>
          </cell>
        </row>
        <row r="3">
          <cell r="AA3">
            <v>0</v>
          </cell>
        </row>
        <row r="4">
          <cell r="AA4">
            <v>1.3332999999999999E-2</v>
          </cell>
        </row>
      </sheetData>
      <sheetData sheetId="4">
        <row r="2">
          <cell r="L2">
            <v>0</v>
          </cell>
        </row>
        <row r="3">
          <cell r="L3">
            <v>-6.8170000000000001E-3</v>
          </cell>
        </row>
        <row r="4">
          <cell r="L4">
            <v>2.9910000000000002E-3</v>
          </cell>
          <cell r="O4">
            <v>41</v>
          </cell>
        </row>
        <row r="5">
          <cell r="L5">
            <v>6.6649999999999999E-3</v>
          </cell>
          <cell r="O5">
            <v>0.59</v>
          </cell>
        </row>
        <row r="6">
          <cell r="L6">
            <v>2.8830000000000001E-3</v>
          </cell>
          <cell r="O6">
            <v>0.121992</v>
          </cell>
        </row>
        <row r="7">
          <cell r="L7">
            <v>-4.0169999999999997E-3</v>
          </cell>
        </row>
        <row r="8">
          <cell r="L8">
            <v>-1.6469000000000001E-2</v>
          </cell>
        </row>
        <row r="9">
          <cell r="L9">
            <v>-2.3019999999999999E-2</v>
          </cell>
        </row>
        <row r="10">
          <cell r="L10">
            <v>-1.2205000000000001E-2</v>
          </cell>
        </row>
        <row r="11">
          <cell r="L11">
            <v>7.7949999999999998E-3</v>
          </cell>
        </row>
        <row r="12">
          <cell r="L12">
            <v>-3.5861999999999998E-2</v>
          </cell>
        </row>
        <row r="13">
          <cell r="L13">
            <v>1.9687E-2</v>
          </cell>
        </row>
        <row r="14">
          <cell r="L14">
            <v>2.7882000000000001E-2</v>
          </cell>
        </row>
        <row r="15">
          <cell r="L15">
            <v>3.0356999999999999E-2</v>
          </cell>
        </row>
        <row r="16">
          <cell r="L16">
            <v>5.4704000000000003E-2</v>
          </cell>
        </row>
        <row r="17">
          <cell r="L17">
            <v>4.8396000000000002E-2</v>
          </cell>
        </row>
        <row r="18">
          <cell r="L18">
            <v>3.8089999999999999E-3</v>
          </cell>
        </row>
        <row r="19">
          <cell r="L19">
            <v>1.8338E-2</v>
          </cell>
        </row>
        <row r="20">
          <cell r="L20">
            <v>1.6367E-2</v>
          </cell>
        </row>
        <row r="21">
          <cell r="L21">
            <v>2.7439999999999999E-2</v>
          </cell>
        </row>
        <row r="22">
          <cell r="L22">
            <v>4.4539999999999996E-3</v>
          </cell>
        </row>
        <row r="23">
          <cell r="L23">
            <v>4.5259999999999996E-3</v>
          </cell>
        </row>
        <row r="24">
          <cell r="L24">
            <v>7.3749999999999996E-3</v>
          </cell>
        </row>
        <row r="25">
          <cell r="L25">
            <v>-1.0619E-2</v>
          </cell>
        </row>
        <row r="26">
          <cell r="L26">
            <v>-4.8939999999999999E-3</v>
          </cell>
        </row>
        <row r="27">
          <cell r="L27">
            <v>-5.6909999999999999E-3</v>
          </cell>
        </row>
        <row r="28">
          <cell r="L28">
            <v>2.3636000000000001E-2</v>
          </cell>
        </row>
        <row r="29">
          <cell r="L29">
            <v>2.4211E-2</v>
          </cell>
        </row>
        <row r="30">
          <cell r="L30">
            <v>2.7629999999999998E-2</v>
          </cell>
        </row>
        <row r="31">
          <cell r="L31">
            <v>3.4876999999999998E-2</v>
          </cell>
        </row>
        <row r="32">
          <cell r="L32">
            <v>3.4750999999999997E-2</v>
          </cell>
        </row>
        <row r="33">
          <cell r="L33">
            <v>-1.5870000000000001E-3</v>
          </cell>
        </row>
        <row r="34">
          <cell r="L34">
            <v>-4.4699999999999997E-2</v>
          </cell>
        </row>
        <row r="35">
          <cell r="L35">
            <v>-4.9112000000000003E-2</v>
          </cell>
        </row>
        <row r="36">
          <cell r="L36">
            <v>-7.2829000000000005E-2</v>
          </cell>
        </row>
        <row r="37">
          <cell r="L37">
            <v>-7.1859999999999993E-2</v>
          </cell>
        </row>
        <row r="38">
          <cell r="L38">
            <v>-6.3815999999999998E-2</v>
          </cell>
        </row>
        <row r="39">
          <cell r="L39">
            <v>-6.8719000000000002E-2</v>
          </cell>
        </row>
        <row r="40">
          <cell r="L40">
            <v>-8.9349999999999999E-2</v>
          </cell>
        </row>
        <row r="41">
          <cell r="L41">
            <v>-7.5131000000000003E-2</v>
          </cell>
        </row>
        <row r="42">
          <cell r="L42">
            <v>-7.0902999999999994E-2</v>
          </cell>
        </row>
        <row r="43">
          <cell r="L43">
            <v>-0.20181499999999999</v>
          </cell>
        </row>
        <row r="44">
          <cell r="L44">
            <v>-0.26454699999999998</v>
          </cell>
        </row>
        <row r="45">
          <cell r="L45">
            <v>-0.26226300000000002</v>
          </cell>
        </row>
        <row r="46">
          <cell r="L46">
            <v>-0.25570399999999999</v>
          </cell>
        </row>
        <row r="47">
          <cell r="L47">
            <v>-0.27073000000000003</v>
          </cell>
        </row>
        <row r="48">
          <cell r="L48">
            <v>-0.26675399999999999</v>
          </cell>
        </row>
        <row r="49">
          <cell r="L49">
            <v>-0.27897899999999998</v>
          </cell>
        </row>
        <row r="50">
          <cell r="L50">
            <v>-0.25346600000000002</v>
          </cell>
        </row>
        <row r="51">
          <cell r="L51">
            <v>-0.25124999999999997</v>
          </cell>
        </row>
        <row r="52">
          <cell r="L52">
            <v>-0.24124699999999999</v>
          </cell>
        </row>
        <row r="53">
          <cell r="L53">
            <v>-0.215699</v>
          </cell>
        </row>
        <row r="54">
          <cell r="L54">
            <v>-0.24201</v>
          </cell>
        </row>
        <row r="55">
          <cell r="L55">
            <v>-5.7778999999999997E-2</v>
          </cell>
        </row>
        <row r="56">
          <cell r="L56">
            <v>-5.6278000000000002E-2</v>
          </cell>
        </row>
        <row r="57">
          <cell r="L57">
            <v>-6.5936999999999996E-2</v>
          </cell>
        </row>
        <row r="58">
          <cell r="L58">
            <v>-7.0968000000000003E-2</v>
          </cell>
        </row>
        <row r="59">
          <cell r="L59">
            <v>-0.109407</v>
          </cell>
        </row>
        <row r="60">
          <cell r="L60">
            <v>-0.116699</v>
          </cell>
        </row>
        <row r="61">
          <cell r="L61">
            <v>-0.104408</v>
          </cell>
        </row>
        <row r="62">
          <cell r="L62">
            <v>-9.9557000000000007E-2</v>
          </cell>
        </row>
        <row r="63">
          <cell r="L63">
            <v>-0.10467600000000001</v>
          </cell>
        </row>
        <row r="64">
          <cell r="L64">
            <v>-9.4699000000000005E-2</v>
          </cell>
        </row>
        <row r="65">
          <cell r="L65">
            <v>-8.8870000000000005E-2</v>
          </cell>
        </row>
        <row r="66">
          <cell r="L66">
            <v>-6.1566000000000003E-2</v>
          </cell>
        </row>
        <row r="67">
          <cell r="L67">
            <v>-5.6131E-2</v>
          </cell>
        </row>
        <row r="68">
          <cell r="L68">
            <v>-4.6399999999999997E-2</v>
          </cell>
        </row>
        <row r="69">
          <cell r="L69">
            <v>-4.8715000000000001E-2</v>
          </cell>
        </row>
        <row r="70">
          <cell r="L70">
            <v>-4.4338000000000002E-2</v>
          </cell>
        </row>
        <row r="71">
          <cell r="L71">
            <v>-3.8134000000000001E-2</v>
          </cell>
        </row>
        <row r="72">
          <cell r="L72">
            <v>-3.7393999999999997E-2</v>
          </cell>
        </row>
        <row r="73">
          <cell r="L73">
            <v>-2.4986999999999999E-2</v>
          </cell>
        </row>
        <row r="74">
          <cell r="L74">
            <v>-1.603E-3</v>
          </cell>
        </row>
        <row r="75">
          <cell r="L75">
            <v>8.3619999999999996E-3</v>
          </cell>
        </row>
        <row r="76">
          <cell r="L76">
            <v>-3.4422000000000001E-2</v>
          </cell>
        </row>
        <row r="77">
          <cell r="L77">
            <v>-7.1305999999999994E-2</v>
          </cell>
        </row>
        <row r="78">
          <cell r="L78">
            <v>-3.9874E-2</v>
          </cell>
        </row>
        <row r="79">
          <cell r="L79">
            <v>-3.2035000000000001E-2</v>
          </cell>
        </row>
        <row r="80">
          <cell r="L80">
            <v>-2.6530999999999999E-2</v>
          </cell>
        </row>
        <row r="81">
          <cell r="L81">
            <v>1.1174E-2</v>
          </cell>
        </row>
        <row r="82">
          <cell r="L82">
            <v>2.0074999999999999E-2</v>
          </cell>
        </row>
        <row r="83">
          <cell r="L83">
            <v>1.3129999999999999E-2</v>
          </cell>
        </row>
        <row r="84">
          <cell r="L84">
            <v>-2.7269999999999998E-3</v>
          </cell>
        </row>
        <row r="85">
          <cell r="L85">
            <v>-1.993E-3</v>
          </cell>
        </row>
        <row r="86">
          <cell r="L86">
            <v>1.8240000000000001E-3</v>
          </cell>
        </row>
        <row r="87">
          <cell r="L87">
            <v>-4.37E-4</v>
          </cell>
        </row>
        <row r="88">
          <cell r="L88">
            <v>1.0005999999999999E-2</v>
          </cell>
        </row>
        <row r="89">
          <cell r="L89">
            <v>2.5031999999999999E-2</v>
          </cell>
        </row>
        <row r="90">
          <cell r="L90">
            <v>2.5543E-2</v>
          </cell>
        </row>
        <row r="91">
          <cell r="L91">
            <v>2.8482E-2</v>
          </cell>
        </row>
        <row r="92">
          <cell r="L92">
            <v>0.106184</v>
          </cell>
        </row>
        <row r="93">
          <cell r="L93">
            <v>0.115507</v>
          </cell>
        </row>
        <row r="94">
          <cell r="L94">
            <v>0.12303699999999999</v>
          </cell>
        </row>
        <row r="95">
          <cell r="L95">
            <v>0.111549</v>
          </cell>
        </row>
        <row r="96">
          <cell r="L96">
            <v>0.107373</v>
          </cell>
        </row>
        <row r="97">
          <cell r="L97">
            <v>0.109365</v>
          </cell>
        </row>
        <row r="98">
          <cell r="L98">
            <v>0.11734899999999999</v>
          </cell>
        </row>
        <row r="99">
          <cell r="L99">
            <v>0.12388200000000001</v>
          </cell>
        </row>
        <row r="100">
          <cell r="L100">
            <v>0.12986700000000001</v>
          </cell>
        </row>
        <row r="101">
          <cell r="L101">
            <v>0.12961500000000001</v>
          </cell>
        </row>
        <row r="102">
          <cell r="L102">
            <v>0.121992</v>
          </cell>
        </row>
      </sheetData>
      <sheetData sheetId="5">
        <row r="2">
          <cell r="AA2">
            <v>0.9</v>
          </cell>
        </row>
        <row r="3">
          <cell r="AA3">
            <v>0</v>
          </cell>
        </row>
        <row r="4">
          <cell r="AA4">
            <v>0.48066700000000001</v>
          </cell>
        </row>
      </sheetData>
      <sheetData sheetId="6">
        <row r="2">
          <cell r="L2">
            <v>0</v>
          </cell>
        </row>
        <row r="3">
          <cell r="L3">
            <v>-0.21580099999999999</v>
          </cell>
        </row>
        <row r="4">
          <cell r="L4">
            <v>-0.36114600000000002</v>
          </cell>
          <cell r="O4">
            <v>28</v>
          </cell>
        </row>
        <row r="5">
          <cell r="L5">
            <v>-0.35297200000000001</v>
          </cell>
          <cell r="O5">
            <v>0.53333299999999995</v>
          </cell>
        </row>
        <row r="6">
          <cell r="L6">
            <v>-0.35585</v>
          </cell>
          <cell r="O6">
            <v>1.2594730000000001</v>
          </cell>
        </row>
        <row r="7">
          <cell r="L7">
            <v>-0.34027299999999999</v>
          </cell>
        </row>
        <row r="8">
          <cell r="L8">
            <v>-0.40299800000000002</v>
          </cell>
        </row>
        <row r="9">
          <cell r="L9">
            <v>-0.40076699999999998</v>
          </cell>
        </row>
        <row r="10">
          <cell r="L10">
            <v>-0.33114900000000003</v>
          </cell>
        </row>
        <row r="11">
          <cell r="L11">
            <v>-0.41089999999999999</v>
          </cell>
        </row>
        <row r="12">
          <cell r="L12">
            <v>-0.432863</v>
          </cell>
        </row>
        <row r="13">
          <cell r="L13">
            <v>-0.44192300000000001</v>
          </cell>
        </row>
        <row r="14">
          <cell r="L14">
            <v>-0.49160599999999999</v>
          </cell>
        </row>
        <row r="15">
          <cell r="L15">
            <v>-0.50979300000000005</v>
          </cell>
        </row>
        <row r="16">
          <cell r="L16">
            <v>-0.45910099999999998</v>
          </cell>
        </row>
        <row r="17">
          <cell r="L17">
            <v>-0.49409399999999998</v>
          </cell>
        </row>
        <row r="18">
          <cell r="L18">
            <v>-0.59119500000000003</v>
          </cell>
        </row>
        <row r="19">
          <cell r="L19">
            <v>-0.57900200000000002</v>
          </cell>
        </row>
        <row r="20">
          <cell r="L20">
            <v>-0.64296699999999996</v>
          </cell>
        </row>
        <row r="21">
          <cell r="L21">
            <v>-0.65531300000000003</v>
          </cell>
        </row>
        <row r="22">
          <cell r="L22">
            <v>-0.63158700000000001</v>
          </cell>
        </row>
        <row r="23">
          <cell r="L23">
            <v>-0.64488400000000001</v>
          </cell>
        </row>
        <row r="24">
          <cell r="L24">
            <v>-0.64609799999999995</v>
          </cell>
        </row>
        <row r="25">
          <cell r="L25">
            <v>-0.63231700000000002</v>
          </cell>
        </row>
        <row r="26">
          <cell r="L26">
            <v>-0.634548</v>
          </cell>
        </row>
        <row r="27">
          <cell r="L27">
            <v>-0.30829499999999999</v>
          </cell>
        </row>
        <row r="28">
          <cell r="L28">
            <v>-0.35609099999999999</v>
          </cell>
        </row>
        <row r="29">
          <cell r="L29">
            <v>-0.33779500000000001</v>
          </cell>
        </row>
        <row r="30">
          <cell r="L30">
            <v>-0.33414300000000002</v>
          </cell>
        </row>
        <row r="31">
          <cell r="L31">
            <v>-0.32889299999999999</v>
          </cell>
        </row>
        <row r="32">
          <cell r="L32">
            <v>-0.316577</v>
          </cell>
        </row>
        <row r="33">
          <cell r="L33">
            <v>-0.31839499999999998</v>
          </cell>
        </row>
        <row r="34">
          <cell r="L34">
            <v>-0.32315500000000003</v>
          </cell>
        </row>
        <row r="35">
          <cell r="L35">
            <v>0.83131200000000005</v>
          </cell>
        </row>
        <row r="36">
          <cell r="L36">
            <v>0.97699800000000003</v>
          </cell>
        </row>
        <row r="37">
          <cell r="L37">
            <v>0.965364</v>
          </cell>
        </row>
        <row r="38">
          <cell r="L38">
            <v>0.98870000000000002</v>
          </cell>
        </row>
        <row r="39">
          <cell r="L39">
            <v>1.0197350000000001</v>
          </cell>
        </row>
        <row r="40">
          <cell r="L40">
            <v>1.0565880000000001</v>
          </cell>
        </row>
        <row r="41">
          <cell r="L41">
            <v>1.068711</v>
          </cell>
        </row>
        <row r="42">
          <cell r="L42">
            <v>1.113972</v>
          </cell>
        </row>
        <row r="43">
          <cell r="L43">
            <v>1.097078</v>
          </cell>
        </row>
        <row r="44">
          <cell r="L44">
            <v>1.14839</v>
          </cell>
        </row>
        <row r="45">
          <cell r="L45">
            <v>1.18214</v>
          </cell>
        </row>
        <row r="46">
          <cell r="L46">
            <v>1.160833</v>
          </cell>
        </row>
        <row r="47">
          <cell r="L47">
            <v>1.168598</v>
          </cell>
        </row>
        <row r="48">
          <cell r="L48">
            <v>1.1960649999999999</v>
          </cell>
        </row>
        <row r="49">
          <cell r="L49">
            <v>1.129337</v>
          </cell>
        </row>
        <row r="50">
          <cell r="L50">
            <v>1.2255069999999999</v>
          </cell>
        </row>
        <row r="51">
          <cell r="L51">
            <v>1.0521370000000001</v>
          </cell>
        </row>
        <row r="52">
          <cell r="L52">
            <v>1.248299</v>
          </cell>
        </row>
        <row r="53">
          <cell r="L53">
            <v>1.270302</v>
          </cell>
        </row>
        <row r="54">
          <cell r="L54">
            <v>1.2851269999999999</v>
          </cell>
        </row>
        <row r="55">
          <cell r="L55">
            <v>1.328303</v>
          </cell>
        </row>
        <row r="56">
          <cell r="L56">
            <v>1.306505</v>
          </cell>
        </row>
        <row r="57">
          <cell r="L57">
            <v>1.3258779999999999</v>
          </cell>
        </row>
        <row r="58">
          <cell r="L58">
            <v>1.327442</v>
          </cell>
        </row>
        <row r="59">
          <cell r="L59">
            <v>1.2653289999999999</v>
          </cell>
        </row>
        <row r="60">
          <cell r="L60">
            <v>1.338708</v>
          </cell>
        </row>
        <row r="61">
          <cell r="L61">
            <v>1.132333</v>
          </cell>
        </row>
        <row r="62">
          <cell r="L62">
            <v>1.2594730000000001</v>
          </cell>
        </row>
      </sheetData>
      <sheetData sheetId="7">
        <row r="2">
          <cell r="AA2">
            <v>0.98333300000000001</v>
          </cell>
        </row>
        <row r="3">
          <cell r="AA3">
            <v>0</v>
          </cell>
        </row>
        <row r="4">
          <cell r="AA4">
            <v>0.45916699999999999</v>
          </cell>
        </row>
      </sheetData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-6.1009999999999997E-3</v>
          </cell>
        </row>
        <row r="4">
          <cell r="L4">
            <v>1.1514999999999999E-2</v>
          </cell>
          <cell r="O4">
            <v>99</v>
          </cell>
        </row>
        <row r="5">
          <cell r="L5">
            <v>2.9023E-2</v>
          </cell>
          <cell r="O5">
            <v>0.01</v>
          </cell>
        </row>
        <row r="6">
          <cell r="L6">
            <v>3.5629000000000001E-2</v>
          </cell>
          <cell r="O6">
            <v>1.1247419999999999</v>
          </cell>
        </row>
        <row r="7">
          <cell r="L7">
            <v>5.0768000000000001E-2</v>
          </cell>
        </row>
        <row r="8">
          <cell r="L8">
            <v>5.6467000000000003E-2</v>
          </cell>
        </row>
        <row r="9">
          <cell r="L9">
            <v>6.1657999999999998E-2</v>
          </cell>
        </row>
        <row r="10">
          <cell r="L10">
            <v>8.9640999999999998E-2</v>
          </cell>
        </row>
        <row r="11">
          <cell r="L11">
            <v>9.5440999999999998E-2</v>
          </cell>
        </row>
        <row r="12">
          <cell r="L12">
            <v>0.102947</v>
          </cell>
        </row>
        <row r="13">
          <cell r="L13">
            <v>0.124358</v>
          </cell>
        </row>
        <row r="14">
          <cell r="L14">
            <v>0.13461699999999999</v>
          </cell>
        </row>
        <row r="15">
          <cell r="L15">
            <v>0.160437</v>
          </cell>
        </row>
        <row r="16">
          <cell r="L16">
            <v>0.145898</v>
          </cell>
        </row>
        <row r="17">
          <cell r="L17">
            <v>0.16414999999999999</v>
          </cell>
        </row>
        <row r="18">
          <cell r="L18">
            <v>0.18692900000000001</v>
          </cell>
        </row>
        <row r="19">
          <cell r="L19">
            <v>0.20882400000000001</v>
          </cell>
        </row>
        <row r="20">
          <cell r="L20">
            <v>0.22448399999999999</v>
          </cell>
        </row>
        <row r="21">
          <cell r="L21">
            <v>0.26117899999999999</v>
          </cell>
        </row>
        <row r="22">
          <cell r="L22">
            <v>0.248608</v>
          </cell>
        </row>
        <row r="23">
          <cell r="L23">
            <v>0.27193099999999998</v>
          </cell>
        </row>
        <row r="24">
          <cell r="L24">
            <v>0.28652899999999998</v>
          </cell>
        </row>
        <row r="25">
          <cell r="L25">
            <v>0.27544099999999999</v>
          </cell>
        </row>
        <row r="26">
          <cell r="L26">
            <v>0.32015300000000002</v>
          </cell>
        </row>
        <row r="27">
          <cell r="L27">
            <v>0.32666899999999999</v>
          </cell>
        </row>
        <row r="28">
          <cell r="L28">
            <v>0.32931199999999999</v>
          </cell>
        </row>
        <row r="29">
          <cell r="L29">
            <v>0.331231</v>
          </cell>
        </row>
        <row r="30">
          <cell r="L30">
            <v>0.33054099999999997</v>
          </cell>
        </row>
        <row r="31">
          <cell r="L31">
            <v>0.344306</v>
          </cell>
        </row>
        <row r="32">
          <cell r="L32">
            <v>0.34423300000000001</v>
          </cell>
        </row>
        <row r="33">
          <cell r="L33">
            <v>0.31931500000000002</v>
          </cell>
        </row>
        <row r="34">
          <cell r="L34">
            <v>0.33358100000000002</v>
          </cell>
        </row>
        <row r="35">
          <cell r="L35">
            <v>0.36329600000000001</v>
          </cell>
        </row>
        <row r="36">
          <cell r="L36">
            <v>0.36654799999999998</v>
          </cell>
        </row>
        <row r="37">
          <cell r="L37">
            <v>0.39168799999999998</v>
          </cell>
        </row>
        <row r="38">
          <cell r="L38">
            <v>0.43066500000000002</v>
          </cell>
        </row>
        <row r="39">
          <cell r="L39">
            <v>0.45347399999999999</v>
          </cell>
        </row>
        <row r="40">
          <cell r="L40">
            <v>0.45653199999999999</v>
          </cell>
        </row>
        <row r="41">
          <cell r="L41">
            <v>0.47976799999999997</v>
          </cell>
        </row>
        <row r="42">
          <cell r="L42">
            <v>0.498336</v>
          </cell>
        </row>
        <row r="43">
          <cell r="L43">
            <v>0.48712899999999998</v>
          </cell>
        </row>
        <row r="44">
          <cell r="L44">
            <v>0.51047100000000001</v>
          </cell>
        </row>
        <row r="45">
          <cell r="L45">
            <v>0.52534099999999995</v>
          </cell>
        </row>
        <row r="46">
          <cell r="L46">
            <v>0.52178899999999995</v>
          </cell>
        </row>
        <row r="47">
          <cell r="L47">
            <v>0.52299300000000004</v>
          </cell>
        </row>
        <row r="48">
          <cell r="L48">
            <v>0.53690400000000005</v>
          </cell>
        </row>
        <row r="49">
          <cell r="L49">
            <v>0.53120100000000003</v>
          </cell>
        </row>
        <row r="50">
          <cell r="L50">
            <v>0.54115199999999997</v>
          </cell>
        </row>
        <row r="51">
          <cell r="L51">
            <v>0.56089800000000001</v>
          </cell>
        </row>
        <row r="52">
          <cell r="L52">
            <v>0.56540900000000005</v>
          </cell>
        </row>
        <row r="53">
          <cell r="L53">
            <v>0.56202600000000003</v>
          </cell>
        </row>
        <row r="54">
          <cell r="L54">
            <v>0.56172100000000003</v>
          </cell>
        </row>
        <row r="55">
          <cell r="L55">
            <v>0.60694599999999999</v>
          </cell>
        </row>
        <row r="56">
          <cell r="L56">
            <v>0.59007399999999999</v>
          </cell>
        </row>
        <row r="57">
          <cell r="L57">
            <v>0.59076300000000004</v>
          </cell>
        </row>
        <row r="58">
          <cell r="L58">
            <v>0.60669200000000001</v>
          </cell>
        </row>
        <row r="59">
          <cell r="L59">
            <v>0.57811900000000005</v>
          </cell>
        </row>
        <row r="60">
          <cell r="L60">
            <v>0.626996</v>
          </cell>
        </row>
        <row r="61">
          <cell r="L61">
            <v>0.62832699999999997</v>
          </cell>
        </row>
        <row r="62">
          <cell r="L62">
            <v>0.66571599999999997</v>
          </cell>
        </row>
        <row r="63">
          <cell r="L63">
            <v>0.69214100000000001</v>
          </cell>
        </row>
        <row r="64">
          <cell r="L64">
            <v>0.68146300000000004</v>
          </cell>
        </row>
        <row r="65">
          <cell r="L65">
            <v>0.69903400000000004</v>
          </cell>
        </row>
        <row r="66">
          <cell r="L66">
            <v>0.69654499999999997</v>
          </cell>
        </row>
        <row r="67">
          <cell r="L67">
            <v>0.69162000000000001</v>
          </cell>
        </row>
        <row r="68">
          <cell r="L68">
            <v>0.71171700000000004</v>
          </cell>
        </row>
        <row r="69">
          <cell r="L69">
            <v>0.69980600000000004</v>
          </cell>
        </row>
        <row r="70">
          <cell r="L70">
            <v>0.758602</v>
          </cell>
        </row>
        <row r="71">
          <cell r="L71">
            <v>0.72788900000000001</v>
          </cell>
        </row>
        <row r="72">
          <cell r="L72">
            <v>0.759656</v>
          </cell>
        </row>
        <row r="73">
          <cell r="L73">
            <v>0.75672799999999996</v>
          </cell>
        </row>
        <row r="74">
          <cell r="L74">
            <v>0.72724599999999995</v>
          </cell>
        </row>
        <row r="75">
          <cell r="L75">
            <v>0.77485300000000001</v>
          </cell>
        </row>
        <row r="76">
          <cell r="L76">
            <v>0.76339199999999996</v>
          </cell>
        </row>
        <row r="77">
          <cell r="L77">
            <v>0.78204300000000004</v>
          </cell>
        </row>
        <row r="78">
          <cell r="L78">
            <v>0.82144099999999998</v>
          </cell>
        </row>
        <row r="79">
          <cell r="L79">
            <v>0.80949700000000002</v>
          </cell>
        </row>
        <row r="80">
          <cell r="L80">
            <v>0.85136699999999998</v>
          </cell>
        </row>
        <row r="81">
          <cell r="L81">
            <v>0.78711500000000001</v>
          </cell>
        </row>
        <row r="82">
          <cell r="L82">
            <v>0.90392899999999998</v>
          </cell>
        </row>
        <row r="83">
          <cell r="L83">
            <v>0.92248699999999995</v>
          </cell>
        </row>
        <row r="84">
          <cell r="L84">
            <v>0.92184699999999997</v>
          </cell>
        </row>
        <row r="85">
          <cell r="L85">
            <v>0.94790600000000003</v>
          </cell>
        </row>
        <row r="86">
          <cell r="L86">
            <v>0.94456899999999999</v>
          </cell>
        </row>
        <row r="87">
          <cell r="L87">
            <v>0.94359899999999997</v>
          </cell>
        </row>
        <row r="88">
          <cell r="L88">
            <v>0.97758100000000003</v>
          </cell>
        </row>
        <row r="89">
          <cell r="L89">
            <v>0.94535100000000005</v>
          </cell>
        </row>
        <row r="90">
          <cell r="L90">
            <v>0.96631500000000004</v>
          </cell>
        </row>
        <row r="91">
          <cell r="L91">
            <v>1.013706</v>
          </cell>
        </row>
        <row r="92">
          <cell r="L92">
            <v>1.030826</v>
          </cell>
        </row>
        <row r="93">
          <cell r="L93">
            <v>1.0215559999999999</v>
          </cell>
        </row>
        <row r="94">
          <cell r="L94">
            <v>1.0343260000000001</v>
          </cell>
        </row>
        <row r="95">
          <cell r="L95">
            <v>1.0446580000000001</v>
          </cell>
        </row>
        <row r="96">
          <cell r="L96">
            <v>1.062451</v>
          </cell>
        </row>
        <row r="97">
          <cell r="L97">
            <v>1.059099</v>
          </cell>
        </row>
        <row r="98">
          <cell r="L98">
            <v>1.107721</v>
          </cell>
        </row>
        <row r="99">
          <cell r="L99">
            <v>1.1134809999999999</v>
          </cell>
        </row>
        <row r="100">
          <cell r="L100">
            <v>1.1156870000000001</v>
          </cell>
        </row>
        <row r="101">
          <cell r="L101">
            <v>1.116179</v>
          </cell>
        </row>
        <row r="102">
          <cell r="L102">
            <v>1.1247419999999999</v>
          </cell>
        </row>
      </sheetData>
      <sheetData sheetId="1">
        <row r="2">
          <cell r="AA2">
            <v>0.03</v>
          </cell>
        </row>
        <row r="3">
          <cell r="AA3">
            <v>0</v>
          </cell>
        </row>
        <row r="4">
          <cell r="AA4">
            <v>6.3330000000000001E-3</v>
          </cell>
        </row>
      </sheetData>
      <sheetData sheetId="2">
        <row r="2">
          <cell r="L2">
            <v>0</v>
          </cell>
        </row>
        <row r="3">
          <cell r="L3">
            <v>-7.6990000000000001E-3</v>
          </cell>
        </row>
        <row r="4">
          <cell r="L4">
            <v>-9.4230000000000008E-3</v>
          </cell>
          <cell r="O4">
            <v>56</v>
          </cell>
        </row>
        <row r="5">
          <cell r="L5">
            <v>-3.6849999999999999E-3</v>
          </cell>
          <cell r="O5">
            <v>6.6667000000000004E-2</v>
          </cell>
        </row>
        <row r="6">
          <cell r="L6">
            <v>1.6056999999999998E-2</v>
          </cell>
          <cell r="O6">
            <v>0.82689500000000005</v>
          </cell>
        </row>
        <row r="7">
          <cell r="L7">
            <v>2.5892999999999999E-2</v>
          </cell>
        </row>
        <row r="8">
          <cell r="L8">
            <v>2.452E-2</v>
          </cell>
        </row>
        <row r="9">
          <cell r="L9">
            <v>7.4966000000000005E-2</v>
          </cell>
        </row>
        <row r="10">
          <cell r="L10">
            <v>9.5531000000000005E-2</v>
          </cell>
        </row>
        <row r="11">
          <cell r="L11">
            <v>0.15964999999999999</v>
          </cell>
        </row>
        <row r="12">
          <cell r="L12">
            <v>0.172016</v>
          </cell>
        </row>
        <row r="13">
          <cell r="L13">
            <v>0.177479</v>
          </cell>
        </row>
        <row r="14">
          <cell r="L14">
            <v>0.17879999999999999</v>
          </cell>
        </row>
        <row r="15">
          <cell r="L15">
            <v>0.227659</v>
          </cell>
        </row>
        <row r="16">
          <cell r="L16">
            <v>0.24237900000000001</v>
          </cell>
        </row>
        <row r="17">
          <cell r="L17">
            <v>-1.3699999999999999E-3</v>
          </cell>
        </row>
        <row r="18">
          <cell r="L18">
            <v>1.6285000000000001E-2</v>
          </cell>
        </row>
        <row r="19">
          <cell r="L19">
            <v>4.0746999999999998E-2</v>
          </cell>
        </row>
        <row r="20">
          <cell r="L20">
            <v>8.9277999999999996E-2</v>
          </cell>
        </row>
        <row r="21">
          <cell r="L21">
            <v>0.103535</v>
          </cell>
        </row>
        <row r="22">
          <cell r="L22">
            <v>8.8278999999999996E-2</v>
          </cell>
        </row>
        <row r="23">
          <cell r="L23">
            <v>0.11171499999999999</v>
          </cell>
        </row>
        <row r="24">
          <cell r="L24">
            <v>0.14308100000000001</v>
          </cell>
        </row>
        <row r="25">
          <cell r="L25">
            <v>0.153699</v>
          </cell>
        </row>
        <row r="26">
          <cell r="L26">
            <v>0.175653</v>
          </cell>
        </row>
        <row r="27">
          <cell r="L27">
            <v>0.16675799999999999</v>
          </cell>
        </row>
        <row r="28">
          <cell r="L28">
            <v>0.18815499999999999</v>
          </cell>
        </row>
        <row r="29">
          <cell r="L29">
            <v>0.17541399999999999</v>
          </cell>
        </row>
        <row r="30">
          <cell r="L30">
            <v>0.182286</v>
          </cell>
        </row>
        <row r="31">
          <cell r="L31">
            <v>0.18853600000000001</v>
          </cell>
        </row>
        <row r="32">
          <cell r="L32">
            <v>0.183562</v>
          </cell>
        </row>
        <row r="33">
          <cell r="L33">
            <v>0.23294599999999999</v>
          </cell>
        </row>
        <row r="34">
          <cell r="L34">
            <v>0.235401</v>
          </cell>
        </row>
        <row r="35">
          <cell r="L35">
            <v>0.27164899999999997</v>
          </cell>
        </row>
        <row r="36">
          <cell r="L36">
            <v>0.25082599999999999</v>
          </cell>
        </row>
        <row r="37">
          <cell r="L37">
            <v>0.33028999999999997</v>
          </cell>
        </row>
        <row r="38">
          <cell r="L38">
            <v>0.33082400000000001</v>
          </cell>
        </row>
        <row r="39">
          <cell r="L39">
            <v>0.322162</v>
          </cell>
        </row>
        <row r="40">
          <cell r="L40">
            <v>0.29607499999999998</v>
          </cell>
        </row>
        <row r="41">
          <cell r="L41">
            <v>0.367031</v>
          </cell>
        </row>
        <row r="42">
          <cell r="L42">
            <v>0.38256400000000002</v>
          </cell>
        </row>
        <row r="43">
          <cell r="L43">
            <v>0.53991900000000004</v>
          </cell>
        </row>
        <row r="44">
          <cell r="L44">
            <v>0.54499299999999995</v>
          </cell>
        </row>
        <row r="45">
          <cell r="L45">
            <v>0.58006500000000005</v>
          </cell>
        </row>
        <row r="46">
          <cell r="L46">
            <v>0.58974599999999999</v>
          </cell>
        </row>
        <row r="47">
          <cell r="L47">
            <v>0.587283</v>
          </cell>
        </row>
        <row r="48">
          <cell r="L48">
            <v>0.60695399999999999</v>
          </cell>
        </row>
        <row r="49">
          <cell r="L49">
            <v>0.57308700000000001</v>
          </cell>
        </row>
        <row r="50">
          <cell r="L50">
            <v>0.62515900000000002</v>
          </cell>
        </row>
        <row r="51">
          <cell r="L51">
            <v>0.63908100000000001</v>
          </cell>
        </row>
        <row r="52">
          <cell r="L52">
            <v>0.66338699999999995</v>
          </cell>
        </row>
        <row r="53">
          <cell r="L53">
            <v>0.66739800000000005</v>
          </cell>
        </row>
        <row r="54">
          <cell r="L54">
            <v>0.69432400000000005</v>
          </cell>
        </row>
        <row r="55">
          <cell r="L55">
            <v>0.70792500000000003</v>
          </cell>
        </row>
        <row r="56">
          <cell r="L56">
            <v>0.71826400000000001</v>
          </cell>
        </row>
        <row r="57">
          <cell r="L57">
            <v>0.72592299999999998</v>
          </cell>
        </row>
        <row r="58">
          <cell r="L58">
            <v>0.73441699999999999</v>
          </cell>
        </row>
        <row r="59">
          <cell r="L59">
            <v>0.73966900000000002</v>
          </cell>
        </row>
        <row r="60">
          <cell r="L60">
            <v>0.733263</v>
          </cell>
        </row>
        <row r="61">
          <cell r="L61">
            <v>0.74711899999999998</v>
          </cell>
        </row>
        <row r="62">
          <cell r="L62">
            <v>0.82689500000000005</v>
          </cell>
        </row>
      </sheetData>
      <sheetData sheetId="3">
        <row r="2">
          <cell r="AA2">
            <v>0.4</v>
          </cell>
        </row>
        <row r="3">
          <cell r="AA3">
            <v>0</v>
          </cell>
        </row>
        <row r="4">
          <cell r="AA4">
            <v>5.9166999999999997E-2</v>
          </cell>
        </row>
      </sheetData>
      <sheetData sheetId="4">
        <row r="2">
          <cell r="L2">
            <v>0</v>
          </cell>
        </row>
        <row r="3">
          <cell r="L3">
            <v>-9.5130000000000006E-3</v>
          </cell>
        </row>
        <row r="4">
          <cell r="L4">
            <v>-1.3159999999999999E-3</v>
          </cell>
          <cell r="O4">
            <v>23</v>
          </cell>
        </row>
        <row r="5">
          <cell r="L5">
            <v>1.0102999999999999E-2</v>
          </cell>
          <cell r="O5">
            <v>0.77</v>
          </cell>
        </row>
        <row r="6">
          <cell r="L6">
            <v>6.0179999999999999E-3</v>
          </cell>
          <cell r="O6">
            <v>0.103294</v>
          </cell>
        </row>
        <row r="7">
          <cell r="L7">
            <v>3.1199999999999999E-4</v>
          </cell>
        </row>
        <row r="8">
          <cell r="L8">
            <v>2.3362000000000001E-2</v>
          </cell>
        </row>
        <row r="9">
          <cell r="L9">
            <v>2.4097E-2</v>
          </cell>
        </row>
        <row r="10">
          <cell r="L10">
            <v>3.1503000000000003E-2</v>
          </cell>
        </row>
        <row r="11">
          <cell r="L11">
            <v>2.6960000000000001E-2</v>
          </cell>
        </row>
        <row r="12">
          <cell r="L12">
            <v>1.1978000000000001E-2</v>
          </cell>
        </row>
        <row r="13">
          <cell r="L13">
            <v>4.9170000000000004E-3</v>
          </cell>
        </row>
        <row r="14">
          <cell r="L14">
            <v>1.1202E-2</v>
          </cell>
        </row>
        <row r="15">
          <cell r="L15">
            <v>2.7718E-2</v>
          </cell>
        </row>
        <row r="16">
          <cell r="L16">
            <v>-6.0099999999999997E-3</v>
          </cell>
        </row>
        <row r="17">
          <cell r="L17">
            <v>-1.1809999999999999E-2</v>
          </cell>
        </row>
        <row r="18">
          <cell r="L18">
            <v>-2.6837E-2</v>
          </cell>
        </row>
        <row r="19">
          <cell r="L19">
            <v>-3.2432999999999997E-2</v>
          </cell>
        </row>
        <row r="20">
          <cell r="L20">
            <v>-3.6428000000000002E-2</v>
          </cell>
        </row>
        <row r="21">
          <cell r="L21">
            <v>-9.8429999999999993E-3</v>
          </cell>
        </row>
        <row r="22">
          <cell r="L22">
            <v>-2.7247E-2</v>
          </cell>
        </row>
        <row r="23">
          <cell r="L23">
            <v>-2.0900999999999999E-2</v>
          </cell>
        </row>
        <row r="24">
          <cell r="L24">
            <v>-1.9438E-2</v>
          </cell>
        </row>
        <row r="25">
          <cell r="L25">
            <v>-4.6885000000000003E-2</v>
          </cell>
        </row>
        <row r="26">
          <cell r="L26">
            <v>-4.8436E-2</v>
          </cell>
        </row>
        <row r="27">
          <cell r="L27">
            <v>-4.4318000000000003E-2</v>
          </cell>
        </row>
        <row r="28">
          <cell r="L28">
            <v>-4.6549E-2</v>
          </cell>
        </row>
        <row r="29">
          <cell r="L29">
            <v>-4.4609000000000003E-2</v>
          </cell>
        </row>
        <row r="30">
          <cell r="L30">
            <v>-4.5303000000000003E-2</v>
          </cell>
        </row>
        <row r="31">
          <cell r="L31">
            <v>-4.3756000000000003E-2</v>
          </cell>
        </row>
        <row r="32">
          <cell r="L32">
            <v>-5.2509E-2</v>
          </cell>
        </row>
        <row r="33">
          <cell r="L33">
            <v>-8.344E-2</v>
          </cell>
        </row>
        <row r="34">
          <cell r="L34">
            <v>-0.10381700000000001</v>
          </cell>
        </row>
        <row r="35">
          <cell r="L35">
            <v>-7.0546999999999999E-2</v>
          </cell>
        </row>
        <row r="36">
          <cell r="L36">
            <v>-6.2654000000000001E-2</v>
          </cell>
        </row>
        <row r="37">
          <cell r="L37">
            <v>-7.0643999999999998E-2</v>
          </cell>
        </row>
        <row r="38">
          <cell r="L38">
            <v>-6.7761000000000002E-2</v>
          </cell>
        </row>
        <row r="39">
          <cell r="L39">
            <v>-5.8888000000000003E-2</v>
          </cell>
        </row>
        <row r="40">
          <cell r="L40">
            <v>-7.8029000000000001E-2</v>
          </cell>
        </row>
        <row r="41">
          <cell r="L41">
            <v>-6.7188999999999999E-2</v>
          </cell>
        </row>
        <row r="42">
          <cell r="L42">
            <v>-6.5004000000000006E-2</v>
          </cell>
        </row>
        <row r="43">
          <cell r="L43">
            <v>-7.7201000000000006E-2</v>
          </cell>
        </row>
        <row r="44">
          <cell r="L44">
            <v>-8.7234999999999993E-2</v>
          </cell>
        </row>
        <row r="45">
          <cell r="L45">
            <v>-8.8802000000000006E-2</v>
          </cell>
        </row>
        <row r="46">
          <cell r="L46">
            <v>-9.9710999999999994E-2</v>
          </cell>
        </row>
        <row r="47">
          <cell r="L47">
            <v>-0.106887</v>
          </cell>
        </row>
        <row r="48">
          <cell r="L48">
            <v>-0.11031100000000001</v>
          </cell>
        </row>
        <row r="49">
          <cell r="L49">
            <v>-0.12812000000000001</v>
          </cell>
        </row>
        <row r="50">
          <cell r="L50">
            <v>-0.13813300000000001</v>
          </cell>
        </row>
        <row r="51">
          <cell r="L51">
            <v>-0.13891600000000001</v>
          </cell>
        </row>
        <row r="52">
          <cell r="L52">
            <v>-0.14774699999999999</v>
          </cell>
        </row>
        <row r="53">
          <cell r="L53">
            <v>-0.134571</v>
          </cell>
        </row>
        <row r="54">
          <cell r="L54">
            <v>-0.13552700000000001</v>
          </cell>
        </row>
        <row r="55">
          <cell r="L55">
            <v>-0.13935900000000001</v>
          </cell>
        </row>
        <row r="56">
          <cell r="L56">
            <v>-0.10136299999999999</v>
          </cell>
        </row>
        <row r="57">
          <cell r="L57">
            <v>-0.122887</v>
          </cell>
        </row>
        <row r="58">
          <cell r="L58">
            <v>-0.12467300000000001</v>
          </cell>
        </row>
        <row r="59">
          <cell r="L59">
            <v>-0.11695800000000001</v>
          </cell>
        </row>
        <row r="60">
          <cell r="L60">
            <v>-0.11765200000000001</v>
          </cell>
        </row>
        <row r="61">
          <cell r="L61">
            <v>-0.10677</v>
          </cell>
        </row>
        <row r="62">
          <cell r="L62">
            <v>-9.7252000000000005E-2</v>
          </cell>
        </row>
        <row r="63">
          <cell r="L63">
            <v>-0.101851</v>
          </cell>
        </row>
        <row r="64">
          <cell r="L64">
            <v>-9.3244999999999995E-2</v>
          </cell>
        </row>
        <row r="65">
          <cell r="L65">
            <v>-8.3187999999999998E-2</v>
          </cell>
        </row>
        <row r="66">
          <cell r="L66">
            <v>-8.7494000000000002E-2</v>
          </cell>
        </row>
        <row r="67">
          <cell r="L67">
            <v>-8.7081000000000006E-2</v>
          </cell>
        </row>
        <row r="68">
          <cell r="L68">
            <v>-8.9011999999999994E-2</v>
          </cell>
        </row>
        <row r="69">
          <cell r="L69">
            <v>-3.9233999999999998E-2</v>
          </cell>
        </row>
        <row r="70">
          <cell r="L70">
            <v>-4.1568000000000001E-2</v>
          </cell>
        </row>
        <row r="71">
          <cell r="L71">
            <v>-4.2568000000000002E-2</v>
          </cell>
        </row>
        <row r="72">
          <cell r="L72">
            <v>-5.4538999999999997E-2</v>
          </cell>
        </row>
        <row r="73">
          <cell r="L73">
            <v>-6.6462999999999994E-2</v>
          </cell>
        </row>
        <row r="74">
          <cell r="L74">
            <v>-6.7003999999999994E-2</v>
          </cell>
        </row>
        <row r="75">
          <cell r="L75">
            <v>-6.3298999999999994E-2</v>
          </cell>
        </row>
        <row r="76">
          <cell r="L76">
            <v>-6.7805000000000004E-2</v>
          </cell>
        </row>
        <row r="77">
          <cell r="L77">
            <v>-6.0678999999999997E-2</v>
          </cell>
        </row>
        <row r="78">
          <cell r="L78">
            <v>-5.9665999999999997E-2</v>
          </cell>
        </row>
        <row r="79">
          <cell r="L79">
            <v>-6.9389999999999999E-3</v>
          </cell>
        </row>
        <row r="80">
          <cell r="L80">
            <v>-6.7239999999999999E-3</v>
          </cell>
        </row>
        <row r="81">
          <cell r="L81">
            <v>-3.0939999999999999E-2</v>
          </cell>
        </row>
        <row r="82">
          <cell r="L82">
            <v>-1.7356E-2</v>
          </cell>
        </row>
        <row r="83">
          <cell r="L83">
            <v>-4.8680000000000001E-2</v>
          </cell>
        </row>
        <row r="84">
          <cell r="L84">
            <v>-7.2666999999999995E-2</v>
          </cell>
        </row>
        <row r="85">
          <cell r="L85">
            <v>-6.8338999999999997E-2</v>
          </cell>
        </row>
        <row r="86">
          <cell r="L86">
            <v>-6.2036000000000001E-2</v>
          </cell>
        </row>
        <row r="87">
          <cell r="L87">
            <v>-5.2297000000000003E-2</v>
          </cell>
        </row>
        <row r="88">
          <cell r="L88">
            <v>-3.4377999999999999E-2</v>
          </cell>
        </row>
        <row r="89">
          <cell r="L89">
            <v>-2.3456000000000001E-2</v>
          </cell>
        </row>
        <row r="90">
          <cell r="L90">
            <v>3.1000000000000001E-5</v>
          </cell>
        </row>
        <row r="91">
          <cell r="L91">
            <v>-5.2550000000000001E-3</v>
          </cell>
        </row>
        <row r="92">
          <cell r="L92">
            <v>6.2460000000000002E-2</v>
          </cell>
        </row>
        <row r="93">
          <cell r="L93">
            <v>6.4669000000000004E-2</v>
          </cell>
        </row>
        <row r="94">
          <cell r="L94">
            <v>7.2748999999999994E-2</v>
          </cell>
        </row>
        <row r="95">
          <cell r="L95">
            <v>7.9815999999999998E-2</v>
          </cell>
        </row>
        <row r="96">
          <cell r="L96">
            <v>7.7581999999999998E-2</v>
          </cell>
        </row>
        <row r="97">
          <cell r="L97">
            <v>0.12590499999999999</v>
          </cell>
        </row>
        <row r="98">
          <cell r="L98">
            <v>0.12832099999999999</v>
          </cell>
        </row>
        <row r="99">
          <cell r="L99">
            <v>0.126724</v>
          </cell>
        </row>
        <row r="100">
          <cell r="L100">
            <v>0.12084300000000001</v>
          </cell>
        </row>
        <row r="101">
          <cell r="L101">
            <v>9.7715999999999997E-2</v>
          </cell>
        </row>
        <row r="102">
          <cell r="L102">
            <v>0.103294</v>
          </cell>
        </row>
      </sheetData>
      <sheetData sheetId="5">
        <row r="2">
          <cell r="AA2">
            <v>0.84</v>
          </cell>
        </row>
        <row r="3">
          <cell r="AA3">
            <v>0.02</v>
          </cell>
        </row>
        <row r="4">
          <cell r="AA4">
            <v>0.38533299999999998</v>
          </cell>
        </row>
      </sheetData>
      <sheetData sheetId="6">
        <row r="2">
          <cell r="L2">
            <v>0</v>
          </cell>
        </row>
        <row r="3">
          <cell r="L3">
            <v>-4.5411E-2</v>
          </cell>
        </row>
        <row r="4">
          <cell r="L4">
            <v>-9.1517000000000001E-2</v>
          </cell>
          <cell r="O4">
            <v>24</v>
          </cell>
        </row>
        <row r="5">
          <cell r="L5">
            <v>-0.10688300000000001</v>
          </cell>
          <cell r="O5">
            <v>0.6</v>
          </cell>
        </row>
        <row r="6">
          <cell r="L6">
            <v>-0.102454</v>
          </cell>
          <cell r="O6">
            <v>0.13750299999999999</v>
          </cell>
        </row>
        <row r="7">
          <cell r="L7">
            <v>-0.137851</v>
          </cell>
        </row>
        <row r="8">
          <cell r="L8">
            <v>-0.14649599999999999</v>
          </cell>
        </row>
        <row r="9">
          <cell r="L9">
            <v>-0.150003</v>
          </cell>
        </row>
        <row r="10">
          <cell r="L10">
            <v>-8.8641999999999999E-2</v>
          </cell>
        </row>
        <row r="11">
          <cell r="L11">
            <v>-9.2904E-2</v>
          </cell>
        </row>
        <row r="12">
          <cell r="L12">
            <v>-0.143013</v>
          </cell>
        </row>
        <row r="13">
          <cell r="L13">
            <v>-0.13861200000000001</v>
          </cell>
        </row>
        <row r="14">
          <cell r="L14">
            <v>-0.14061199999999999</v>
          </cell>
        </row>
        <row r="15">
          <cell r="L15">
            <v>-0.15045700000000001</v>
          </cell>
        </row>
        <row r="16">
          <cell r="L16">
            <v>-0.181919</v>
          </cell>
        </row>
        <row r="17">
          <cell r="L17">
            <v>-0.21506</v>
          </cell>
        </row>
        <row r="18">
          <cell r="L18">
            <v>-0.22004699999999999</v>
          </cell>
        </row>
        <row r="19">
          <cell r="L19">
            <v>-0.23363100000000001</v>
          </cell>
        </row>
        <row r="20">
          <cell r="L20">
            <v>-0.25744400000000001</v>
          </cell>
        </row>
        <row r="21">
          <cell r="L21">
            <v>-0.25239099999999998</v>
          </cell>
        </row>
        <row r="22">
          <cell r="L22">
            <v>-0.14810899999999999</v>
          </cell>
        </row>
        <row r="23">
          <cell r="L23">
            <v>-0.21046799999999999</v>
          </cell>
        </row>
        <row r="24">
          <cell r="L24">
            <v>-0.22977300000000001</v>
          </cell>
        </row>
        <row r="25">
          <cell r="L25">
            <v>-9.9284999999999998E-2</v>
          </cell>
        </row>
        <row r="26">
          <cell r="L26">
            <v>-0.101135</v>
          </cell>
        </row>
        <row r="27">
          <cell r="L27">
            <v>-7.7335000000000001E-2</v>
          </cell>
        </row>
        <row r="28">
          <cell r="L28">
            <v>-5.6786999999999997E-2</v>
          </cell>
        </row>
        <row r="29">
          <cell r="L29">
            <v>-4.8114999999999998E-2</v>
          </cell>
        </row>
        <row r="30">
          <cell r="L30">
            <v>-4.9827999999999997E-2</v>
          </cell>
        </row>
        <row r="31">
          <cell r="L31">
            <v>-4.1307999999999997E-2</v>
          </cell>
        </row>
        <row r="32">
          <cell r="L32">
            <v>-3.7574000000000003E-2</v>
          </cell>
        </row>
        <row r="33">
          <cell r="L33">
            <v>-4.8459000000000002E-2</v>
          </cell>
        </row>
        <row r="34">
          <cell r="L34">
            <v>-6.5518999999999994E-2</v>
          </cell>
        </row>
        <row r="35">
          <cell r="L35">
            <v>-5.7482999999999999E-2</v>
          </cell>
        </row>
        <row r="36">
          <cell r="L36">
            <v>-3.6167999999999999E-2</v>
          </cell>
        </row>
        <row r="37">
          <cell r="L37">
            <v>-2.9825999999999998E-2</v>
          </cell>
        </row>
        <row r="38">
          <cell r="L38">
            <v>-4.1667999999999997E-2</v>
          </cell>
        </row>
        <row r="39">
          <cell r="L39">
            <v>5.5997999999999999E-2</v>
          </cell>
        </row>
        <row r="40">
          <cell r="L40">
            <v>5.4200999999999999E-2</v>
          </cell>
        </row>
        <row r="41">
          <cell r="L41">
            <v>5.6684999999999999E-2</v>
          </cell>
        </row>
        <row r="42">
          <cell r="L42">
            <v>6.6090999999999997E-2</v>
          </cell>
        </row>
        <row r="43">
          <cell r="L43">
            <v>0.10484599999999999</v>
          </cell>
        </row>
        <row r="44">
          <cell r="L44">
            <v>0.11215</v>
          </cell>
        </row>
        <row r="45">
          <cell r="L45">
            <v>0.12289700000000001</v>
          </cell>
        </row>
        <row r="46">
          <cell r="L46">
            <v>0.14410300000000001</v>
          </cell>
        </row>
        <row r="47">
          <cell r="L47">
            <v>0.106543</v>
          </cell>
        </row>
        <row r="48">
          <cell r="L48">
            <v>0.102076</v>
          </cell>
        </row>
        <row r="49">
          <cell r="L49">
            <v>0.17182800000000001</v>
          </cell>
        </row>
        <row r="50">
          <cell r="L50">
            <v>0.186366</v>
          </cell>
        </row>
        <row r="51">
          <cell r="L51">
            <v>0.17755099999999999</v>
          </cell>
        </row>
        <row r="52">
          <cell r="L52">
            <v>0.15743699999999999</v>
          </cell>
        </row>
        <row r="53">
          <cell r="L53">
            <v>0.121756</v>
          </cell>
        </row>
        <row r="54">
          <cell r="L54">
            <v>0.121923</v>
          </cell>
        </row>
        <row r="55">
          <cell r="L55">
            <v>0.130609</v>
          </cell>
        </row>
        <row r="56">
          <cell r="L56">
            <v>0.13525799999999999</v>
          </cell>
        </row>
        <row r="57">
          <cell r="L57">
            <v>0.14938399999999999</v>
          </cell>
        </row>
        <row r="58">
          <cell r="L58">
            <v>0.15241199999999999</v>
          </cell>
        </row>
        <row r="59">
          <cell r="L59">
            <v>0.139154</v>
          </cell>
        </row>
        <row r="60">
          <cell r="L60">
            <v>0.157916</v>
          </cell>
        </row>
        <row r="61">
          <cell r="L61">
            <v>0.13353100000000001</v>
          </cell>
        </row>
        <row r="62">
          <cell r="L62">
            <v>0.13750299999999999</v>
          </cell>
        </row>
      </sheetData>
      <sheetData sheetId="7">
        <row r="2">
          <cell r="AA2">
            <v>0.91666700000000001</v>
          </cell>
        </row>
        <row r="3">
          <cell r="AA3">
            <v>1.6667000000000001E-2</v>
          </cell>
        </row>
        <row r="4">
          <cell r="AA4">
            <v>0.42666700000000002</v>
          </cell>
        </row>
      </sheetData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-7.0520000000000001E-3</v>
          </cell>
        </row>
        <row r="4">
          <cell r="L4">
            <v>-1.2291E-2</v>
          </cell>
          <cell r="O4">
            <v>0</v>
          </cell>
        </row>
        <row r="5">
          <cell r="L5">
            <v>-2.2422999999999998E-2</v>
          </cell>
          <cell r="O5">
            <v>1</v>
          </cell>
        </row>
        <row r="6">
          <cell r="L6">
            <v>-3.1123000000000001E-2</v>
          </cell>
          <cell r="O6">
            <v>-0.63621700000000003</v>
          </cell>
        </row>
        <row r="7">
          <cell r="L7">
            <v>-3.6815000000000001E-2</v>
          </cell>
        </row>
        <row r="8">
          <cell r="L8">
            <v>-4.7058999999999997E-2</v>
          </cell>
        </row>
        <row r="9">
          <cell r="L9">
            <v>-4.7681000000000001E-2</v>
          </cell>
        </row>
        <row r="10">
          <cell r="L10">
            <v>-2.9097999999999999E-2</v>
          </cell>
        </row>
        <row r="11">
          <cell r="L11">
            <v>-3.4410000000000003E-2</v>
          </cell>
        </row>
        <row r="12">
          <cell r="L12">
            <v>-7.6438999999999993E-2</v>
          </cell>
        </row>
        <row r="13">
          <cell r="L13">
            <v>-9.1869999999999993E-2</v>
          </cell>
        </row>
        <row r="14">
          <cell r="L14">
            <v>-8.8586999999999999E-2</v>
          </cell>
        </row>
        <row r="15">
          <cell r="L15">
            <v>-9.2279E-2</v>
          </cell>
        </row>
        <row r="16">
          <cell r="L16">
            <v>-9.8380999999999996E-2</v>
          </cell>
        </row>
        <row r="17">
          <cell r="L17">
            <v>-0.10999100000000001</v>
          </cell>
        </row>
        <row r="18">
          <cell r="L18">
            <v>-0.12612499999999999</v>
          </cell>
        </row>
        <row r="19">
          <cell r="L19">
            <v>-0.13206899999999999</v>
          </cell>
        </row>
        <row r="20">
          <cell r="L20">
            <v>-0.142203</v>
          </cell>
        </row>
        <row r="21">
          <cell r="L21">
            <v>-0.150198</v>
          </cell>
        </row>
        <row r="22">
          <cell r="L22">
            <v>-0.16265499999999999</v>
          </cell>
        </row>
        <row r="23">
          <cell r="L23">
            <v>-0.16550100000000001</v>
          </cell>
        </row>
        <row r="24">
          <cell r="L24">
            <v>-0.16795399999999999</v>
          </cell>
        </row>
        <row r="25">
          <cell r="L25">
            <v>-0.16903899999999999</v>
          </cell>
        </row>
        <row r="26">
          <cell r="L26">
            <v>-0.17469299999999999</v>
          </cell>
        </row>
        <row r="27">
          <cell r="L27">
            <v>-0.18169199999999999</v>
          </cell>
        </row>
        <row r="28">
          <cell r="L28">
            <v>-0.18351400000000001</v>
          </cell>
        </row>
        <row r="29">
          <cell r="L29">
            <v>-0.18842900000000001</v>
          </cell>
        </row>
        <row r="30">
          <cell r="L30">
            <v>-0.19315199999999999</v>
          </cell>
        </row>
        <row r="31">
          <cell r="L31">
            <v>-0.19778399999999999</v>
          </cell>
        </row>
        <row r="32">
          <cell r="L32">
            <v>-0.20032</v>
          </cell>
        </row>
        <row r="33">
          <cell r="L33">
            <v>-0.207589</v>
          </cell>
        </row>
        <row r="34">
          <cell r="L34">
            <v>-0.22323799999999999</v>
          </cell>
        </row>
        <row r="35">
          <cell r="L35">
            <v>-0.23053799999999999</v>
          </cell>
        </row>
        <row r="36">
          <cell r="L36">
            <v>-0.23095399999999999</v>
          </cell>
        </row>
        <row r="37">
          <cell r="L37">
            <v>-0.23224400000000001</v>
          </cell>
        </row>
        <row r="38">
          <cell r="L38">
            <v>-0.23829</v>
          </cell>
        </row>
        <row r="39">
          <cell r="L39">
            <v>-0.24157899999999999</v>
          </cell>
        </row>
        <row r="40">
          <cell r="L40">
            <v>-0.244339</v>
          </cell>
        </row>
        <row r="41">
          <cell r="L41">
            <v>-0.25019599999999997</v>
          </cell>
        </row>
        <row r="42">
          <cell r="L42">
            <v>-0.26334200000000002</v>
          </cell>
        </row>
        <row r="43">
          <cell r="L43">
            <v>-0.273283</v>
          </cell>
        </row>
        <row r="44">
          <cell r="L44">
            <v>-0.27764899999999998</v>
          </cell>
        </row>
        <row r="45">
          <cell r="L45">
            <v>-0.28048200000000001</v>
          </cell>
        </row>
        <row r="46">
          <cell r="L46">
            <v>-0.28049299999999999</v>
          </cell>
        </row>
        <row r="47">
          <cell r="L47">
            <v>-0.28450300000000001</v>
          </cell>
        </row>
        <row r="48">
          <cell r="L48">
            <v>-0.28868300000000002</v>
          </cell>
        </row>
        <row r="49">
          <cell r="L49">
            <v>-0.29620999999999997</v>
          </cell>
        </row>
        <row r="50">
          <cell r="L50">
            <v>-0.30202200000000001</v>
          </cell>
        </row>
        <row r="51">
          <cell r="L51">
            <v>-0.307029</v>
          </cell>
        </row>
        <row r="52">
          <cell r="L52">
            <v>-0.31669999999999998</v>
          </cell>
        </row>
        <row r="53">
          <cell r="L53">
            <v>-0.31929600000000002</v>
          </cell>
        </row>
        <row r="54">
          <cell r="L54">
            <v>-0.32494699999999999</v>
          </cell>
        </row>
        <row r="55">
          <cell r="L55">
            <v>-0.33687400000000001</v>
          </cell>
        </row>
        <row r="56">
          <cell r="L56">
            <v>-0.34012500000000001</v>
          </cell>
        </row>
        <row r="57">
          <cell r="L57">
            <v>-0.34717900000000002</v>
          </cell>
        </row>
        <row r="58">
          <cell r="L58">
            <v>-0.35692400000000002</v>
          </cell>
        </row>
        <row r="59">
          <cell r="L59">
            <v>-0.39018700000000001</v>
          </cell>
        </row>
        <row r="60">
          <cell r="L60">
            <v>-0.40405000000000002</v>
          </cell>
        </row>
        <row r="61">
          <cell r="L61">
            <v>-0.409134</v>
          </cell>
        </row>
        <row r="62">
          <cell r="L62">
            <v>-0.428149</v>
          </cell>
        </row>
        <row r="63">
          <cell r="L63">
            <v>-0.44175399999999998</v>
          </cell>
        </row>
        <row r="64">
          <cell r="L64">
            <v>-0.43745299999999998</v>
          </cell>
        </row>
        <row r="65">
          <cell r="L65">
            <v>-0.45815</v>
          </cell>
        </row>
        <row r="66">
          <cell r="L66">
            <v>-0.46174599999999999</v>
          </cell>
        </row>
        <row r="67">
          <cell r="L67">
            <v>-0.473246</v>
          </cell>
        </row>
        <row r="68">
          <cell r="L68">
            <v>-0.47869899999999999</v>
          </cell>
        </row>
        <row r="69">
          <cell r="L69">
            <v>-0.48391600000000001</v>
          </cell>
        </row>
        <row r="70">
          <cell r="L70">
            <v>-0.48582700000000001</v>
          </cell>
        </row>
        <row r="71">
          <cell r="L71">
            <v>-0.48110799999999998</v>
          </cell>
        </row>
        <row r="72">
          <cell r="L72">
            <v>-0.49836900000000001</v>
          </cell>
        </row>
        <row r="73">
          <cell r="L73">
            <v>-0.5111</v>
          </cell>
        </row>
        <row r="74">
          <cell r="L74">
            <v>-0.516934</v>
          </cell>
        </row>
        <row r="75">
          <cell r="L75">
            <v>-0.52703800000000001</v>
          </cell>
        </row>
        <row r="76">
          <cell r="L76">
            <v>-0.51617999999999997</v>
          </cell>
        </row>
        <row r="77">
          <cell r="L77">
            <v>-0.56554599999999999</v>
          </cell>
        </row>
        <row r="78">
          <cell r="L78">
            <v>-0.579515</v>
          </cell>
        </row>
        <row r="79">
          <cell r="L79">
            <v>-0.579453</v>
          </cell>
        </row>
        <row r="80">
          <cell r="L80">
            <v>-0.56903899999999996</v>
          </cell>
        </row>
        <row r="81">
          <cell r="L81">
            <v>-0.528366</v>
          </cell>
        </row>
        <row r="82">
          <cell r="L82">
            <v>-0.55744899999999997</v>
          </cell>
        </row>
        <row r="83">
          <cell r="L83">
            <v>-0.53135600000000005</v>
          </cell>
        </row>
        <row r="84">
          <cell r="L84">
            <v>-0.55629200000000001</v>
          </cell>
        </row>
        <row r="85">
          <cell r="L85">
            <v>-0.53253499999999998</v>
          </cell>
        </row>
        <row r="86">
          <cell r="L86">
            <v>-0.55162699999999998</v>
          </cell>
        </row>
        <row r="87">
          <cell r="L87">
            <v>-0.54917700000000003</v>
          </cell>
        </row>
        <row r="88">
          <cell r="L88">
            <v>-0.576963</v>
          </cell>
        </row>
        <row r="89">
          <cell r="L89">
            <v>-0.58078700000000005</v>
          </cell>
        </row>
        <row r="90">
          <cell r="L90">
            <v>-0.59518300000000002</v>
          </cell>
        </row>
        <row r="91">
          <cell r="L91">
            <v>-0.57799599999999995</v>
          </cell>
        </row>
        <row r="92">
          <cell r="L92">
            <v>-0.57972699999999999</v>
          </cell>
        </row>
        <row r="93">
          <cell r="L93">
            <v>-0.60439900000000002</v>
          </cell>
        </row>
        <row r="94">
          <cell r="L94">
            <v>-0.60814299999999999</v>
          </cell>
        </row>
        <row r="95">
          <cell r="L95">
            <v>-0.61302999999999996</v>
          </cell>
        </row>
        <row r="96">
          <cell r="L96">
            <v>-0.61558999999999997</v>
          </cell>
        </row>
        <row r="97">
          <cell r="L97">
            <v>-0.624054</v>
          </cell>
        </row>
        <row r="98">
          <cell r="L98">
            <v>-0.62823899999999999</v>
          </cell>
        </row>
        <row r="99">
          <cell r="L99">
            <v>-0.63127</v>
          </cell>
        </row>
        <row r="100">
          <cell r="L100">
            <v>-0.63309499999999996</v>
          </cell>
        </row>
        <row r="101">
          <cell r="L101">
            <v>-0.63656599999999997</v>
          </cell>
        </row>
        <row r="102">
          <cell r="L102">
            <v>-0.63621700000000003</v>
          </cell>
        </row>
      </sheetData>
      <sheetData sheetId="1">
        <row r="2">
          <cell r="AA2">
            <v>1</v>
          </cell>
        </row>
        <row r="3">
          <cell r="AA3">
            <v>0.99</v>
          </cell>
        </row>
        <row r="4">
          <cell r="AA4">
            <v>0.99966699999999997</v>
          </cell>
        </row>
      </sheetData>
      <sheetData sheetId="2">
        <row r="2">
          <cell r="L2">
            <v>0</v>
          </cell>
        </row>
        <row r="3">
          <cell r="L3">
            <v>-2.447E-3</v>
          </cell>
        </row>
        <row r="4">
          <cell r="L4">
            <v>-4.4889999999999999E-3</v>
          </cell>
          <cell r="O4">
            <v>0</v>
          </cell>
        </row>
        <row r="5">
          <cell r="L5">
            <v>-4.7410000000000004E-3</v>
          </cell>
          <cell r="O5">
            <v>1</v>
          </cell>
        </row>
        <row r="6">
          <cell r="L6">
            <v>-1.9319999999999999E-3</v>
          </cell>
          <cell r="O6">
            <v>-0.12123299999999999</v>
          </cell>
        </row>
        <row r="7">
          <cell r="L7">
            <v>-1.6677000000000001E-2</v>
          </cell>
        </row>
        <row r="8">
          <cell r="L8">
            <v>-2.0147000000000002E-2</v>
          </cell>
        </row>
        <row r="9">
          <cell r="L9">
            <v>-2.2110000000000001E-2</v>
          </cell>
        </row>
        <row r="10">
          <cell r="L10">
            <v>-2.128E-2</v>
          </cell>
        </row>
        <row r="11">
          <cell r="L11">
            <v>-2.4698000000000001E-2</v>
          </cell>
        </row>
        <row r="12">
          <cell r="L12">
            <v>-3.9655999999999997E-2</v>
          </cell>
        </row>
        <row r="13">
          <cell r="L13">
            <v>-2.9444000000000001E-2</v>
          </cell>
        </row>
        <row r="14">
          <cell r="L14">
            <v>-3.4791999999999997E-2</v>
          </cell>
        </row>
        <row r="15">
          <cell r="L15">
            <v>-3.9758000000000002E-2</v>
          </cell>
        </row>
        <row r="16">
          <cell r="L16">
            <v>-5.9207999999999997E-2</v>
          </cell>
        </row>
        <row r="17">
          <cell r="L17">
            <v>-6.7906999999999995E-2</v>
          </cell>
        </row>
        <row r="18">
          <cell r="L18">
            <v>-8.1299999999999997E-2</v>
          </cell>
        </row>
        <row r="19">
          <cell r="L19">
            <v>-8.8028999999999996E-2</v>
          </cell>
        </row>
        <row r="20">
          <cell r="L20">
            <v>-8.7647000000000003E-2</v>
          </cell>
        </row>
        <row r="21">
          <cell r="L21">
            <v>-9.1188000000000005E-2</v>
          </cell>
        </row>
        <row r="22">
          <cell r="L22">
            <v>-8.6664000000000005E-2</v>
          </cell>
        </row>
        <row r="23">
          <cell r="L23">
            <v>-8.5526000000000005E-2</v>
          </cell>
        </row>
        <row r="24">
          <cell r="L24">
            <v>-8.6763000000000007E-2</v>
          </cell>
        </row>
        <row r="25">
          <cell r="L25">
            <v>-8.9274000000000006E-2</v>
          </cell>
        </row>
        <row r="26">
          <cell r="L26">
            <v>-8.5604E-2</v>
          </cell>
        </row>
        <row r="27">
          <cell r="L27">
            <v>-8.7654999999999997E-2</v>
          </cell>
        </row>
        <row r="28">
          <cell r="L28">
            <v>-9.2130000000000004E-2</v>
          </cell>
        </row>
        <row r="29">
          <cell r="L29">
            <v>-9.8706000000000002E-2</v>
          </cell>
        </row>
        <row r="30">
          <cell r="L30">
            <v>-9.8656999999999995E-2</v>
          </cell>
        </row>
        <row r="31">
          <cell r="L31">
            <v>-0.101143</v>
          </cell>
        </row>
        <row r="32">
          <cell r="L32">
            <v>-9.6068000000000001E-2</v>
          </cell>
        </row>
        <row r="33">
          <cell r="L33">
            <v>-9.4061000000000006E-2</v>
          </cell>
        </row>
        <row r="34">
          <cell r="L34">
            <v>-9.6291000000000002E-2</v>
          </cell>
        </row>
        <row r="35">
          <cell r="L35">
            <v>-9.5322000000000004E-2</v>
          </cell>
        </row>
        <row r="36">
          <cell r="L36">
            <v>-0.10377699999999999</v>
          </cell>
        </row>
        <row r="37">
          <cell r="L37">
            <v>-0.114983</v>
          </cell>
        </row>
        <row r="38">
          <cell r="L38">
            <v>-0.11661000000000001</v>
          </cell>
        </row>
        <row r="39">
          <cell r="L39">
            <v>-0.117271</v>
          </cell>
        </row>
        <row r="40">
          <cell r="L40">
            <v>-0.12606999999999999</v>
          </cell>
        </row>
        <row r="41">
          <cell r="L41">
            <v>-0.12995899999999999</v>
          </cell>
        </row>
        <row r="42">
          <cell r="L42">
            <v>-0.13350600000000001</v>
          </cell>
        </row>
        <row r="43">
          <cell r="L43">
            <v>-0.13678999999999999</v>
          </cell>
        </row>
        <row r="44">
          <cell r="L44">
            <v>-0.13580700000000001</v>
          </cell>
        </row>
        <row r="45">
          <cell r="L45">
            <v>-0.136124</v>
          </cell>
        </row>
        <row r="46">
          <cell r="L46">
            <v>-0.14480499999999999</v>
          </cell>
        </row>
        <row r="47">
          <cell r="L47">
            <v>-0.15060499999999999</v>
          </cell>
        </row>
        <row r="48">
          <cell r="L48">
            <v>-0.16153899999999999</v>
          </cell>
        </row>
        <row r="49">
          <cell r="L49">
            <v>-0.16261700000000001</v>
          </cell>
        </row>
        <row r="50">
          <cell r="L50">
            <v>-0.162913</v>
          </cell>
        </row>
        <row r="51">
          <cell r="L51">
            <v>-0.158556</v>
          </cell>
        </row>
        <row r="52">
          <cell r="L52">
            <v>-0.16478100000000001</v>
          </cell>
        </row>
        <row r="53">
          <cell r="L53">
            <v>-0.16198299999999999</v>
          </cell>
        </row>
        <row r="54">
          <cell r="L54">
            <v>-0.16614899999999999</v>
          </cell>
        </row>
        <row r="55">
          <cell r="L55">
            <v>-0.12740099999999999</v>
          </cell>
        </row>
        <row r="56">
          <cell r="L56">
            <v>-0.13472500000000001</v>
          </cell>
        </row>
        <row r="57">
          <cell r="L57">
            <v>-0.132495</v>
          </cell>
        </row>
        <row r="58">
          <cell r="L58">
            <v>-0.134931</v>
          </cell>
        </row>
        <row r="59">
          <cell r="L59">
            <v>-0.13570099999999999</v>
          </cell>
        </row>
        <row r="60">
          <cell r="L60">
            <v>-0.118823</v>
          </cell>
        </row>
        <row r="61">
          <cell r="L61">
            <v>-0.120392</v>
          </cell>
        </row>
        <row r="62">
          <cell r="L62">
            <v>-0.12123299999999999</v>
          </cell>
        </row>
      </sheetData>
      <sheetData sheetId="3">
        <row r="2">
          <cell r="AA2">
            <v>1</v>
          </cell>
        </row>
        <row r="3">
          <cell r="AA3">
            <v>0.86666699999999997</v>
          </cell>
        </row>
        <row r="4">
          <cell r="AA4">
            <v>0.98166699999999996</v>
          </cell>
        </row>
      </sheetData>
      <sheetData sheetId="4">
        <row r="2">
          <cell r="L2">
            <v>0</v>
          </cell>
        </row>
        <row r="3">
          <cell r="L3">
            <v>-3.6311000000000003E-2</v>
          </cell>
        </row>
        <row r="4">
          <cell r="L4">
            <v>-5.6297E-2</v>
          </cell>
          <cell r="O4">
            <v>0</v>
          </cell>
        </row>
        <row r="5">
          <cell r="L5">
            <v>-8.8549000000000003E-2</v>
          </cell>
          <cell r="O5">
            <v>1</v>
          </cell>
        </row>
        <row r="6">
          <cell r="L6">
            <v>-0.104837</v>
          </cell>
          <cell r="O6">
            <v>-1.1682490000000001</v>
          </cell>
        </row>
        <row r="7">
          <cell r="L7">
            <v>-0.11285299999999999</v>
          </cell>
        </row>
        <row r="8">
          <cell r="L8">
            <v>-0.130744</v>
          </cell>
        </row>
        <row r="9">
          <cell r="L9">
            <v>-0.1389</v>
          </cell>
        </row>
        <row r="10">
          <cell r="L10">
            <v>-0.15068300000000001</v>
          </cell>
        </row>
        <row r="11">
          <cell r="L11">
            <v>-0.164544</v>
          </cell>
        </row>
        <row r="12">
          <cell r="L12">
            <v>-0.23908099999999999</v>
          </cell>
        </row>
        <row r="13">
          <cell r="L13">
            <v>-0.27545199999999997</v>
          </cell>
        </row>
        <row r="14">
          <cell r="L14">
            <v>-0.28546100000000002</v>
          </cell>
        </row>
        <row r="15">
          <cell r="L15">
            <v>-0.29611599999999999</v>
          </cell>
        </row>
        <row r="16">
          <cell r="L16">
            <v>-0.31750800000000001</v>
          </cell>
        </row>
        <row r="17">
          <cell r="L17">
            <v>-0.34726400000000002</v>
          </cell>
        </row>
        <row r="18">
          <cell r="L18">
            <v>-0.37508000000000002</v>
          </cell>
        </row>
        <row r="19">
          <cell r="L19">
            <v>-0.38285200000000003</v>
          </cell>
        </row>
        <row r="20">
          <cell r="L20">
            <v>-0.40242699999999998</v>
          </cell>
        </row>
        <row r="21">
          <cell r="L21">
            <v>-0.413829</v>
          </cell>
        </row>
        <row r="22">
          <cell r="L22">
            <v>-0.42901</v>
          </cell>
        </row>
        <row r="23">
          <cell r="L23">
            <v>-0.41644399999999998</v>
          </cell>
        </row>
        <row r="24">
          <cell r="L24">
            <v>-0.426952</v>
          </cell>
        </row>
        <row r="25">
          <cell r="L25">
            <v>-0.43007699999999999</v>
          </cell>
        </row>
        <row r="26">
          <cell r="L26">
            <v>-0.451573</v>
          </cell>
        </row>
        <row r="27">
          <cell r="L27">
            <v>-0.470277</v>
          </cell>
        </row>
        <row r="28">
          <cell r="L28">
            <v>-0.476053</v>
          </cell>
        </row>
        <row r="29">
          <cell r="L29">
            <v>-0.48122599999999999</v>
          </cell>
        </row>
        <row r="30">
          <cell r="L30">
            <v>-0.48853600000000003</v>
          </cell>
        </row>
        <row r="31">
          <cell r="L31">
            <v>-0.49720599999999998</v>
          </cell>
        </row>
        <row r="32">
          <cell r="L32">
            <v>-0.49299599999999999</v>
          </cell>
        </row>
        <row r="33">
          <cell r="L33">
            <v>-0.48910500000000001</v>
          </cell>
        </row>
        <row r="34">
          <cell r="L34">
            <v>-0.52663000000000004</v>
          </cell>
        </row>
        <row r="35">
          <cell r="L35">
            <v>-0.54388999999999998</v>
          </cell>
        </row>
        <row r="36">
          <cell r="L36">
            <v>-0.56830199999999997</v>
          </cell>
        </row>
        <row r="37">
          <cell r="L37">
            <v>-0.577735</v>
          </cell>
        </row>
        <row r="38">
          <cell r="L38">
            <v>-0.59776399999999996</v>
          </cell>
        </row>
        <row r="39">
          <cell r="L39">
            <v>-0.60774499999999998</v>
          </cell>
        </row>
        <row r="40">
          <cell r="L40">
            <v>-0.63007400000000002</v>
          </cell>
        </row>
        <row r="41">
          <cell r="L41">
            <v>-0.64067499999999999</v>
          </cell>
        </row>
        <row r="42">
          <cell r="L42">
            <v>-0.65656199999999998</v>
          </cell>
        </row>
        <row r="43">
          <cell r="L43">
            <v>-0.664524</v>
          </cell>
        </row>
        <row r="44">
          <cell r="L44">
            <v>-0.67139800000000005</v>
          </cell>
        </row>
        <row r="45">
          <cell r="L45">
            <v>-0.677091</v>
          </cell>
        </row>
        <row r="46">
          <cell r="L46">
            <v>-0.67796199999999995</v>
          </cell>
        </row>
        <row r="47">
          <cell r="L47">
            <v>-0.68667100000000003</v>
          </cell>
        </row>
        <row r="48">
          <cell r="L48">
            <v>-0.69091899999999995</v>
          </cell>
        </row>
        <row r="49">
          <cell r="L49">
            <v>-0.700129</v>
          </cell>
        </row>
        <row r="50">
          <cell r="L50">
            <v>-0.70193099999999997</v>
          </cell>
        </row>
        <row r="51">
          <cell r="L51">
            <v>-0.70643199999999995</v>
          </cell>
        </row>
        <row r="52">
          <cell r="L52">
            <v>-0.71548999999999996</v>
          </cell>
        </row>
        <row r="53">
          <cell r="L53">
            <v>-0.71819100000000002</v>
          </cell>
        </row>
        <row r="54">
          <cell r="L54">
            <v>-0.70800600000000002</v>
          </cell>
        </row>
        <row r="55">
          <cell r="L55">
            <v>-0.73285599999999995</v>
          </cell>
        </row>
        <row r="56">
          <cell r="L56">
            <v>-0.73196300000000003</v>
          </cell>
        </row>
        <row r="57">
          <cell r="L57">
            <v>-0.73983699999999997</v>
          </cell>
        </row>
        <row r="58">
          <cell r="L58">
            <v>-0.74702599999999997</v>
          </cell>
        </row>
        <row r="59">
          <cell r="L59">
            <v>-0.749502</v>
          </cell>
        </row>
        <row r="60">
          <cell r="L60">
            <v>-0.77104600000000001</v>
          </cell>
        </row>
        <row r="61">
          <cell r="L61">
            <v>-0.71730799999999995</v>
          </cell>
        </row>
        <row r="62">
          <cell r="L62">
            <v>-0.78579600000000005</v>
          </cell>
        </row>
        <row r="63">
          <cell r="L63">
            <v>-0.80288899999999996</v>
          </cell>
        </row>
        <row r="64">
          <cell r="L64">
            <v>-0.79210100000000006</v>
          </cell>
        </row>
        <row r="65">
          <cell r="L65">
            <v>-0.82742300000000002</v>
          </cell>
        </row>
        <row r="66">
          <cell r="L66">
            <v>-0.84104900000000005</v>
          </cell>
        </row>
        <row r="67">
          <cell r="L67">
            <v>-0.85512200000000005</v>
          </cell>
        </row>
        <row r="68">
          <cell r="L68">
            <v>-0.85980400000000001</v>
          </cell>
        </row>
        <row r="69">
          <cell r="L69">
            <v>-0.86778999999999995</v>
          </cell>
        </row>
        <row r="70">
          <cell r="L70">
            <v>-0.87392400000000003</v>
          </cell>
        </row>
        <row r="71">
          <cell r="L71">
            <v>-0.86980299999999999</v>
          </cell>
        </row>
        <row r="72">
          <cell r="L72">
            <v>-0.87629199999999996</v>
          </cell>
        </row>
        <row r="73">
          <cell r="L73">
            <v>-0.89869500000000002</v>
          </cell>
        </row>
        <row r="74">
          <cell r="L74">
            <v>-0.90558499999999997</v>
          </cell>
        </row>
        <row r="75">
          <cell r="L75">
            <v>-0.90559000000000001</v>
          </cell>
        </row>
        <row r="76">
          <cell r="L76">
            <v>-0.88933499999999999</v>
          </cell>
        </row>
        <row r="77">
          <cell r="L77">
            <v>-0.954322</v>
          </cell>
        </row>
        <row r="78">
          <cell r="L78">
            <v>-0.98911700000000002</v>
          </cell>
        </row>
        <row r="79">
          <cell r="L79">
            <v>-0.99656999999999996</v>
          </cell>
        </row>
        <row r="80">
          <cell r="L80">
            <v>-0.966395</v>
          </cell>
        </row>
        <row r="81">
          <cell r="L81">
            <v>-0.98621700000000001</v>
          </cell>
        </row>
        <row r="82">
          <cell r="L82">
            <v>-0.97888900000000001</v>
          </cell>
        </row>
        <row r="83">
          <cell r="L83">
            <v>-1.029779</v>
          </cell>
        </row>
        <row r="84">
          <cell r="L84">
            <v>-1.062603</v>
          </cell>
        </row>
        <row r="85">
          <cell r="L85">
            <v>-1.0543279999999999</v>
          </cell>
        </row>
        <row r="86">
          <cell r="L86">
            <v>-1.0711079999999999</v>
          </cell>
        </row>
        <row r="87">
          <cell r="L87">
            <v>-1.069545</v>
          </cell>
        </row>
        <row r="88">
          <cell r="L88">
            <v>-1.0785229999999999</v>
          </cell>
        </row>
        <row r="89">
          <cell r="L89">
            <v>-1.081037</v>
          </cell>
        </row>
        <row r="90">
          <cell r="L90">
            <v>-1.1125849999999999</v>
          </cell>
        </row>
        <row r="91">
          <cell r="L91">
            <v>-1.082875</v>
          </cell>
        </row>
        <row r="92">
          <cell r="L92">
            <v>-1.0928629999999999</v>
          </cell>
        </row>
        <row r="93">
          <cell r="L93">
            <v>-1.126217</v>
          </cell>
        </row>
        <row r="94">
          <cell r="L94">
            <v>-1.139559</v>
          </cell>
        </row>
        <row r="95">
          <cell r="L95">
            <v>-1.144188</v>
          </cell>
        </row>
        <row r="96">
          <cell r="L96">
            <v>-1.149017</v>
          </cell>
        </row>
        <row r="97">
          <cell r="L97">
            <v>-1.162102</v>
          </cell>
        </row>
        <row r="98">
          <cell r="L98">
            <v>-1.177997</v>
          </cell>
        </row>
        <row r="99">
          <cell r="L99">
            <v>-1.180947</v>
          </cell>
        </row>
        <row r="100">
          <cell r="L100">
            <v>-1.168293</v>
          </cell>
        </row>
        <row r="101">
          <cell r="L101">
            <v>-1.188823</v>
          </cell>
        </row>
        <row r="102">
          <cell r="L102">
            <v>-1.1682490000000001</v>
          </cell>
        </row>
      </sheetData>
      <sheetData sheetId="5">
        <row r="2">
          <cell r="AA2">
            <v>1</v>
          </cell>
        </row>
        <row r="3">
          <cell r="AA3">
            <v>0.99</v>
          </cell>
        </row>
        <row r="4">
          <cell r="AA4">
            <v>0.99966699999999997</v>
          </cell>
        </row>
      </sheetData>
      <sheetData sheetId="6">
        <row r="2">
          <cell r="L2">
            <v>0</v>
          </cell>
        </row>
        <row r="3">
          <cell r="L3">
            <v>-7.9360000000000003E-3</v>
          </cell>
        </row>
        <row r="4">
          <cell r="L4">
            <v>-1.451E-2</v>
          </cell>
          <cell r="O4">
            <v>0</v>
          </cell>
        </row>
        <row r="5">
          <cell r="L5">
            <v>-1.4592000000000001E-2</v>
          </cell>
          <cell r="O5">
            <v>1</v>
          </cell>
        </row>
        <row r="6">
          <cell r="L6">
            <v>-1.7070999999999999E-2</v>
          </cell>
          <cell r="O6">
            <v>-0.40472200000000003</v>
          </cell>
        </row>
        <row r="7">
          <cell r="L7">
            <v>-4.5009E-2</v>
          </cell>
        </row>
        <row r="8">
          <cell r="L8">
            <v>-4.6226000000000003E-2</v>
          </cell>
        </row>
        <row r="9">
          <cell r="L9">
            <v>-5.2801000000000001E-2</v>
          </cell>
        </row>
        <row r="10">
          <cell r="L10">
            <v>-5.5011999999999998E-2</v>
          </cell>
        </row>
        <row r="11">
          <cell r="L11">
            <v>-5.7324E-2</v>
          </cell>
        </row>
        <row r="12">
          <cell r="L12">
            <v>-8.6111999999999994E-2</v>
          </cell>
        </row>
        <row r="13">
          <cell r="L13">
            <v>-9.5651E-2</v>
          </cell>
        </row>
        <row r="14">
          <cell r="L14">
            <v>-0.105111</v>
          </cell>
        </row>
        <row r="15">
          <cell r="L15">
            <v>-0.11129799999999999</v>
          </cell>
        </row>
        <row r="16">
          <cell r="L16">
            <v>-0.13996700000000001</v>
          </cell>
        </row>
        <row r="17">
          <cell r="L17">
            <v>-0.153696</v>
          </cell>
        </row>
        <row r="18">
          <cell r="L18">
            <v>-0.175841</v>
          </cell>
        </row>
        <row r="19">
          <cell r="L19">
            <v>-0.186971</v>
          </cell>
        </row>
        <row r="20">
          <cell r="L20">
            <v>-0.19258</v>
          </cell>
        </row>
        <row r="21">
          <cell r="L21">
            <v>-0.20146</v>
          </cell>
        </row>
        <row r="22">
          <cell r="L22">
            <v>-0.204065</v>
          </cell>
        </row>
        <row r="23">
          <cell r="L23">
            <v>-0.18062900000000001</v>
          </cell>
        </row>
        <row r="24">
          <cell r="L24">
            <v>-0.17929</v>
          </cell>
        </row>
        <row r="25">
          <cell r="L25">
            <v>-0.190612</v>
          </cell>
        </row>
        <row r="26">
          <cell r="L26">
            <v>-0.19714899999999999</v>
          </cell>
        </row>
        <row r="27">
          <cell r="L27">
            <v>-0.20255999999999999</v>
          </cell>
        </row>
        <row r="28">
          <cell r="L28">
            <v>-0.20824000000000001</v>
          </cell>
        </row>
        <row r="29">
          <cell r="L29">
            <v>-0.22294700000000001</v>
          </cell>
        </row>
        <row r="30">
          <cell r="L30">
            <v>-0.224742</v>
          </cell>
        </row>
        <row r="31">
          <cell r="L31">
            <v>-0.22936100000000001</v>
          </cell>
        </row>
        <row r="32">
          <cell r="L32">
            <v>-0.22261900000000001</v>
          </cell>
        </row>
        <row r="33">
          <cell r="L33">
            <v>-0.228579</v>
          </cell>
        </row>
        <row r="34">
          <cell r="L34">
            <v>-0.23565</v>
          </cell>
        </row>
        <row r="35">
          <cell r="L35">
            <v>-0.24266299999999999</v>
          </cell>
        </row>
        <row r="36">
          <cell r="L36">
            <v>-0.24660299999999999</v>
          </cell>
        </row>
        <row r="37">
          <cell r="L37">
            <v>-0.26374500000000001</v>
          </cell>
        </row>
        <row r="38">
          <cell r="L38">
            <v>-0.27997499999999997</v>
          </cell>
        </row>
        <row r="39">
          <cell r="L39">
            <v>-0.29628300000000002</v>
          </cell>
        </row>
        <row r="40">
          <cell r="L40">
            <v>-0.31431799999999999</v>
          </cell>
        </row>
        <row r="41">
          <cell r="L41">
            <v>-0.32800000000000001</v>
          </cell>
        </row>
        <row r="42">
          <cell r="L42">
            <v>-0.33194299999999999</v>
          </cell>
        </row>
        <row r="43">
          <cell r="L43">
            <v>-0.336399</v>
          </cell>
        </row>
        <row r="44">
          <cell r="L44">
            <v>-0.33431499999999997</v>
          </cell>
        </row>
        <row r="45">
          <cell r="L45">
            <v>-0.34103699999999998</v>
          </cell>
        </row>
        <row r="46">
          <cell r="L46">
            <v>-0.35408200000000001</v>
          </cell>
        </row>
        <row r="47">
          <cell r="L47">
            <v>-0.36062300000000003</v>
          </cell>
        </row>
        <row r="48">
          <cell r="L48">
            <v>-0.37020700000000001</v>
          </cell>
        </row>
        <row r="49">
          <cell r="L49">
            <v>-0.36842200000000003</v>
          </cell>
        </row>
        <row r="50">
          <cell r="L50">
            <v>-0.37426300000000001</v>
          </cell>
        </row>
        <row r="51">
          <cell r="L51">
            <v>-0.37868800000000002</v>
          </cell>
        </row>
        <row r="52">
          <cell r="L52">
            <v>-0.38633200000000001</v>
          </cell>
        </row>
        <row r="53">
          <cell r="L53">
            <v>-0.40845599999999999</v>
          </cell>
        </row>
        <row r="54">
          <cell r="L54">
            <v>-0.42069000000000001</v>
          </cell>
        </row>
        <row r="55">
          <cell r="L55">
            <v>-0.37255199999999999</v>
          </cell>
        </row>
        <row r="56">
          <cell r="L56">
            <v>-0.39048100000000002</v>
          </cell>
        </row>
        <row r="57">
          <cell r="L57">
            <v>-0.39364399999999999</v>
          </cell>
        </row>
        <row r="58">
          <cell r="L58">
            <v>-0.400169</v>
          </cell>
        </row>
        <row r="59">
          <cell r="L59">
            <v>-0.405335</v>
          </cell>
        </row>
        <row r="60">
          <cell r="L60">
            <v>-0.40960299999999999</v>
          </cell>
        </row>
        <row r="61">
          <cell r="L61">
            <v>-0.40230100000000002</v>
          </cell>
        </row>
        <row r="62">
          <cell r="L62">
            <v>-0.40472200000000003</v>
          </cell>
        </row>
      </sheetData>
      <sheetData sheetId="7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-1.24E-3</v>
          </cell>
        </row>
        <row r="4">
          <cell r="L4">
            <v>9.4289999999999999E-3</v>
          </cell>
          <cell r="O4">
            <v>33</v>
          </cell>
        </row>
        <row r="5">
          <cell r="L5">
            <v>-4.1780000000000003E-3</v>
          </cell>
          <cell r="O5">
            <v>0.67</v>
          </cell>
        </row>
        <row r="6">
          <cell r="L6">
            <v>-2.63E-4</v>
          </cell>
          <cell r="O6">
            <v>-6.9587999999999997E-2</v>
          </cell>
        </row>
        <row r="7">
          <cell r="L7">
            <v>1.0652999999999999E-2</v>
          </cell>
        </row>
        <row r="8">
          <cell r="L8">
            <v>2.2572999999999999E-2</v>
          </cell>
        </row>
        <row r="9">
          <cell r="L9">
            <v>4.6851999999999998E-2</v>
          </cell>
        </row>
        <row r="10">
          <cell r="L10">
            <v>6.2899999999999998E-2</v>
          </cell>
        </row>
        <row r="11">
          <cell r="L11">
            <v>7.5422000000000003E-2</v>
          </cell>
        </row>
        <row r="12">
          <cell r="L12">
            <v>4.9259999999999998E-2</v>
          </cell>
        </row>
        <row r="13">
          <cell r="L13">
            <v>5.0130000000000001E-2</v>
          </cell>
        </row>
        <row r="14">
          <cell r="L14">
            <v>5.2822000000000001E-2</v>
          </cell>
        </row>
        <row r="15">
          <cell r="L15">
            <v>5.5319E-2</v>
          </cell>
        </row>
        <row r="16">
          <cell r="L16">
            <v>5.3724000000000001E-2</v>
          </cell>
        </row>
        <row r="17">
          <cell r="L17">
            <v>4.9458000000000002E-2</v>
          </cell>
        </row>
        <row r="18">
          <cell r="L18">
            <v>2.9665E-2</v>
          </cell>
        </row>
        <row r="19">
          <cell r="L19">
            <v>3.3072999999999998E-2</v>
          </cell>
        </row>
        <row r="20">
          <cell r="L20">
            <v>4.7358999999999998E-2</v>
          </cell>
        </row>
        <row r="21">
          <cell r="L21">
            <v>4.6422999999999999E-2</v>
          </cell>
        </row>
        <row r="22">
          <cell r="L22">
            <v>3.2426000000000003E-2</v>
          </cell>
        </row>
        <row r="23">
          <cell r="L23">
            <v>3.4605999999999998E-2</v>
          </cell>
        </row>
        <row r="24">
          <cell r="L24">
            <v>3.6671000000000002E-2</v>
          </cell>
        </row>
        <row r="25">
          <cell r="L25">
            <v>3.1123000000000001E-2</v>
          </cell>
        </row>
        <row r="26">
          <cell r="L26">
            <v>2.3855999999999999E-2</v>
          </cell>
        </row>
        <row r="27">
          <cell r="L27">
            <v>2.1940000000000001E-2</v>
          </cell>
        </row>
        <row r="28">
          <cell r="L28">
            <v>2.2766000000000002E-2</v>
          </cell>
        </row>
        <row r="29">
          <cell r="L29">
            <v>2.0341000000000001E-2</v>
          </cell>
        </row>
        <row r="30">
          <cell r="L30">
            <v>2.0351999999999999E-2</v>
          </cell>
        </row>
        <row r="31">
          <cell r="L31">
            <v>2.1987E-2</v>
          </cell>
        </row>
        <row r="32">
          <cell r="L32">
            <v>2.7689999999999999E-2</v>
          </cell>
        </row>
        <row r="33">
          <cell r="L33">
            <v>2.0271999999999998E-2</v>
          </cell>
        </row>
        <row r="34">
          <cell r="L34">
            <v>1.5945999999999998E-2</v>
          </cell>
        </row>
        <row r="35">
          <cell r="L35">
            <v>4.7730000000000003E-3</v>
          </cell>
        </row>
        <row r="36">
          <cell r="L36">
            <v>1.9840000000000001E-3</v>
          </cell>
        </row>
        <row r="37">
          <cell r="L37">
            <v>-1.5334E-2</v>
          </cell>
        </row>
        <row r="38">
          <cell r="L38">
            <v>-1.0130999999999999E-2</v>
          </cell>
        </row>
        <row r="39">
          <cell r="L39">
            <v>-1.8440999999999999E-2</v>
          </cell>
        </row>
        <row r="40">
          <cell r="L40">
            <v>-2.2005E-2</v>
          </cell>
        </row>
        <row r="41">
          <cell r="L41">
            <v>-2.5253000000000001E-2</v>
          </cell>
        </row>
        <row r="42">
          <cell r="L42">
            <v>-2.8268000000000001E-2</v>
          </cell>
        </row>
        <row r="43">
          <cell r="L43">
            <v>-3.3568000000000001E-2</v>
          </cell>
        </row>
        <row r="44">
          <cell r="L44">
            <v>-3.3924999999999997E-2</v>
          </cell>
        </row>
        <row r="45">
          <cell r="L45">
            <v>-3.2298E-2</v>
          </cell>
        </row>
        <row r="46">
          <cell r="L46">
            <v>-3.4278000000000003E-2</v>
          </cell>
        </row>
        <row r="47">
          <cell r="L47">
            <v>-3.8177999999999997E-2</v>
          </cell>
        </row>
        <row r="48">
          <cell r="L48">
            <v>-4.2592999999999999E-2</v>
          </cell>
        </row>
        <row r="49">
          <cell r="L49">
            <v>-4.9798000000000002E-2</v>
          </cell>
        </row>
        <row r="50">
          <cell r="L50">
            <v>-4.7536000000000002E-2</v>
          </cell>
        </row>
        <row r="51">
          <cell r="L51">
            <v>-6.4014000000000001E-2</v>
          </cell>
        </row>
        <row r="52">
          <cell r="L52">
            <v>-7.3248999999999995E-2</v>
          </cell>
        </row>
        <row r="53">
          <cell r="L53">
            <v>-5.0776000000000002E-2</v>
          </cell>
        </row>
        <row r="54">
          <cell r="L54">
            <v>-3.1932000000000002E-2</v>
          </cell>
        </row>
        <row r="55">
          <cell r="L55">
            <v>-3.5943000000000003E-2</v>
          </cell>
        </row>
        <row r="56">
          <cell r="L56">
            <v>-3.4993000000000003E-2</v>
          </cell>
        </row>
        <row r="57">
          <cell r="L57">
            <v>-4.9715000000000002E-2</v>
          </cell>
        </row>
        <row r="58">
          <cell r="L58">
            <v>-4.3893000000000001E-2</v>
          </cell>
        </row>
        <row r="59">
          <cell r="L59">
            <v>-3.9562E-2</v>
          </cell>
        </row>
        <row r="60">
          <cell r="L60">
            <v>-1.7876E-2</v>
          </cell>
        </row>
        <row r="61">
          <cell r="L61">
            <v>-2.1676999999999998E-2</v>
          </cell>
        </row>
        <row r="62">
          <cell r="L62">
            <v>-2.5366E-2</v>
          </cell>
        </row>
        <row r="63">
          <cell r="L63">
            <v>-2.9083999999999999E-2</v>
          </cell>
        </row>
        <row r="64">
          <cell r="L64">
            <v>-2.4955999999999999E-2</v>
          </cell>
        </row>
        <row r="65">
          <cell r="L65">
            <v>-2.5340000000000001E-2</v>
          </cell>
        </row>
        <row r="66">
          <cell r="L66">
            <v>-2.9149999999999999E-2</v>
          </cell>
        </row>
        <row r="67">
          <cell r="L67">
            <v>-3.3975999999999999E-2</v>
          </cell>
        </row>
        <row r="68">
          <cell r="L68">
            <v>-3.3661000000000003E-2</v>
          </cell>
        </row>
        <row r="69">
          <cell r="L69">
            <v>-3.7985999999999999E-2</v>
          </cell>
        </row>
        <row r="70">
          <cell r="L70">
            <v>-3.7893999999999997E-2</v>
          </cell>
        </row>
        <row r="71">
          <cell r="L71">
            <v>-4.3997000000000001E-2</v>
          </cell>
        </row>
        <row r="72">
          <cell r="L72">
            <v>-5.1857E-2</v>
          </cell>
        </row>
        <row r="73">
          <cell r="L73">
            <v>-4.3201999999999997E-2</v>
          </cell>
        </row>
        <row r="74">
          <cell r="L74">
            <v>-4.8425999999999997E-2</v>
          </cell>
        </row>
        <row r="75">
          <cell r="L75">
            <v>-4.6047999999999999E-2</v>
          </cell>
        </row>
        <row r="76">
          <cell r="L76">
            <v>-3.9551000000000003E-2</v>
          </cell>
        </row>
        <row r="77">
          <cell r="L77">
            <v>-4.6469000000000003E-2</v>
          </cell>
        </row>
        <row r="78">
          <cell r="L78">
            <v>-4.3707999999999997E-2</v>
          </cell>
        </row>
        <row r="79">
          <cell r="L79">
            <v>-3.8220999999999998E-2</v>
          </cell>
        </row>
        <row r="80">
          <cell r="L80">
            <v>-4.1660000000000003E-2</v>
          </cell>
        </row>
        <row r="81">
          <cell r="L81">
            <v>-1.3675E-2</v>
          </cell>
        </row>
        <row r="82">
          <cell r="L82">
            <v>-8.541E-3</v>
          </cell>
        </row>
        <row r="83">
          <cell r="L83">
            <v>8.7930000000000005E-3</v>
          </cell>
        </row>
        <row r="84">
          <cell r="L84">
            <v>8.2999999999999998E-5</v>
          </cell>
        </row>
        <row r="85">
          <cell r="L85">
            <v>-7.43E-3</v>
          </cell>
        </row>
        <row r="86">
          <cell r="L86">
            <v>-9.6919999999999992E-3</v>
          </cell>
        </row>
        <row r="87">
          <cell r="L87">
            <v>-2.2603000000000002E-2</v>
          </cell>
        </row>
        <row r="88">
          <cell r="L88">
            <v>-2.4555E-2</v>
          </cell>
        </row>
        <row r="89">
          <cell r="L89">
            <v>-2.3845999999999999E-2</v>
          </cell>
        </row>
        <row r="90">
          <cell r="L90">
            <v>-1.2684000000000001E-2</v>
          </cell>
        </row>
        <row r="91">
          <cell r="L91">
            <v>-8.8170000000000002E-3</v>
          </cell>
        </row>
        <row r="92">
          <cell r="L92">
            <v>-2.6339000000000001E-2</v>
          </cell>
        </row>
        <row r="93">
          <cell r="L93">
            <v>-3.0064E-2</v>
          </cell>
        </row>
        <row r="94">
          <cell r="L94">
            <v>-3.3260999999999999E-2</v>
          </cell>
        </row>
        <row r="95">
          <cell r="L95">
            <v>-2.5793E-2</v>
          </cell>
        </row>
        <row r="96">
          <cell r="L96">
            <v>-3.1919000000000003E-2</v>
          </cell>
        </row>
        <row r="97">
          <cell r="L97">
            <v>-5.2558000000000001E-2</v>
          </cell>
        </row>
        <row r="98">
          <cell r="L98">
            <v>-5.6292000000000002E-2</v>
          </cell>
        </row>
        <row r="99">
          <cell r="L99">
            <v>-5.4543000000000001E-2</v>
          </cell>
        </row>
        <row r="100">
          <cell r="L100">
            <v>-6.2447000000000003E-2</v>
          </cell>
        </row>
        <row r="101">
          <cell r="L101">
            <v>-6.5541000000000002E-2</v>
          </cell>
        </row>
        <row r="102">
          <cell r="L102">
            <v>-6.9587999999999997E-2</v>
          </cell>
        </row>
      </sheetData>
      <sheetData sheetId="1">
        <row r="2">
          <cell r="AA2">
            <v>1</v>
          </cell>
        </row>
        <row r="3">
          <cell r="AA3">
            <v>0.68</v>
          </cell>
        </row>
        <row r="4">
          <cell r="AA4">
            <v>0.965333</v>
          </cell>
        </row>
      </sheetData>
      <sheetData sheetId="2">
        <row r="2">
          <cell r="L2">
            <v>0</v>
          </cell>
        </row>
        <row r="3">
          <cell r="L3">
            <v>-3.5469999999999998E-3</v>
          </cell>
        </row>
        <row r="4">
          <cell r="L4">
            <v>2.9160000000000002E-3</v>
          </cell>
          <cell r="O4">
            <v>58</v>
          </cell>
        </row>
        <row r="5">
          <cell r="L5">
            <v>2.519E-3</v>
          </cell>
          <cell r="O5">
            <v>3.3333000000000002E-2</v>
          </cell>
        </row>
        <row r="6">
          <cell r="L6">
            <v>1.0111E-2</v>
          </cell>
          <cell r="O6">
            <v>8.4541000000000005E-2</v>
          </cell>
        </row>
        <row r="7">
          <cell r="L7">
            <v>-2.5399999999999999E-4</v>
          </cell>
        </row>
        <row r="8">
          <cell r="L8">
            <v>1.0231000000000001E-2</v>
          </cell>
        </row>
        <row r="9">
          <cell r="L9">
            <v>1.1188E-2</v>
          </cell>
        </row>
        <row r="10">
          <cell r="L10">
            <v>2.2408000000000001E-2</v>
          </cell>
        </row>
        <row r="11">
          <cell r="L11">
            <v>2.2565000000000002E-2</v>
          </cell>
        </row>
        <row r="12">
          <cell r="L12">
            <v>1.2624E-2</v>
          </cell>
        </row>
        <row r="13">
          <cell r="L13">
            <v>1.695E-2</v>
          </cell>
        </row>
        <row r="14">
          <cell r="L14">
            <v>1.7913999999999999E-2</v>
          </cell>
        </row>
        <row r="15">
          <cell r="L15">
            <v>1.5023999999999999E-2</v>
          </cell>
        </row>
        <row r="16">
          <cell r="L16">
            <v>1.0952E-2</v>
          </cell>
        </row>
        <row r="17">
          <cell r="L17">
            <v>1.3783E-2</v>
          </cell>
        </row>
        <row r="18">
          <cell r="L18">
            <v>1.1113E-2</v>
          </cell>
        </row>
        <row r="19">
          <cell r="L19">
            <v>1.5172E-2</v>
          </cell>
        </row>
        <row r="20">
          <cell r="L20">
            <v>1.9857E-2</v>
          </cell>
        </row>
        <row r="21">
          <cell r="L21">
            <v>2.2599000000000001E-2</v>
          </cell>
        </row>
        <row r="22">
          <cell r="L22">
            <v>3.0332000000000001E-2</v>
          </cell>
        </row>
        <row r="23">
          <cell r="L23">
            <v>3.2395E-2</v>
          </cell>
        </row>
        <row r="24">
          <cell r="L24">
            <v>3.5901000000000002E-2</v>
          </cell>
        </row>
        <row r="25">
          <cell r="L25">
            <v>4.0209000000000002E-2</v>
          </cell>
        </row>
        <row r="26">
          <cell r="L26">
            <v>3.8585000000000001E-2</v>
          </cell>
        </row>
        <row r="27">
          <cell r="L27">
            <v>4.3343E-2</v>
          </cell>
        </row>
        <row r="28">
          <cell r="L28">
            <v>4.0494000000000002E-2</v>
          </cell>
        </row>
        <row r="29">
          <cell r="L29">
            <v>3.7455000000000002E-2</v>
          </cell>
        </row>
        <row r="30">
          <cell r="L30">
            <v>4.1674000000000003E-2</v>
          </cell>
        </row>
        <row r="31">
          <cell r="L31">
            <v>5.4289999999999998E-2</v>
          </cell>
        </row>
        <row r="32">
          <cell r="L32">
            <v>5.8195999999999998E-2</v>
          </cell>
        </row>
        <row r="33">
          <cell r="L33">
            <v>6.8820000000000006E-2</v>
          </cell>
        </row>
        <row r="34">
          <cell r="L34">
            <v>7.7965000000000007E-2</v>
          </cell>
        </row>
        <row r="35">
          <cell r="L35">
            <v>8.2519999999999996E-2</v>
          </cell>
        </row>
        <row r="36">
          <cell r="L36">
            <v>8.0946000000000004E-2</v>
          </cell>
        </row>
        <row r="37">
          <cell r="L37">
            <v>6.5613000000000005E-2</v>
          </cell>
        </row>
        <row r="38">
          <cell r="L38">
            <v>6.7018999999999995E-2</v>
          </cell>
        </row>
        <row r="39">
          <cell r="L39">
            <v>7.3255000000000001E-2</v>
          </cell>
        </row>
        <row r="40">
          <cell r="L40">
            <v>6.744E-2</v>
          </cell>
        </row>
        <row r="41">
          <cell r="L41">
            <v>7.1687000000000001E-2</v>
          </cell>
        </row>
        <row r="42">
          <cell r="L42">
            <v>6.8240999999999996E-2</v>
          </cell>
        </row>
        <row r="43">
          <cell r="L43">
            <v>3.2418000000000002E-2</v>
          </cell>
        </row>
        <row r="44">
          <cell r="L44">
            <v>3.6831000000000003E-2</v>
          </cell>
        </row>
        <row r="45">
          <cell r="L45">
            <v>3.6052000000000001E-2</v>
          </cell>
        </row>
        <row r="46">
          <cell r="L46">
            <v>3.3111000000000002E-2</v>
          </cell>
        </row>
        <row r="47">
          <cell r="L47">
            <v>3.4014999999999997E-2</v>
          </cell>
        </row>
        <row r="48">
          <cell r="L48">
            <v>2.7317000000000001E-2</v>
          </cell>
        </row>
        <row r="49">
          <cell r="L49">
            <v>1.4485E-2</v>
          </cell>
        </row>
        <row r="50">
          <cell r="L50">
            <v>1.8766999999999999E-2</v>
          </cell>
        </row>
        <row r="51">
          <cell r="L51">
            <v>2.3434E-2</v>
          </cell>
        </row>
        <row r="52">
          <cell r="L52">
            <v>3.7508E-2</v>
          </cell>
        </row>
        <row r="53">
          <cell r="L53">
            <v>4.5900999999999997E-2</v>
          </cell>
        </row>
        <row r="54">
          <cell r="L54">
            <v>4.8002999999999997E-2</v>
          </cell>
        </row>
        <row r="55">
          <cell r="L55">
            <v>5.0214000000000002E-2</v>
          </cell>
        </row>
        <row r="56">
          <cell r="L56">
            <v>5.9663000000000001E-2</v>
          </cell>
        </row>
        <row r="57">
          <cell r="L57">
            <v>7.2184999999999999E-2</v>
          </cell>
        </row>
        <row r="58">
          <cell r="L58">
            <v>7.4366000000000002E-2</v>
          </cell>
        </row>
        <row r="59">
          <cell r="L59">
            <v>6.4852999999999994E-2</v>
          </cell>
        </row>
        <row r="60">
          <cell r="L60">
            <v>7.3154999999999998E-2</v>
          </cell>
        </row>
        <row r="61">
          <cell r="L61">
            <v>8.6472999999999994E-2</v>
          </cell>
        </row>
        <row r="62">
          <cell r="L62">
            <v>8.4541000000000005E-2</v>
          </cell>
        </row>
      </sheetData>
      <sheetData sheetId="3">
        <row r="2">
          <cell r="AA2">
            <v>0.63333300000000003</v>
          </cell>
        </row>
        <row r="3">
          <cell r="AA3">
            <v>0</v>
          </cell>
        </row>
        <row r="4">
          <cell r="AA4">
            <v>0.20833299999999999</v>
          </cell>
        </row>
      </sheetData>
      <sheetData sheetId="4">
        <row r="2">
          <cell r="L2">
            <v>0</v>
          </cell>
        </row>
        <row r="3">
          <cell r="L3">
            <v>-1.0739E-2</v>
          </cell>
        </row>
        <row r="4">
          <cell r="L4">
            <v>-2.578E-3</v>
          </cell>
          <cell r="O4">
            <v>0</v>
          </cell>
        </row>
        <row r="5">
          <cell r="L5">
            <v>-4.1354000000000002E-2</v>
          </cell>
          <cell r="O5">
            <v>1</v>
          </cell>
        </row>
        <row r="6">
          <cell r="L6">
            <v>-3.9607999999999997E-2</v>
          </cell>
          <cell r="O6">
            <v>-1.10232</v>
          </cell>
        </row>
        <row r="7">
          <cell r="L7">
            <v>-4.2616000000000001E-2</v>
          </cell>
        </row>
        <row r="8">
          <cell r="L8">
            <v>-5.9539000000000002E-2</v>
          </cell>
        </row>
        <row r="9">
          <cell r="L9">
            <v>-6.4677999999999999E-2</v>
          </cell>
        </row>
        <row r="10">
          <cell r="L10">
            <v>-5.0847000000000003E-2</v>
          </cell>
        </row>
        <row r="11">
          <cell r="L11">
            <v>-7.9315999999999998E-2</v>
          </cell>
        </row>
        <row r="12">
          <cell r="L12">
            <v>-0.172182</v>
          </cell>
        </row>
        <row r="13">
          <cell r="L13">
            <v>-0.21234700000000001</v>
          </cell>
        </row>
        <row r="14">
          <cell r="L14">
            <v>-0.220416</v>
          </cell>
        </row>
        <row r="15">
          <cell r="L15">
            <v>-0.24749699999999999</v>
          </cell>
        </row>
        <row r="16">
          <cell r="L16">
            <v>-0.27368900000000002</v>
          </cell>
        </row>
        <row r="17">
          <cell r="L17">
            <v>-0.29339799999999999</v>
          </cell>
        </row>
        <row r="18">
          <cell r="L18">
            <v>-0.32566400000000001</v>
          </cell>
        </row>
        <row r="19">
          <cell r="L19">
            <v>-0.325824</v>
          </cell>
        </row>
        <row r="20">
          <cell r="L20">
            <v>-0.337783</v>
          </cell>
        </row>
        <row r="21">
          <cell r="L21">
            <v>-0.315996</v>
          </cell>
        </row>
        <row r="22">
          <cell r="L22">
            <v>-0.349939</v>
          </cell>
        </row>
        <row r="23">
          <cell r="L23">
            <v>-0.36165799999999998</v>
          </cell>
        </row>
        <row r="24">
          <cell r="L24">
            <v>-0.36876100000000001</v>
          </cell>
        </row>
        <row r="25">
          <cell r="L25">
            <v>-0.353184</v>
          </cell>
        </row>
        <row r="26">
          <cell r="L26">
            <v>-0.38435399999999997</v>
          </cell>
        </row>
        <row r="27">
          <cell r="L27">
            <v>-0.400202</v>
          </cell>
        </row>
        <row r="28">
          <cell r="L28">
            <v>-0.40321899999999999</v>
          </cell>
        </row>
        <row r="29">
          <cell r="L29">
            <v>-0.41365600000000002</v>
          </cell>
        </row>
        <row r="30">
          <cell r="L30">
            <v>-0.42713299999999998</v>
          </cell>
        </row>
        <row r="31">
          <cell r="L31">
            <v>-0.43005399999999999</v>
          </cell>
        </row>
        <row r="32">
          <cell r="L32">
            <v>-0.432423</v>
          </cell>
        </row>
        <row r="33">
          <cell r="L33">
            <v>-0.43907800000000002</v>
          </cell>
        </row>
        <row r="34">
          <cell r="L34">
            <v>-0.47270499999999999</v>
          </cell>
        </row>
        <row r="35">
          <cell r="L35">
            <v>-0.48532399999999998</v>
          </cell>
        </row>
        <row r="36">
          <cell r="L36">
            <v>-0.49293900000000002</v>
          </cell>
        </row>
        <row r="37">
          <cell r="L37">
            <v>-0.49860500000000002</v>
          </cell>
        </row>
        <row r="38">
          <cell r="L38">
            <v>-0.51252900000000001</v>
          </cell>
        </row>
        <row r="39">
          <cell r="L39">
            <v>-0.53089799999999998</v>
          </cell>
        </row>
        <row r="40">
          <cell r="L40">
            <v>-0.55020199999999997</v>
          </cell>
        </row>
        <row r="41">
          <cell r="L41">
            <v>-0.53067500000000001</v>
          </cell>
        </row>
        <row r="42">
          <cell r="L42">
            <v>-0.54228399999999999</v>
          </cell>
        </row>
        <row r="43">
          <cell r="L43">
            <v>-0.54974599999999996</v>
          </cell>
        </row>
        <row r="44">
          <cell r="L44">
            <v>-0.55461199999999999</v>
          </cell>
        </row>
        <row r="45">
          <cell r="L45">
            <v>-0.55710000000000004</v>
          </cell>
        </row>
        <row r="46">
          <cell r="L46">
            <v>-0.56408899999999995</v>
          </cell>
        </row>
        <row r="47">
          <cell r="L47">
            <v>-0.57463799999999998</v>
          </cell>
        </row>
        <row r="48">
          <cell r="L48">
            <v>-0.57803899999999997</v>
          </cell>
        </row>
        <row r="49">
          <cell r="L49">
            <v>-0.58481000000000005</v>
          </cell>
        </row>
        <row r="50">
          <cell r="L50">
            <v>-0.58380299999999996</v>
          </cell>
        </row>
        <row r="51">
          <cell r="L51">
            <v>-0.59168200000000004</v>
          </cell>
        </row>
        <row r="52">
          <cell r="L52">
            <v>-0.65684900000000002</v>
          </cell>
        </row>
        <row r="53">
          <cell r="L53">
            <v>-0.65420599999999995</v>
          </cell>
        </row>
        <row r="54">
          <cell r="L54">
            <v>-0.63702499999999995</v>
          </cell>
        </row>
        <row r="55">
          <cell r="L55">
            <v>-0.67849999999999999</v>
          </cell>
        </row>
        <row r="56">
          <cell r="L56">
            <v>-0.67275099999999999</v>
          </cell>
        </row>
        <row r="57">
          <cell r="L57">
            <v>-0.688886</v>
          </cell>
        </row>
        <row r="58">
          <cell r="L58">
            <v>-0.68294699999999997</v>
          </cell>
        </row>
        <row r="59">
          <cell r="L59">
            <v>-0.69628800000000002</v>
          </cell>
        </row>
        <row r="60">
          <cell r="L60">
            <v>-0.69331100000000001</v>
          </cell>
        </row>
        <row r="61">
          <cell r="L61">
            <v>-0.68886400000000003</v>
          </cell>
        </row>
        <row r="62">
          <cell r="L62">
            <v>-0.71581700000000004</v>
          </cell>
        </row>
        <row r="63">
          <cell r="L63">
            <v>-0.76847699999999997</v>
          </cell>
        </row>
        <row r="64">
          <cell r="L64">
            <v>-0.760486</v>
          </cell>
        </row>
        <row r="65">
          <cell r="L65">
            <v>-0.76823399999999997</v>
          </cell>
        </row>
        <row r="66">
          <cell r="L66">
            <v>-0.78193299999999999</v>
          </cell>
        </row>
        <row r="67">
          <cell r="L67">
            <v>-0.79149099999999994</v>
          </cell>
        </row>
        <row r="68">
          <cell r="L68">
            <v>-0.794825</v>
          </cell>
        </row>
        <row r="69">
          <cell r="L69">
            <v>-0.80684500000000003</v>
          </cell>
        </row>
        <row r="70">
          <cell r="L70">
            <v>-0.80993499999999996</v>
          </cell>
        </row>
        <row r="71">
          <cell r="L71">
            <v>-0.79666199999999998</v>
          </cell>
        </row>
        <row r="72">
          <cell r="L72">
            <v>-0.80916699999999997</v>
          </cell>
        </row>
        <row r="73">
          <cell r="L73">
            <v>-0.81361600000000001</v>
          </cell>
        </row>
        <row r="74">
          <cell r="L74">
            <v>-0.83447700000000002</v>
          </cell>
        </row>
        <row r="75">
          <cell r="L75">
            <v>-0.82822799999999996</v>
          </cell>
        </row>
        <row r="76">
          <cell r="L76">
            <v>-0.82477500000000004</v>
          </cell>
        </row>
        <row r="77">
          <cell r="L77">
            <v>-0.86586300000000005</v>
          </cell>
        </row>
        <row r="78">
          <cell r="L78">
            <v>-0.900231</v>
          </cell>
        </row>
        <row r="79">
          <cell r="L79">
            <v>-0.90736300000000003</v>
          </cell>
        </row>
        <row r="80">
          <cell r="L80">
            <v>-0.892127</v>
          </cell>
        </row>
        <row r="81">
          <cell r="L81">
            <v>-0.88659100000000002</v>
          </cell>
        </row>
        <row r="82">
          <cell r="L82">
            <v>-0.95915399999999995</v>
          </cell>
        </row>
        <row r="83">
          <cell r="L83">
            <v>-0.94999100000000003</v>
          </cell>
        </row>
        <row r="84">
          <cell r="L84">
            <v>-0.96326699999999998</v>
          </cell>
        </row>
        <row r="85">
          <cell r="L85">
            <v>-0.99751900000000004</v>
          </cell>
        </row>
        <row r="86">
          <cell r="L86">
            <v>-1.0242599999999999</v>
          </cell>
        </row>
        <row r="87">
          <cell r="L87">
            <v>-1.0121089999999999</v>
          </cell>
        </row>
        <row r="88">
          <cell r="L88">
            <v>-1.034286</v>
          </cell>
        </row>
        <row r="89">
          <cell r="L89">
            <v>-1.0165740000000001</v>
          </cell>
        </row>
        <row r="90">
          <cell r="L90">
            <v>-1.017609</v>
          </cell>
        </row>
        <row r="91">
          <cell r="L91">
            <v>-1.0032939999999999</v>
          </cell>
        </row>
        <row r="92">
          <cell r="L92">
            <v>-1.014726</v>
          </cell>
        </row>
        <row r="93">
          <cell r="L93">
            <v>-1.0414369999999999</v>
          </cell>
        </row>
        <row r="94">
          <cell r="L94">
            <v>-1.049533</v>
          </cell>
        </row>
        <row r="95">
          <cell r="L95">
            <v>-1.0250950000000001</v>
          </cell>
        </row>
        <row r="96">
          <cell r="L96">
            <v>-1.0584549999999999</v>
          </cell>
        </row>
        <row r="97">
          <cell r="L97">
            <v>-1.061248</v>
          </cell>
        </row>
        <row r="98">
          <cell r="L98">
            <v>-1.0868500000000001</v>
          </cell>
        </row>
        <row r="99">
          <cell r="L99">
            <v>-1.0946959999999999</v>
          </cell>
        </row>
        <row r="100">
          <cell r="L100">
            <v>-1.0848629999999999</v>
          </cell>
        </row>
        <row r="101">
          <cell r="L101">
            <v>-1.115451</v>
          </cell>
        </row>
        <row r="102">
          <cell r="L102">
            <v>-1.10232</v>
          </cell>
        </row>
      </sheetData>
      <sheetData sheetId="5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6">
        <row r="2">
          <cell r="L2">
            <v>0</v>
          </cell>
        </row>
        <row r="3">
          <cell r="L3">
            <v>-1.1958E-2</v>
          </cell>
        </row>
        <row r="4">
          <cell r="L4">
            <v>-1.7950000000000001E-2</v>
          </cell>
          <cell r="O4">
            <v>0</v>
          </cell>
        </row>
        <row r="5">
          <cell r="L5">
            <v>-1.8016999999999998E-2</v>
          </cell>
          <cell r="O5">
            <v>1</v>
          </cell>
        </row>
        <row r="6">
          <cell r="L6">
            <v>-2.3954E-2</v>
          </cell>
          <cell r="O6">
            <v>-0.33034000000000002</v>
          </cell>
        </row>
        <row r="7">
          <cell r="L7">
            <v>-3.4486999999999997E-2</v>
          </cell>
        </row>
        <row r="8">
          <cell r="L8">
            <v>-2.9849000000000001E-2</v>
          </cell>
        </row>
        <row r="9">
          <cell r="L9">
            <v>-3.5493999999999998E-2</v>
          </cell>
        </row>
        <row r="10">
          <cell r="L10">
            <v>-4.7780000000000003E-2</v>
          </cell>
        </row>
        <row r="11">
          <cell r="L11">
            <v>-4.8580999999999999E-2</v>
          </cell>
        </row>
        <row r="12">
          <cell r="L12">
            <v>-0.112834</v>
          </cell>
        </row>
        <row r="13">
          <cell r="L13">
            <v>-0.125584</v>
          </cell>
        </row>
        <row r="14">
          <cell r="L14">
            <v>-0.12903100000000001</v>
          </cell>
        </row>
        <row r="15">
          <cell r="L15">
            <v>-0.126749</v>
          </cell>
        </row>
        <row r="16">
          <cell r="L16">
            <v>-0.14929000000000001</v>
          </cell>
        </row>
        <row r="17">
          <cell r="L17">
            <v>-0.16051099999999999</v>
          </cell>
        </row>
        <row r="18">
          <cell r="L18">
            <v>-0.164523</v>
          </cell>
        </row>
        <row r="19">
          <cell r="L19">
            <v>-0.17408199999999999</v>
          </cell>
        </row>
        <row r="20">
          <cell r="L20">
            <v>-0.17283799999999999</v>
          </cell>
        </row>
        <row r="21">
          <cell r="L21">
            <v>-0.17288999999999999</v>
          </cell>
        </row>
        <row r="22">
          <cell r="L22">
            <v>-0.16775599999999999</v>
          </cell>
        </row>
        <row r="23">
          <cell r="L23">
            <v>-0.17139499999999999</v>
          </cell>
        </row>
        <row r="24">
          <cell r="L24">
            <v>-0.156495</v>
          </cell>
        </row>
        <row r="25">
          <cell r="L25">
            <v>-0.166323</v>
          </cell>
        </row>
        <row r="26">
          <cell r="L26">
            <v>-0.17056499999999999</v>
          </cell>
        </row>
        <row r="27">
          <cell r="L27">
            <v>-0.16897000000000001</v>
          </cell>
        </row>
        <row r="28">
          <cell r="L28">
            <v>-0.16568099999999999</v>
          </cell>
        </row>
        <row r="29">
          <cell r="L29">
            <v>-0.17855699999999999</v>
          </cell>
        </row>
        <row r="30">
          <cell r="L30">
            <v>-0.184865</v>
          </cell>
        </row>
        <row r="31">
          <cell r="L31">
            <v>-0.18936800000000001</v>
          </cell>
        </row>
        <row r="32">
          <cell r="L32">
            <v>-0.18514600000000001</v>
          </cell>
        </row>
        <row r="33">
          <cell r="L33">
            <v>-0.190882</v>
          </cell>
        </row>
        <row r="34">
          <cell r="L34">
            <v>-0.19194600000000001</v>
          </cell>
        </row>
        <row r="35">
          <cell r="L35">
            <v>-0.19576399999999999</v>
          </cell>
        </row>
        <row r="36">
          <cell r="L36">
            <v>-0.20464199999999999</v>
          </cell>
        </row>
        <row r="37">
          <cell r="L37">
            <v>-0.20400299999999999</v>
          </cell>
        </row>
        <row r="38">
          <cell r="L38">
            <v>-0.20002300000000001</v>
          </cell>
        </row>
        <row r="39">
          <cell r="L39">
            <v>-0.20840400000000001</v>
          </cell>
        </row>
        <row r="40">
          <cell r="L40">
            <v>-0.20655599999999999</v>
          </cell>
        </row>
        <row r="41">
          <cell r="L41">
            <v>-0.21319399999999999</v>
          </cell>
        </row>
        <row r="42">
          <cell r="L42">
            <v>-0.22029699999999999</v>
          </cell>
        </row>
        <row r="43">
          <cell r="L43">
            <v>-0.220802</v>
          </cell>
        </row>
        <row r="44">
          <cell r="L44">
            <v>-0.21881100000000001</v>
          </cell>
        </row>
        <row r="45">
          <cell r="L45">
            <v>-0.219579</v>
          </cell>
        </row>
        <row r="46">
          <cell r="L46">
            <v>-0.22362099999999999</v>
          </cell>
        </row>
        <row r="47">
          <cell r="L47">
            <v>-0.22703699999999999</v>
          </cell>
        </row>
        <row r="48">
          <cell r="L48">
            <v>-0.23777699999999999</v>
          </cell>
        </row>
        <row r="49">
          <cell r="L49">
            <v>-0.24541399999999999</v>
          </cell>
        </row>
        <row r="50">
          <cell r="L50">
            <v>-0.25683800000000001</v>
          </cell>
        </row>
        <row r="51">
          <cell r="L51">
            <v>-0.26375799999999999</v>
          </cell>
        </row>
        <row r="52">
          <cell r="L52">
            <v>-0.27511999999999998</v>
          </cell>
        </row>
        <row r="53">
          <cell r="L53">
            <v>-0.27581299999999997</v>
          </cell>
        </row>
        <row r="54">
          <cell r="L54">
            <v>-0.28267799999999998</v>
          </cell>
        </row>
        <row r="55">
          <cell r="L55">
            <v>-0.27578900000000001</v>
          </cell>
        </row>
        <row r="56">
          <cell r="L56">
            <v>-0.28730699999999998</v>
          </cell>
        </row>
        <row r="57">
          <cell r="L57">
            <v>-0.28944300000000001</v>
          </cell>
        </row>
        <row r="58">
          <cell r="L58">
            <v>-0.29473199999999999</v>
          </cell>
        </row>
        <row r="59">
          <cell r="L59">
            <v>-0.30048200000000003</v>
          </cell>
        </row>
        <row r="60">
          <cell r="L60">
            <v>-0.30578499999999997</v>
          </cell>
        </row>
        <row r="61">
          <cell r="L61">
            <v>-0.31525999999999998</v>
          </cell>
        </row>
        <row r="62">
          <cell r="L62">
            <v>-0.33034000000000002</v>
          </cell>
        </row>
      </sheetData>
      <sheetData sheetId="7">
        <row r="2">
          <cell r="AA2">
            <v>1</v>
          </cell>
        </row>
        <row r="3">
          <cell r="AA3">
            <v>0.96666700000000005</v>
          </cell>
        </row>
        <row r="4">
          <cell r="AA4">
            <v>0.99833300000000003</v>
          </cell>
        </row>
      </sheetData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-1.1637E-2</v>
          </cell>
        </row>
        <row r="4">
          <cell r="L4">
            <v>1.2215E-2</v>
          </cell>
          <cell r="O4">
            <v>99</v>
          </cell>
        </row>
        <row r="5">
          <cell r="L5">
            <v>1.7527999999999998E-2</v>
          </cell>
          <cell r="O5">
            <v>0.01</v>
          </cell>
        </row>
        <row r="6">
          <cell r="L6">
            <v>1.2034E-2</v>
          </cell>
          <cell r="O6">
            <v>0.21617</v>
          </cell>
        </row>
        <row r="7">
          <cell r="L7">
            <v>3.1413999999999997E-2</v>
          </cell>
        </row>
        <row r="8">
          <cell r="L8">
            <v>4.6698999999999997E-2</v>
          </cell>
        </row>
        <row r="9">
          <cell r="L9">
            <v>6.6404000000000005E-2</v>
          </cell>
        </row>
        <row r="10">
          <cell r="L10">
            <v>7.0305999999999993E-2</v>
          </cell>
        </row>
        <row r="11">
          <cell r="L11">
            <v>8.0559000000000006E-2</v>
          </cell>
        </row>
        <row r="12">
          <cell r="L12">
            <v>6.5502000000000005E-2</v>
          </cell>
        </row>
        <row r="13">
          <cell r="L13">
            <v>6.9342000000000001E-2</v>
          </cell>
        </row>
        <row r="14">
          <cell r="L14">
            <v>7.4526999999999996E-2</v>
          </cell>
        </row>
        <row r="15">
          <cell r="L15">
            <v>0.109627</v>
          </cell>
        </row>
        <row r="16">
          <cell r="L16">
            <v>0.119599</v>
          </cell>
        </row>
        <row r="17">
          <cell r="L17">
            <v>0.14033000000000001</v>
          </cell>
        </row>
        <row r="18">
          <cell r="L18">
            <v>0.122976</v>
          </cell>
        </row>
        <row r="19">
          <cell r="L19">
            <v>0.13050600000000001</v>
          </cell>
        </row>
        <row r="20">
          <cell r="L20">
            <v>0.12903800000000001</v>
          </cell>
        </row>
        <row r="21">
          <cell r="L21">
            <v>0.16117999999999999</v>
          </cell>
        </row>
        <row r="22">
          <cell r="L22">
            <v>0.15046300000000001</v>
          </cell>
        </row>
        <row r="23">
          <cell r="L23">
            <v>0.158974</v>
          </cell>
        </row>
        <row r="24">
          <cell r="L24">
            <v>0.15257100000000001</v>
          </cell>
        </row>
        <row r="25">
          <cell r="L25">
            <v>0.152557</v>
          </cell>
        </row>
        <row r="26">
          <cell r="L26">
            <v>0.139292</v>
          </cell>
        </row>
        <row r="27">
          <cell r="L27">
            <v>0.14255799999999999</v>
          </cell>
        </row>
        <row r="28">
          <cell r="L28">
            <v>0.15001500000000001</v>
          </cell>
        </row>
        <row r="29">
          <cell r="L29">
            <v>0.149285</v>
          </cell>
        </row>
        <row r="30">
          <cell r="L30">
            <v>0.14699999999999999</v>
          </cell>
        </row>
        <row r="31">
          <cell r="L31">
            <v>0.14574500000000001</v>
          </cell>
        </row>
        <row r="32">
          <cell r="L32">
            <v>0.14624599999999999</v>
          </cell>
        </row>
        <row r="33">
          <cell r="L33">
            <v>0.123025</v>
          </cell>
        </row>
        <row r="34">
          <cell r="L34">
            <v>0.12990399999999999</v>
          </cell>
        </row>
        <row r="35">
          <cell r="L35">
            <v>0.100248</v>
          </cell>
        </row>
        <row r="36">
          <cell r="L36">
            <v>0.10652399999999999</v>
          </cell>
        </row>
        <row r="37">
          <cell r="L37">
            <v>9.4353999999999993E-2</v>
          </cell>
        </row>
        <row r="38">
          <cell r="L38">
            <v>0.102483</v>
          </cell>
        </row>
        <row r="39">
          <cell r="L39">
            <v>9.4463000000000005E-2</v>
          </cell>
        </row>
        <row r="40">
          <cell r="L40">
            <v>9.4092999999999996E-2</v>
          </cell>
        </row>
        <row r="41">
          <cell r="L41">
            <v>9.6724000000000004E-2</v>
          </cell>
        </row>
        <row r="42">
          <cell r="L42">
            <v>0.106617</v>
          </cell>
        </row>
        <row r="43">
          <cell r="L43">
            <v>0.103898</v>
          </cell>
        </row>
        <row r="44">
          <cell r="L44">
            <v>0.109226</v>
          </cell>
        </row>
        <row r="45">
          <cell r="L45">
            <v>0.127611</v>
          </cell>
        </row>
        <row r="46">
          <cell r="L46">
            <v>0.12969900000000001</v>
          </cell>
        </row>
        <row r="47">
          <cell r="L47">
            <v>0.12731100000000001</v>
          </cell>
        </row>
        <row r="48">
          <cell r="L48">
            <v>0.12171899999999999</v>
          </cell>
        </row>
        <row r="49">
          <cell r="L49">
            <v>0.115286</v>
          </cell>
        </row>
        <row r="50">
          <cell r="L50">
            <v>0.117897</v>
          </cell>
        </row>
        <row r="51">
          <cell r="L51">
            <v>0.119709</v>
          </cell>
        </row>
        <row r="52">
          <cell r="L52">
            <v>0.119183</v>
          </cell>
        </row>
        <row r="53">
          <cell r="L53">
            <v>0.117185</v>
          </cell>
        </row>
        <row r="54">
          <cell r="L54">
            <v>0.108472</v>
          </cell>
        </row>
        <row r="55">
          <cell r="L55">
            <v>0.11328299999999999</v>
          </cell>
        </row>
        <row r="56">
          <cell r="L56">
            <v>0.116243</v>
          </cell>
        </row>
        <row r="57">
          <cell r="L57">
            <v>0.136042</v>
          </cell>
        </row>
        <row r="58">
          <cell r="L58">
            <v>0.13079199999999999</v>
          </cell>
        </row>
        <row r="59">
          <cell r="L59">
            <v>0.12694900000000001</v>
          </cell>
        </row>
        <row r="60">
          <cell r="L60">
            <v>0.13905999999999999</v>
          </cell>
        </row>
        <row r="61">
          <cell r="L61">
            <v>0.14049900000000001</v>
          </cell>
        </row>
        <row r="62">
          <cell r="L62">
            <v>0.13502</v>
          </cell>
        </row>
        <row r="63">
          <cell r="L63">
            <v>0.14659700000000001</v>
          </cell>
        </row>
        <row r="64">
          <cell r="L64">
            <v>0.133269</v>
          </cell>
        </row>
        <row r="65">
          <cell r="L65">
            <v>0.14343800000000001</v>
          </cell>
        </row>
        <row r="66">
          <cell r="L66">
            <v>0.13886499999999999</v>
          </cell>
        </row>
        <row r="67">
          <cell r="L67">
            <v>0.141843</v>
          </cell>
        </row>
        <row r="68">
          <cell r="L68">
            <v>0.13755899999999999</v>
          </cell>
        </row>
        <row r="69">
          <cell r="L69">
            <v>0.125862</v>
          </cell>
        </row>
        <row r="70">
          <cell r="L70">
            <v>0.13219500000000001</v>
          </cell>
        </row>
        <row r="71">
          <cell r="L71">
            <v>0.12979299999999999</v>
          </cell>
        </row>
        <row r="72">
          <cell r="L72">
            <v>0.125529</v>
          </cell>
        </row>
        <row r="73">
          <cell r="L73">
            <v>0.13444999999999999</v>
          </cell>
        </row>
        <row r="74">
          <cell r="L74">
            <v>0.147754</v>
          </cell>
        </row>
        <row r="75">
          <cell r="L75">
            <v>0.15820999999999999</v>
          </cell>
        </row>
        <row r="76">
          <cell r="L76">
            <v>0.15006</v>
          </cell>
        </row>
        <row r="77">
          <cell r="L77">
            <v>0.18001900000000001</v>
          </cell>
        </row>
        <row r="78">
          <cell r="L78">
            <v>0.19143199999999999</v>
          </cell>
        </row>
        <row r="79">
          <cell r="L79">
            <v>0.19395499999999999</v>
          </cell>
        </row>
        <row r="80">
          <cell r="L80">
            <v>0.18751899999999999</v>
          </cell>
        </row>
        <row r="81">
          <cell r="L81">
            <v>0.19862299999999999</v>
          </cell>
        </row>
        <row r="82">
          <cell r="L82">
            <v>0.21582299999999999</v>
          </cell>
        </row>
        <row r="83">
          <cell r="L83">
            <v>0.23053100000000001</v>
          </cell>
        </row>
        <row r="84">
          <cell r="L84">
            <v>0.233379</v>
          </cell>
        </row>
        <row r="85">
          <cell r="L85">
            <v>0.22000800000000001</v>
          </cell>
        </row>
        <row r="86">
          <cell r="L86">
            <v>0.22701099999999999</v>
          </cell>
        </row>
        <row r="87">
          <cell r="L87">
            <v>0.2084</v>
          </cell>
        </row>
        <row r="88">
          <cell r="L88">
            <v>0.216282</v>
          </cell>
        </row>
        <row r="89">
          <cell r="L89">
            <v>0.217893</v>
          </cell>
        </row>
        <row r="90">
          <cell r="L90">
            <v>0.24627199999999999</v>
          </cell>
        </row>
        <row r="91">
          <cell r="L91">
            <v>0.249699</v>
          </cell>
        </row>
        <row r="92">
          <cell r="L92">
            <v>0.22913600000000001</v>
          </cell>
        </row>
        <row r="93">
          <cell r="L93">
            <v>0.239506</v>
          </cell>
        </row>
        <row r="94">
          <cell r="L94">
            <v>0.23149600000000001</v>
          </cell>
        </row>
        <row r="95">
          <cell r="L95">
            <v>0.24496899999999999</v>
          </cell>
        </row>
        <row r="96">
          <cell r="L96">
            <v>0.24191799999999999</v>
          </cell>
        </row>
        <row r="97">
          <cell r="L97">
            <v>0.23647299999999999</v>
          </cell>
        </row>
        <row r="98">
          <cell r="L98">
            <v>0.23425099999999999</v>
          </cell>
        </row>
        <row r="99">
          <cell r="L99">
            <v>0.23454900000000001</v>
          </cell>
        </row>
        <row r="100">
          <cell r="L100">
            <v>0.223972</v>
          </cell>
        </row>
        <row r="101">
          <cell r="L101">
            <v>0.23002900000000001</v>
          </cell>
        </row>
        <row r="102">
          <cell r="L102">
            <v>0.21617</v>
          </cell>
        </row>
      </sheetData>
      <sheetData sheetId="1">
        <row r="2">
          <cell r="AA2">
            <v>0.64</v>
          </cell>
        </row>
        <row r="3">
          <cell r="AA3">
            <v>0.01</v>
          </cell>
        </row>
        <row r="4">
          <cell r="AA4">
            <v>0.20866699999999999</v>
          </cell>
        </row>
      </sheetData>
      <sheetData sheetId="2">
        <row r="2">
          <cell r="L2">
            <v>0</v>
          </cell>
        </row>
        <row r="3">
          <cell r="L3">
            <v>3.581E-3</v>
          </cell>
        </row>
        <row r="4">
          <cell r="L4">
            <v>1.0958000000000001E-2</v>
          </cell>
          <cell r="O4">
            <v>59</v>
          </cell>
        </row>
        <row r="5">
          <cell r="L5">
            <v>1.5970000000000002E-2</v>
          </cell>
          <cell r="O5">
            <v>1.6667000000000001E-2</v>
          </cell>
        </row>
        <row r="6">
          <cell r="L6">
            <v>2.6440000000000001E-3</v>
          </cell>
          <cell r="O6">
            <v>0.216919</v>
          </cell>
        </row>
        <row r="7">
          <cell r="L7">
            <v>-1.1559999999999999E-3</v>
          </cell>
        </row>
        <row r="8">
          <cell r="L8">
            <v>9.5549999999999993E-3</v>
          </cell>
        </row>
        <row r="9">
          <cell r="L9">
            <v>1.3283E-2</v>
          </cell>
        </row>
        <row r="10">
          <cell r="L10">
            <v>2.5618999999999999E-2</v>
          </cell>
        </row>
        <row r="11">
          <cell r="L11">
            <v>2.3324000000000001E-2</v>
          </cell>
        </row>
        <row r="12">
          <cell r="L12">
            <v>2.3889000000000001E-2</v>
          </cell>
        </row>
        <row r="13">
          <cell r="L13">
            <v>4.7613000000000003E-2</v>
          </cell>
        </row>
        <row r="14">
          <cell r="L14">
            <v>5.4418000000000001E-2</v>
          </cell>
        </row>
        <row r="15">
          <cell r="L15">
            <v>6.2664999999999998E-2</v>
          </cell>
        </row>
        <row r="16">
          <cell r="L16">
            <v>5.2350000000000001E-2</v>
          </cell>
        </row>
        <row r="17">
          <cell r="L17">
            <v>5.8964000000000003E-2</v>
          </cell>
        </row>
        <row r="18">
          <cell r="L18">
            <v>6.1435999999999998E-2</v>
          </cell>
        </row>
        <row r="19">
          <cell r="L19">
            <v>6.5196000000000004E-2</v>
          </cell>
        </row>
        <row r="20">
          <cell r="L20">
            <v>6.4982999999999999E-2</v>
          </cell>
        </row>
        <row r="21">
          <cell r="L21">
            <v>7.6200000000000004E-2</v>
          </cell>
        </row>
        <row r="22">
          <cell r="L22">
            <v>8.7248999999999993E-2</v>
          </cell>
        </row>
        <row r="23">
          <cell r="L23">
            <v>9.7209000000000004E-2</v>
          </cell>
        </row>
        <row r="24">
          <cell r="L24">
            <v>0.10510899999999999</v>
          </cell>
        </row>
        <row r="25">
          <cell r="L25">
            <v>0.10731400000000001</v>
          </cell>
        </row>
        <row r="26">
          <cell r="L26">
            <v>0.111121</v>
          </cell>
        </row>
        <row r="27">
          <cell r="L27">
            <v>0.117157</v>
          </cell>
        </row>
        <row r="28">
          <cell r="L28">
            <v>0.120244</v>
          </cell>
        </row>
        <row r="29">
          <cell r="L29">
            <v>0.117248</v>
          </cell>
        </row>
        <row r="30">
          <cell r="L30">
            <v>0.132054</v>
          </cell>
        </row>
        <row r="31">
          <cell r="L31">
            <v>0.13734299999999999</v>
          </cell>
        </row>
        <row r="32">
          <cell r="L32">
            <v>0.141962</v>
          </cell>
        </row>
        <row r="33">
          <cell r="L33">
            <v>0.14463100000000001</v>
          </cell>
        </row>
        <row r="34">
          <cell r="L34">
            <v>0.153751</v>
          </cell>
        </row>
        <row r="35">
          <cell r="L35">
            <v>0.15922700000000001</v>
          </cell>
        </row>
        <row r="36">
          <cell r="L36">
            <v>0.16797899999999999</v>
          </cell>
        </row>
        <row r="37">
          <cell r="L37">
            <v>0.140405</v>
          </cell>
        </row>
        <row r="38">
          <cell r="L38">
            <v>0.15104799999999999</v>
          </cell>
        </row>
        <row r="39">
          <cell r="L39">
            <v>0.149973</v>
          </cell>
        </row>
        <row r="40">
          <cell r="L40">
            <v>0.15424199999999999</v>
          </cell>
        </row>
        <row r="41">
          <cell r="L41">
            <v>0.16308</v>
          </cell>
        </row>
        <row r="42">
          <cell r="L42">
            <v>0.16564100000000001</v>
          </cell>
        </row>
        <row r="43">
          <cell r="L43">
            <v>0.14338200000000001</v>
          </cell>
        </row>
        <row r="44">
          <cell r="L44">
            <v>0.14765200000000001</v>
          </cell>
        </row>
        <row r="45">
          <cell r="L45">
            <v>0.14868999999999999</v>
          </cell>
        </row>
        <row r="46">
          <cell r="L46">
            <v>0.15587799999999999</v>
          </cell>
        </row>
        <row r="47">
          <cell r="L47">
            <v>0.16029399999999999</v>
          </cell>
        </row>
        <row r="48">
          <cell r="L48">
            <v>0.154586</v>
          </cell>
        </row>
        <row r="49">
          <cell r="L49">
            <v>0.15836</v>
          </cell>
        </row>
        <row r="50">
          <cell r="L50">
            <v>0.16433700000000001</v>
          </cell>
        </row>
        <row r="51">
          <cell r="L51">
            <v>0.17361299999999999</v>
          </cell>
        </row>
        <row r="52">
          <cell r="L52">
            <v>0.17757200000000001</v>
          </cell>
        </row>
        <row r="53">
          <cell r="L53">
            <v>0.177818</v>
          </cell>
        </row>
        <row r="54">
          <cell r="L54">
            <v>0.186858</v>
          </cell>
        </row>
        <row r="55">
          <cell r="L55">
            <v>0.16631199999999999</v>
          </cell>
        </row>
        <row r="56">
          <cell r="L56">
            <v>0.180616</v>
          </cell>
        </row>
        <row r="57">
          <cell r="L57">
            <v>0.18097099999999999</v>
          </cell>
        </row>
        <row r="58">
          <cell r="L58">
            <v>0.185499</v>
          </cell>
        </row>
        <row r="59">
          <cell r="L59">
            <v>0.18726699999999999</v>
          </cell>
        </row>
        <row r="60">
          <cell r="L60">
            <v>0.18765799999999999</v>
          </cell>
        </row>
        <row r="61">
          <cell r="L61">
            <v>0.209727</v>
          </cell>
        </row>
        <row r="62">
          <cell r="L62">
            <v>0.216919</v>
          </cell>
        </row>
      </sheetData>
      <sheetData sheetId="3">
        <row r="2">
          <cell r="AA2">
            <v>0.2</v>
          </cell>
        </row>
        <row r="3">
          <cell r="AA3">
            <v>0</v>
          </cell>
        </row>
        <row r="4">
          <cell r="AA4">
            <v>6.0832999999999998E-2</v>
          </cell>
        </row>
      </sheetData>
      <sheetData sheetId="4">
        <row r="2">
          <cell r="L2">
            <v>0</v>
          </cell>
        </row>
        <row r="3">
          <cell r="L3">
            <v>-1.0848E-2</v>
          </cell>
        </row>
        <row r="4">
          <cell r="L4">
            <v>-1.0285000000000001E-2</v>
          </cell>
          <cell r="O4">
            <v>0</v>
          </cell>
        </row>
        <row r="5">
          <cell r="L5">
            <v>-3.1251000000000001E-2</v>
          </cell>
          <cell r="O5">
            <v>1</v>
          </cell>
        </row>
        <row r="6">
          <cell r="L6">
            <v>-5.2004000000000002E-2</v>
          </cell>
          <cell r="O6">
            <v>-0.82979400000000003</v>
          </cell>
        </row>
        <row r="7">
          <cell r="L7">
            <v>-4.7551999999999997E-2</v>
          </cell>
        </row>
        <row r="8">
          <cell r="L8">
            <v>-2.7390999999999999E-2</v>
          </cell>
        </row>
        <row r="9">
          <cell r="L9">
            <v>-3.5324000000000001E-2</v>
          </cell>
        </row>
        <row r="10">
          <cell r="L10">
            <v>-3.6087000000000001E-2</v>
          </cell>
        </row>
        <row r="11">
          <cell r="L11">
            <v>-4.8561E-2</v>
          </cell>
        </row>
        <row r="12">
          <cell r="L12">
            <v>-1.1219E-2</v>
          </cell>
        </row>
        <row r="13">
          <cell r="L13">
            <v>-2.5676000000000001E-2</v>
          </cell>
        </row>
        <row r="14">
          <cell r="L14">
            <v>-2.7283999999999999E-2</v>
          </cell>
        </row>
        <row r="15">
          <cell r="L15">
            <v>-6.4146999999999996E-2</v>
          </cell>
        </row>
        <row r="16">
          <cell r="L16">
            <v>-8.2579E-2</v>
          </cell>
        </row>
        <row r="17">
          <cell r="L17">
            <v>-9.3350000000000002E-2</v>
          </cell>
        </row>
        <row r="18">
          <cell r="L18">
            <v>-0.129029</v>
          </cell>
        </row>
        <row r="19">
          <cell r="L19">
            <v>-0.118727</v>
          </cell>
        </row>
        <row r="20">
          <cell r="L20">
            <v>-0.120894</v>
          </cell>
        </row>
        <row r="21">
          <cell r="L21">
            <v>-0.11697</v>
          </cell>
        </row>
        <row r="22">
          <cell r="L22">
            <v>-0.158361</v>
          </cell>
        </row>
        <row r="23">
          <cell r="L23">
            <v>-0.16251599999999999</v>
          </cell>
        </row>
        <row r="24">
          <cell r="L24">
            <v>-0.159444</v>
          </cell>
        </row>
        <row r="25">
          <cell r="L25">
            <v>-0.16045899999999999</v>
          </cell>
        </row>
        <row r="26">
          <cell r="L26">
            <v>-0.17702200000000001</v>
          </cell>
        </row>
        <row r="27">
          <cell r="L27">
            <v>-0.179623</v>
          </cell>
        </row>
        <row r="28">
          <cell r="L28">
            <v>-0.18121300000000001</v>
          </cell>
        </row>
        <row r="29">
          <cell r="L29">
            <v>-0.184753</v>
          </cell>
        </row>
        <row r="30">
          <cell r="L30">
            <v>-0.19835800000000001</v>
          </cell>
        </row>
        <row r="31">
          <cell r="L31">
            <v>-0.20874599999999999</v>
          </cell>
        </row>
        <row r="32">
          <cell r="L32">
            <v>-0.214781</v>
          </cell>
        </row>
        <row r="33">
          <cell r="L33">
            <v>-0.21782599999999999</v>
          </cell>
        </row>
        <row r="34">
          <cell r="L34">
            <v>-0.25586500000000001</v>
          </cell>
        </row>
        <row r="35">
          <cell r="L35">
            <v>-0.25675799999999999</v>
          </cell>
        </row>
        <row r="36">
          <cell r="L36">
            <v>-0.269123</v>
          </cell>
        </row>
        <row r="37">
          <cell r="L37">
            <v>-0.288574</v>
          </cell>
        </row>
        <row r="38">
          <cell r="L38">
            <v>-0.29046499999999997</v>
          </cell>
        </row>
        <row r="39">
          <cell r="L39">
            <v>-0.31615500000000002</v>
          </cell>
        </row>
        <row r="40">
          <cell r="L40">
            <v>-0.33022800000000002</v>
          </cell>
        </row>
        <row r="41">
          <cell r="L41">
            <v>-0.33308700000000002</v>
          </cell>
        </row>
        <row r="42">
          <cell r="L42">
            <v>-0.345914</v>
          </cell>
        </row>
        <row r="43">
          <cell r="L43">
            <v>-0.36096600000000001</v>
          </cell>
        </row>
        <row r="44">
          <cell r="L44">
            <v>-0.36851200000000001</v>
          </cell>
        </row>
        <row r="45">
          <cell r="L45">
            <v>-0.36489199999999999</v>
          </cell>
        </row>
        <row r="46">
          <cell r="L46">
            <v>-0.372722</v>
          </cell>
        </row>
        <row r="47">
          <cell r="L47">
            <v>-0.38312499999999999</v>
          </cell>
        </row>
        <row r="48">
          <cell r="L48">
            <v>-0.39354899999999998</v>
          </cell>
        </row>
        <row r="49">
          <cell r="L49">
            <v>-0.40820200000000001</v>
          </cell>
        </row>
        <row r="50">
          <cell r="L50">
            <v>-0.40010400000000002</v>
          </cell>
        </row>
        <row r="51">
          <cell r="L51">
            <v>-0.39248100000000002</v>
          </cell>
        </row>
        <row r="52">
          <cell r="L52">
            <v>-0.40634100000000001</v>
          </cell>
        </row>
        <row r="53">
          <cell r="L53">
            <v>-0.39248499999999997</v>
          </cell>
        </row>
        <row r="54">
          <cell r="L54">
            <v>-0.36869400000000002</v>
          </cell>
        </row>
        <row r="55">
          <cell r="L55">
            <v>-0.40457900000000002</v>
          </cell>
        </row>
        <row r="56">
          <cell r="L56">
            <v>-0.40481800000000001</v>
          </cell>
        </row>
        <row r="57">
          <cell r="L57">
            <v>-0.38601799999999997</v>
          </cell>
        </row>
        <row r="58">
          <cell r="L58">
            <v>-0.40213300000000002</v>
          </cell>
        </row>
        <row r="59">
          <cell r="L59">
            <v>-0.41871900000000001</v>
          </cell>
        </row>
        <row r="60">
          <cell r="L60">
            <v>-0.40346599999999999</v>
          </cell>
        </row>
        <row r="61">
          <cell r="L61">
            <v>-0.39101999999999998</v>
          </cell>
        </row>
        <row r="62">
          <cell r="L62">
            <v>-0.412273</v>
          </cell>
        </row>
        <row r="63">
          <cell r="L63">
            <v>-0.42258299999999999</v>
          </cell>
        </row>
        <row r="64">
          <cell r="L64">
            <v>-0.432641</v>
          </cell>
        </row>
        <row r="65">
          <cell r="L65">
            <v>-0.448994</v>
          </cell>
        </row>
        <row r="66">
          <cell r="L66">
            <v>-0.46648099999999998</v>
          </cell>
        </row>
        <row r="67">
          <cell r="L67">
            <v>-0.47080499999999997</v>
          </cell>
        </row>
        <row r="68">
          <cell r="L68">
            <v>-0.47578100000000001</v>
          </cell>
        </row>
        <row r="69">
          <cell r="L69">
            <v>-0.490342</v>
          </cell>
        </row>
        <row r="70">
          <cell r="L70">
            <v>-0.48724400000000001</v>
          </cell>
        </row>
        <row r="71">
          <cell r="L71">
            <v>-0.48951</v>
          </cell>
        </row>
        <row r="72">
          <cell r="L72">
            <v>-0.49984800000000001</v>
          </cell>
        </row>
        <row r="73">
          <cell r="L73">
            <v>-0.50240399999999996</v>
          </cell>
        </row>
        <row r="74">
          <cell r="L74">
            <v>-0.50255700000000003</v>
          </cell>
        </row>
        <row r="75">
          <cell r="L75">
            <v>-0.51526400000000006</v>
          </cell>
        </row>
        <row r="76">
          <cell r="L76">
            <v>-0.51822400000000002</v>
          </cell>
        </row>
        <row r="77">
          <cell r="L77">
            <v>-0.53306200000000004</v>
          </cell>
        </row>
        <row r="78">
          <cell r="L78">
            <v>-0.54713800000000001</v>
          </cell>
        </row>
        <row r="79">
          <cell r="L79">
            <v>-0.558145</v>
          </cell>
        </row>
        <row r="80">
          <cell r="L80">
            <v>-0.57237199999999999</v>
          </cell>
        </row>
        <row r="81">
          <cell r="L81">
            <v>-0.55362599999999995</v>
          </cell>
        </row>
        <row r="82">
          <cell r="L82">
            <v>-0.59017200000000003</v>
          </cell>
        </row>
        <row r="83">
          <cell r="L83">
            <v>-0.60390900000000003</v>
          </cell>
        </row>
        <row r="84">
          <cell r="L84">
            <v>-0.644486</v>
          </cell>
        </row>
        <row r="85">
          <cell r="L85">
            <v>-0.65019800000000005</v>
          </cell>
        </row>
        <row r="86">
          <cell r="L86">
            <v>-0.68172200000000005</v>
          </cell>
        </row>
        <row r="87">
          <cell r="L87">
            <v>-0.67336300000000004</v>
          </cell>
        </row>
        <row r="88">
          <cell r="L88">
            <v>-0.71692299999999998</v>
          </cell>
        </row>
        <row r="89">
          <cell r="L89">
            <v>-0.725406</v>
          </cell>
        </row>
        <row r="90">
          <cell r="L90">
            <v>-0.739228</v>
          </cell>
        </row>
        <row r="91">
          <cell r="L91">
            <v>-0.75831599999999999</v>
          </cell>
        </row>
        <row r="92">
          <cell r="L92">
            <v>-0.77681599999999995</v>
          </cell>
        </row>
        <row r="93">
          <cell r="L93">
            <v>-0.78801100000000002</v>
          </cell>
        </row>
        <row r="94">
          <cell r="L94">
            <v>-0.79188599999999998</v>
          </cell>
        </row>
        <row r="95">
          <cell r="L95">
            <v>-0.77707000000000004</v>
          </cell>
        </row>
        <row r="96">
          <cell r="L96">
            <v>-0.80386800000000003</v>
          </cell>
        </row>
        <row r="97">
          <cell r="L97">
            <v>-0.80167900000000003</v>
          </cell>
        </row>
        <row r="98">
          <cell r="L98">
            <v>-0.81172500000000003</v>
          </cell>
        </row>
        <row r="99">
          <cell r="L99">
            <v>-0.81866300000000003</v>
          </cell>
        </row>
        <row r="100">
          <cell r="L100">
            <v>-0.82408499999999996</v>
          </cell>
        </row>
        <row r="101">
          <cell r="L101">
            <v>-0.83884199999999998</v>
          </cell>
        </row>
        <row r="102">
          <cell r="L102">
            <v>-0.82979400000000003</v>
          </cell>
        </row>
      </sheetData>
      <sheetData sheetId="5">
        <row r="2">
          <cell r="AA2">
            <v>1</v>
          </cell>
        </row>
        <row r="3">
          <cell r="AA3">
            <v>0.99</v>
          </cell>
        </row>
        <row r="4">
          <cell r="AA4">
            <v>0.99966699999999997</v>
          </cell>
        </row>
      </sheetData>
      <sheetData sheetId="6">
        <row r="2">
          <cell r="L2">
            <v>0</v>
          </cell>
        </row>
        <row r="3">
          <cell r="L3">
            <v>-2.794E-3</v>
          </cell>
        </row>
        <row r="4">
          <cell r="L4">
            <v>6.6799999999999997E-4</v>
          </cell>
          <cell r="O4">
            <v>26</v>
          </cell>
        </row>
        <row r="5">
          <cell r="L5">
            <v>1.841E-3</v>
          </cell>
          <cell r="O5">
            <v>0.56666700000000003</v>
          </cell>
        </row>
        <row r="6">
          <cell r="L6">
            <v>1.2389000000000001E-2</v>
          </cell>
          <cell r="O6">
            <v>-0.162244</v>
          </cell>
        </row>
        <row r="7">
          <cell r="L7">
            <v>-3.9439999999999996E-3</v>
          </cell>
        </row>
        <row r="8">
          <cell r="L8">
            <v>5.9379999999999997E-3</v>
          </cell>
        </row>
        <row r="9">
          <cell r="L9">
            <v>1.3417999999999999E-2</v>
          </cell>
        </row>
        <row r="10">
          <cell r="L10">
            <v>1.0737E-2</v>
          </cell>
        </row>
        <row r="11">
          <cell r="L11">
            <v>9.2549999999999993E-3</v>
          </cell>
        </row>
        <row r="12">
          <cell r="L12">
            <v>2.5460000000000001E-3</v>
          </cell>
        </row>
        <row r="13">
          <cell r="L13">
            <v>5.757E-3</v>
          </cell>
        </row>
        <row r="14">
          <cell r="L14">
            <v>9.4799999999999995E-4</v>
          </cell>
        </row>
        <row r="15">
          <cell r="L15">
            <v>-1.1969999999999999E-3</v>
          </cell>
        </row>
        <row r="16">
          <cell r="L16">
            <v>-7.9100000000000004E-3</v>
          </cell>
        </row>
        <row r="17">
          <cell r="L17">
            <v>-4.7460000000000002E-3</v>
          </cell>
        </row>
        <row r="18">
          <cell r="L18">
            <v>-1.4189999999999999E-3</v>
          </cell>
        </row>
        <row r="19">
          <cell r="L19">
            <v>-4.6319999999999998E-3</v>
          </cell>
        </row>
        <row r="20">
          <cell r="L20">
            <v>1.2279999999999999E-3</v>
          </cell>
        </row>
        <row r="21">
          <cell r="L21">
            <v>2.6719999999999999E-3</v>
          </cell>
        </row>
        <row r="22">
          <cell r="L22">
            <v>-1.884E-3</v>
          </cell>
        </row>
        <row r="23">
          <cell r="L23">
            <v>8.0199999999999994E-3</v>
          </cell>
        </row>
        <row r="24">
          <cell r="L24">
            <v>1.8089000000000001E-2</v>
          </cell>
        </row>
        <row r="25">
          <cell r="L25">
            <v>1.3979999999999999E-2</v>
          </cell>
        </row>
        <row r="26">
          <cell r="L26">
            <v>1.3184E-2</v>
          </cell>
        </row>
        <row r="27">
          <cell r="L27">
            <v>2.8367E-2</v>
          </cell>
        </row>
        <row r="28">
          <cell r="L28">
            <v>3.1583E-2</v>
          </cell>
        </row>
        <row r="29">
          <cell r="L29">
            <v>1.3341E-2</v>
          </cell>
        </row>
        <row r="30">
          <cell r="L30">
            <v>1.4536E-2</v>
          </cell>
        </row>
        <row r="31">
          <cell r="L31">
            <v>2.2327E-2</v>
          </cell>
        </row>
        <row r="32">
          <cell r="L32">
            <v>2.1309999999999999E-2</v>
          </cell>
        </row>
        <row r="33">
          <cell r="L33">
            <v>2.4292000000000001E-2</v>
          </cell>
        </row>
        <row r="34">
          <cell r="L34">
            <v>2.0836E-2</v>
          </cell>
        </row>
        <row r="35">
          <cell r="L35">
            <v>2.2245999999999998E-2</v>
          </cell>
        </row>
        <row r="36">
          <cell r="L36">
            <v>2.4988E-2</v>
          </cell>
        </row>
        <row r="37">
          <cell r="L37">
            <v>-9.6539999999999994E-3</v>
          </cell>
        </row>
        <row r="38">
          <cell r="L38">
            <v>-2.9588E-2</v>
          </cell>
        </row>
        <row r="39">
          <cell r="L39">
            <v>-2.5978000000000001E-2</v>
          </cell>
        </row>
        <row r="40">
          <cell r="L40">
            <v>-2.5464000000000001E-2</v>
          </cell>
        </row>
        <row r="41">
          <cell r="L41">
            <v>-2.5059000000000001E-2</v>
          </cell>
        </row>
        <row r="42">
          <cell r="L42">
            <v>-2.1568E-2</v>
          </cell>
        </row>
        <row r="43">
          <cell r="L43">
            <v>-0.11808399999999999</v>
          </cell>
        </row>
        <row r="44">
          <cell r="L44">
            <v>-0.126639</v>
          </cell>
        </row>
        <row r="45">
          <cell r="L45">
            <v>-0.122863</v>
          </cell>
        </row>
        <row r="46">
          <cell r="L46">
            <v>-0.127775</v>
          </cell>
        </row>
        <row r="47">
          <cell r="L47">
            <v>-0.12617700000000001</v>
          </cell>
        </row>
        <row r="48">
          <cell r="L48">
            <v>-0.12659599999999999</v>
          </cell>
        </row>
        <row r="49">
          <cell r="L49">
            <v>-0.129001</v>
          </cell>
        </row>
        <row r="50">
          <cell r="L50">
            <v>-0.136517</v>
          </cell>
        </row>
        <row r="51">
          <cell r="L51">
            <v>-0.13631299999999999</v>
          </cell>
        </row>
        <row r="52">
          <cell r="L52">
            <v>-0.12388299999999999</v>
          </cell>
        </row>
        <row r="53">
          <cell r="L53">
            <v>-0.119895</v>
          </cell>
        </row>
        <row r="54">
          <cell r="L54">
            <v>-0.12640499999999999</v>
          </cell>
        </row>
        <row r="55">
          <cell r="L55">
            <v>-0.14791799999999999</v>
          </cell>
        </row>
        <row r="56">
          <cell r="L56">
            <v>-0.16298399999999999</v>
          </cell>
        </row>
        <row r="57">
          <cell r="L57">
            <v>-0.15869900000000001</v>
          </cell>
        </row>
        <row r="58">
          <cell r="L58">
            <v>-0.14626</v>
          </cell>
        </row>
        <row r="59">
          <cell r="L59">
            <v>-0.14923900000000001</v>
          </cell>
        </row>
        <row r="60">
          <cell r="L60">
            <v>-0.14882699999999999</v>
          </cell>
        </row>
        <row r="61">
          <cell r="L61">
            <v>-0.137184</v>
          </cell>
        </row>
        <row r="62">
          <cell r="L62">
            <v>-0.162244</v>
          </cell>
        </row>
      </sheetData>
      <sheetData sheetId="7">
        <row r="2">
          <cell r="AA2">
            <v>1</v>
          </cell>
        </row>
        <row r="3">
          <cell r="AA3">
            <v>0.45</v>
          </cell>
        </row>
        <row r="4">
          <cell r="AA4">
            <v>0.91166700000000001</v>
          </cell>
        </row>
      </sheetData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-1.374E-3</v>
          </cell>
        </row>
        <row r="4">
          <cell r="L4">
            <v>7.0349999999999996E-3</v>
          </cell>
          <cell r="O4">
            <v>99</v>
          </cell>
        </row>
        <row r="5">
          <cell r="L5">
            <v>3.0006000000000001E-2</v>
          </cell>
          <cell r="O5">
            <v>0.01</v>
          </cell>
        </row>
        <row r="6">
          <cell r="L6">
            <v>3.7472999999999999E-2</v>
          </cell>
          <cell r="O6">
            <v>0.64480199999999999</v>
          </cell>
        </row>
        <row r="7">
          <cell r="L7">
            <v>5.1175999999999999E-2</v>
          </cell>
        </row>
        <row r="8">
          <cell r="L8">
            <v>6.4715999999999996E-2</v>
          </cell>
        </row>
        <row r="9">
          <cell r="L9">
            <v>9.8687999999999998E-2</v>
          </cell>
        </row>
        <row r="10">
          <cell r="L10">
            <v>0.115589</v>
          </cell>
        </row>
        <row r="11">
          <cell r="L11">
            <v>0.12725500000000001</v>
          </cell>
        </row>
        <row r="12">
          <cell r="L12">
            <v>9.6585000000000004E-2</v>
          </cell>
        </row>
        <row r="13">
          <cell r="L13">
            <v>0.105115</v>
          </cell>
        </row>
        <row r="14">
          <cell r="L14">
            <v>0.125444</v>
          </cell>
        </row>
        <row r="15">
          <cell r="L15">
            <v>0.12612100000000001</v>
          </cell>
        </row>
        <row r="16">
          <cell r="L16">
            <v>0.122116</v>
          </cell>
        </row>
        <row r="17">
          <cell r="L17">
            <v>0.140736</v>
          </cell>
        </row>
        <row r="18">
          <cell r="L18">
            <v>0.12587100000000001</v>
          </cell>
        </row>
        <row r="19">
          <cell r="L19">
            <v>0.14223</v>
          </cell>
        </row>
        <row r="20">
          <cell r="L20">
            <v>0.18520900000000001</v>
          </cell>
        </row>
        <row r="21">
          <cell r="L21">
            <v>0.24598700000000001</v>
          </cell>
        </row>
        <row r="22">
          <cell r="L22">
            <v>0.24298700000000001</v>
          </cell>
        </row>
        <row r="23">
          <cell r="L23">
            <v>0.27637099999999998</v>
          </cell>
        </row>
        <row r="24">
          <cell r="L24">
            <v>0.28136499999999998</v>
          </cell>
        </row>
        <row r="25">
          <cell r="L25">
            <v>0.27383400000000002</v>
          </cell>
        </row>
        <row r="26">
          <cell r="L26">
            <v>0.271702</v>
          </cell>
        </row>
        <row r="27">
          <cell r="L27">
            <v>0.27511600000000003</v>
          </cell>
        </row>
        <row r="28">
          <cell r="L28">
            <v>0.28917599999999999</v>
          </cell>
        </row>
        <row r="29">
          <cell r="L29">
            <v>0.29477700000000001</v>
          </cell>
        </row>
        <row r="30">
          <cell r="L30">
            <v>0.28842299999999998</v>
          </cell>
        </row>
        <row r="31">
          <cell r="L31">
            <v>0.29561100000000001</v>
          </cell>
        </row>
        <row r="32">
          <cell r="L32">
            <v>0.29716700000000001</v>
          </cell>
        </row>
        <row r="33">
          <cell r="L33">
            <v>0.28876000000000002</v>
          </cell>
        </row>
        <row r="34">
          <cell r="L34">
            <v>0.30979000000000001</v>
          </cell>
        </row>
        <row r="35">
          <cell r="L35">
            <v>0.27041799999999999</v>
          </cell>
        </row>
        <row r="36">
          <cell r="L36">
            <v>0.28459499999999999</v>
          </cell>
        </row>
        <row r="37">
          <cell r="L37">
            <v>0.27108700000000002</v>
          </cell>
        </row>
        <row r="38">
          <cell r="L38">
            <v>0.28348499999999999</v>
          </cell>
        </row>
        <row r="39">
          <cell r="L39">
            <v>0.27454499999999998</v>
          </cell>
        </row>
        <row r="40">
          <cell r="L40">
            <v>0.28199000000000002</v>
          </cell>
        </row>
        <row r="41">
          <cell r="L41">
            <v>0.291408</v>
          </cell>
        </row>
        <row r="42">
          <cell r="L42">
            <v>0.31329600000000002</v>
          </cell>
        </row>
        <row r="43">
          <cell r="L43">
            <v>0.31417200000000001</v>
          </cell>
        </row>
        <row r="44">
          <cell r="L44">
            <v>0.30976500000000001</v>
          </cell>
        </row>
        <row r="45">
          <cell r="L45">
            <v>0.30383300000000002</v>
          </cell>
        </row>
        <row r="46">
          <cell r="L46">
            <v>0.33019399999999999</v>
          </cell>
        </row>
        <row r="47">
          <cell r="L47">
            <v>0.33906700000000001</v>
          </cell>
        </row>
        <row r="48">
          <cell r="L48">
            <v>0.30179600000000001</v>
          </cell>
        </row>
        <row r="49">
          <cell r="L49">
            <v>0.310141</v>
          </cell>
        </row>
        <row r="50">
          <cell r="L50">
            <v>0.315332</v>
          </cell>
        </row>
        <row r="51">
          <cell r="L51">
            <v>0.31852000000000003</v>
          </cell>
        </row>
        <row r="52">
          <cell r="L52">
            <v>0.32228099999999998</v>
          </cell>
        </row>
        <row r="53">
          <cell r="L53">
            <v>0.35072799999999998</v>
          </cell>
        </row>
        <row r="54">
          <cell r="L54">
            <v>0.29616799999999999</v>
          </cell>
        </row>
        <row r="55">
          <cell r="L55">
            <v>0.33698299999999998</v>
          </cell>
        </row>
        <row r="56">
          <cell r="L56">
            <v>0.32627800000000001</v>
          </cell>
        </row>
        <row r="57">
          <cell r="L57">
            <v>0.32903700000000002</v>
          </cell>
        </row>
        <row r="58">
          <cell r="L58">
            <v>0.29027700000000001</v>
          </cell>
        </row>
        <row r="59">
          <cell r="L59">
            <v>0.31490099999999999</v>
          </cell>
        </row>
        <row r="60">
          <cell r="L60">
            <v>0.31592599999999998</v>
          </cell>
        </row>
        <row r="61">
          <cell r="L61">
            <v>0.32020300000000002</v>
          </cell>
        </row>
        <row r="62">
          <cell r="L62">
            <v>0.34365800000000002</v>
          </cell>
        </row>
        <row r="63">
          <cell r="L63">
            <v>0.35386600000000001</v>
          </cell>
        </row>
        <row r="64">
          <cell r="L64">
            <v>0.35081800000000002</v>
          </cell>
        </row>
        <row r="65">
          <cell r="L65">
            <v>0.35249999999999998</v>
          </cell>
        </row>
        <row r="66">
          <cell r="L66">
            <v>0.37334000000000001</v>
          </cell>
        </row>
        <row r="67">
          <cell r="L67">
            <v>0.37986500000000001</v>
          </cell>
        </row>
        <row r="68">
          <cell r="L68">
            <v>0.40271000000000001</v>
          </cell>
        </row>
        <row r="69">
          <cell r="L69">
            <v>0.40555400000000003</v>
          </cell>
        </row>
        <row r="70">
          <cell r="L70">
            <v>0.42366300000000001</v>
          </cell>
        </row>
        <row r="71">
          <cell r="L71">
            <v>0.42948199999999997</v>
          </cell>
        </row>
        <row r="72">
          <cell r="L72">
            <v>0.461451</v>
          </cell>
        </row>
        <row r="73">
          <cell r="L73">
            <v>0.46528199999999997</v>
          </cell>
        </row>
        <row r="74">
          <cell r="L74">
            <v>0.40828199999999998</v>
          </cell>
        </row>
        <row r="75">
          <cell r="L75">
            <v>0.44181500000000001</v>
          </cell>
        </row>
        <row r="76">
          <cell r="L76">
            <v>0.41270499999999999</v>
          </cell>
        </row>
        <row r="77">
          <cell r="L77">
            <v>0.46358700000000003</v>
          </cell>
        </row>
        <row r="78">
          <cell r="L78">
            <v>0.477244</v>
          </cell>
        </row>
        <row r="79">
          <cell r="L79">
            <v>0.48032999999999998</v>
          </cell>
        </row>
        <row r="80">
          <cell r="L80">
            <v>0.47008800000000001</v>
          </cell>
        </row>
        <row r="81">
          <cell r="L81">
            <v>0.461669</v>
          </cell>
        </row>
        <row r="82">
          <cell r="L82">
            <v>0.52017999999999998</v>
          </cell>
        </row>
        <row r="83">
          <cell r="L83">
            <v>0.53406600000000004</v>
          </cell>
        </row>
        <row r="84">
          <cell r="L84">
            <v>0.50226899999999997</v>
          </cell>
        </row>
        <row r="85">
          <cell r="L85">
            <v>0.52320800000000001</v>
          </cell>
        </row>
        <row r="86">
          <cell r="L86">
            <v>0.55291699999999999</v>
          </cell>
        </row>
        <row r="87">
          <cell r="L87">
            <v>0.53144000000000002</v>
          </cell>
        </row>
        <row r="88">
          <cell r="L88">
            <v>0.54763600000000001</v>
          </cell>
        </row>
        <row r="89">
          <cell r="L89">
            <v>0.57463799999999998</v>
          </cell>
        </row>
        <row r="90">
          <cell r="L90">
            <v>0.59272100000000005</v>
          </cell>
        </row>
        <row r="91">
          <cell r="L91">
            <v>0.60869399999999996</v>
          </cell>
        </row>
        <row r="92">
          <cell r="L92">
            <v>0.61405500000000002</v>
          </cell>
        </row>
        <row r="93">
          <cell r="L93">
            <v>0.60801499999999997</v>
          </cell>
        </row>
        <row r="94">
          <cell r="L94">
            <v>0.61709800000000004</v>
          </cell>
        </row>
        <row r="95">
          <cell r="L95">
            <v>0.62547600000000003</v>
          </cell>
        </row>
        <row r="96">
          <cell r="L96">
            <v>0.61411700000000002</v>
          </cell>
        </row>
        <row r="97">
          <cell r="L97">
            <v>0.640463</v>
          </cell>
        </row>
        <row r="98">
          <cell r="L98">
            <v>0.62914199999999998</v>
          </cell>
        </row>
        <row r="99">
          <cell r="L99">
            <v>0.66372799999999998</v>
          </cell>
        </row>
        <row r="100">
          <cell r="L100">
            <v>0.65401399999999998</v>
          </cell>
        </row>
        <row r="101">
          <cell r="L101">
            <v>0.67313599999999996</v>
          </cell>
        </row>
        <row r="102">
          <cell r="L102">
            <v>0.64480199999999999</v>
          </cell>
        </row>
      </sheetData>
      <sheetData sheetId="1">
        <row r="2">
          <cell r="AA2">
            <v>0.2</v>
          </cell>
        </row>
        <row r="3">
          <cell r="AA3">
            <v>0</v>
          </cell>
        </row>
        <row r="4">
          <cell r="AA4">
            <v>6.1667E-2</v>
          </cell>
        </row>
      </sheetData>
      <sheetData sheetId="2">
        <row r="2">
          <cell r="L2">
            <v>0</v>
          </cell>
        </row>
        <row r="3">
          <cell r="L3">
            <v>4.2490000000000002E-3</v>
          </cell>
        </row>
        <row r="4">
          <cell r="L4">
            <v>5.0860000000000002E-3</v>
          </cell>
          <cell r="O4">
            <v>60</v>
          </cell>
        </row>
        <row r="5">
          <cell r="L5">
            <v>1.5518000000000001E-2</v>
          </cell>
          <cell r="O5">
            <v>0</v>
          </cell>
        </row>
        <row r="6">
          <cell r="L6">
            <v>1.6246E-2</v>
          </cell>
          <cell r="O6">
            <v>1.2256020000000001</v>
          </cell>
        </row>
        <row r="7">
          <cell r="L7">
            <v>2.75E-2</v>
          </cell>
        </row>
        <row r="8">
          <cell r="L8">
            <v>3.8689000000000001E-2</v>
          </cell>
        </row>
        <row r="9">
          <cell r="L9">
            <v>4.6262999999999999E-2</v>
          </cell>
        </row>
        <row r="10">
          <cell r="L10">
            <v>5.3621000000000002E-2</v>
          </cell>
        </row>
        <row r="11">
          <cell r="L11">
            <v>7.7926999999999996E-2</v>
          </cell>
        </row>
        <row r="12">
          <cell r="L12">
            <v>7.5358999999999995E-2</v>
          </cell>
        </row>
        <row r="13">
          <cell r="L13">
            <v>7.6149999999999995E-2</v>
          </cell>
        </row>
        <row r="14">
          <cell r="L14">
            <v>9.9094000000000002E-2</v>
          </cell>
        </row>
        <row r="15">
          <cell r="L15">
            <v>0.12868499999999999</v>
          </cell>
        </row>
        <row r="16">
          <cell r="L16">
            <v>0.121919</v>
          </cell>
        </row>
        <row r="17">
          <cell r="L17">
            <v>0.138326</v>
          </cell>
        </row>
        <row r="18">
          <cell r="L18">
            <v>0.18887100000000001</v>
          </cell>
        </row>
        <row r="19">
          <cell r="L19">
            <v>0.23080200000000001</v>
          </cell>
        </row>
        <row r="20">
          <cell r="L20">
            <v>0.326851</v>
          </cell>
        </row>
        <row r="21">
          <cell r="L21">
            <v>0.33572600000000002</v>
          </cell>
        </row>
        <row r="22">
          <cell r="L22">
            <v>0.390212</v>
          </cell>
        </row>
        <row r="23">
          <cell r="L23">
            <v>0.42799500000000001</v>
          </cell>
        </row>
        <row r="24">
          <cell r="L24">
            <v>0.43821900000000003</v>
          </cell>
        </row>
        <row r="25">
          <cell r="L25">
            <v>0.48377300000000001</v>
          </cell>
        </row>
        <row r="26">
          <cell r="L26">
            <v>0.49097400000000002</v>
          </cell>
        </row>
        <row r="27">
          <cell r="L27">
            <v>0.55995600000000001</v>
          </cell>
        </row>
        <row r="28">
          <cell r="L28">
            <v>0.56850299999999998</v>
          </cell>
        </row>
        <row r="29">
          <cell r="L29">
            <v>0.56898300000000002</v>
          </cell>
        </row>
        <row r="30">
          <cell r="L30">
            <v>0.59738400000000003</v>
          </cell>
        </row>
        <row r="31">
          <cell r="L31">
            <v>0.61079300000000003</v>
          </cell>
        </row>
        <row r="32">
          <cell r="L32">
            <v>0.58869700000000003</v>
          </cell>
        </row>
        <row r="33">
          <cell r="L33">
            <v>0.64945299999999995</v>
          </cell>
        </row>
        <row r="34">
          <cell r="L34">
            <v>0.73642700000000005</v>
          </cell>
        </row>
        <row r="35">
          <cell r="L35">
            <v>0.69416699999999998</v>
          </cell>
        </row>
        <row r="36">
          <cell r="L36">
            <v>0.80125000000000002</v>
          </cell>
        </row>
        <row r="37">
          <cell r="L37">
            <v>0.83111500000000005</v>
          </cell>
        </row>
        <row r="38">
          <cell r="L38">
            <v>0.84796499999999997</v>
          </cell>
        </row>
        <row r="39">
          <cell r="L39">
            <v>0.80762199999999995</v>
          </cell>
        </row>
        <row r="40">
          <cell r="L40">
            <v>0.86389099999999996</v>
          </cell>
        </row>
        <row r="41">
          <cell r="L41">
            <v>0.76712199999999997</v>
          </cell>
        </row>
        <row r="42">
          <cell r="L42">
            <v>0.77402000000000004</v>
          </cell>
        </row>
        <row r="43">
          <cell r="L43">
            <v>0.63699700000000004</v>
          </cell>
        </row>
        <row r="44">
          <cell r="L44">
            <v>0.72388799999999998</v>
          </cell>
        </row>
        <row r="45">
          <cell r="L45">
            <v>0.76518299999999995</v>
          </cell>
        </row>
        <row r="46">
          <cell r="L46">
            <v>0.820052</v>
          </cell>
        </row>
        <row r="47">
          <cell r="L47">
            <v>0.80838600000000005</v>
          </cell>
        </row>
        <row r="48">
          <cell r="L48">
            <v>0.78320800000000002</v>
          </cell>
        </row>
        <row r="49">
          <cell r="L49">
            <v>0.72844399999999998</v>
          </cell>
        </row>
        <row r="50">
          <cell r="L50">
            <v>0.81396299999999999</v>
          </cell>
        </row>
        <row r="51">
          <cell r="L51">
            <v>0.814141</v>
          </cell>
        </row>
        <row r="52">
          <cell r="L52">
            <v>0.80979999999999996</v>
          </cell>
        </row>
        <row r="53">
          <cell r="L53">
            <v>0.89448300000000003</v>
          </cell>
        </row>
        <row r="54">
          <cell r="L54">
            <v>1.0341640000000001</v>
          </cell>
        </row>
        <row r="55">
          <cell r="L55">
            <v>0.85209800000000002</v>
          </cell>
        </row>
        <row r="56">
          <cell r="L56">
            <v>1.105234</v>
          </cell>
        </row>
        <row r="57">
          <cell r="L57">
            <v>1.1489549999999999</v>
          </cell>
        </row>
        <row r="58">
          <cell r="L58">
            <v>1.139947</v>
          </cell>
        </row>
        <row r="59">
          <cell r="L59">
            <v>1.1602779999999999</v>
          </cell>
        </row>
        <row r="60">
          <cell r="L60">
            <v>1.234499</v>
          </cell>
        </row>
        <row r="61">
          <cell r="L61">
            <v>1.2592429999999999</v>
          </cell>
        </row>
        <row r="62">
          <cell r="L62">
            <v>1.2256020000000001</v>
          </cell>
        </row>
      </sheetData>
      <sheetData sheetId="3">
        <row r="2">
          <cell r="AA2">
            <v>0.25</v>
          </cell>
        </row>
        <row r="3">
          <cell r="AA3">
            <v>0</v>
          </cell>
        </row>
        <row r="4">
          <cell r="AA4">
            <v>5.7500000000000002E-2</v>
          </cell>
        </row>
      </sheetData>
      <sheetData sheetId="4">
        <row r="2">
          <cell r="L2">
            <v>0</v>
          </cell>
        </row>
        <row r="3">
          <cell r="L3">
            <v>-4.2195000000000003E-2</v>
          </cell>
        </row>
        <row r="4">
          <cell r="L4">
            <v>-3.8510000000000003E-2</v>
          </cell>
          <cell r="O4">
            <v>0</v>
          </cell>
        </row>
        <row r="5">
          <cell r="L5">
            <v>-6.7956000000000003E-2</v>
          </cell>
          <cell r="O5">
            <v>1</v>
          </cell>
        </row>
        <row r="6">
          <cell r="L6">
            <v>-6.3217999999999996E-2</v>
          </cell>
          <cell r="O6">
            <v>-0.80690899999999999</v>
          </cell>
        </row>
        <row r="7">
          <cell r="L7">
            <v>-6.2233999999999998E-2</v>
          </cell>
        </row>
        <row r="8">
          <cell r="L8">
            <v>-3.9211999999999997E-2</v>
          </cell>
        </row>
        <row r="9">
          <cell r="L9">
            <v>-2.2676999999999999E-2</v>
          </cell>
        </row>
        <row r="10">
          <cell r="L10">
            <v>-0.12575500000000001</v>
          </cell>
        </row>
        <row r="11">
          <cell r="L11">
            <v>-0.15018599999999999</v>
          </cell>
        </row>
        <row r="12">
          <cell r="L12">
            <v>-0.12650400000000001</v>
          </cell>
        </row>
        <row r="13">
          <cell r="L13">
            <v>-0.158438</v>
          </cell>
        </row>
        <row r="14">
          <cell r="L14">
            <v>-0.14335300000000001</v>
          </cell>
        </row>
        <row r="15">
          <cell r="L15">
            <v>-0.17466699999999999</v>
          </cell>
        </row>
        <row r="16">
          <cell r="L16">
            <v>-0.179087</v>
          </cell>
        </row>
        <row r="17">
          <cell r="L17">
            <v>-0.19306400000000001</v>
          </cell>
        </row>
        <row r="18">
          <cell r="L18">
            <v>-0.24734600000000001</v>
          </cell>
        </row>
        <row r="19">
          <cell r="L19">
            <v>-0.236538</v>
          </cell>
        </row>
        <row r="20">
          <cell r="L20">
            <v>-0.24395800000000001</v>
          </cell>
        </row>
        <row r="21">
          <cell r="L21">
            <v>-0.26088099999999997</v>
          </cell>
        </row>
        <row r="22">
          <cell r="L22">
            <v>-0.30307800000000001</v>
          </cell>
        </row>
        <row r="23">
          <cell r="L23">
            <v>-0.261938</v>
          </cell>
        </row>
        <row r="24">
          <cell r="L24">
            <v>-0.224</v>
          </cell>
        </row>
        <row r="25">
          <cell r="L25">
            <v>-0.20919699999999999</v>
          </cell>
        </row>
        <row r="26">
          <cell r="L26">
            <v>-0.24826300000000001</v>
          </cell>
        </row>
        <row r="27">
          <cell r="L27">
            <v>-0.26003799999999999</v>
          </cell>
        </row>
        <row r="28">
          <cell r="L28">
            <v>-0.25663000000000002</v>
          </cell>
        </row>
        <row r="29">
          <cell r="L29">
            <v>-0.25434800000000002</v>
          </cell>
        </row>
        <row r="30">
          <cell r="L30">
            <v>-0.24912500000000001</v>
          </cell>
        </row>
        <row r="31">
          <cell r="L31">
            <v>-0.274644</v>
          </cell>
        </row>
        <row r="32">
          <cell r="L32">
            <v>-0.27569500000000002</v>
          </cell>
        </row>
        <row r="33">
          <cell r="L33">
            <v>-0.26244800000000001</v>
          </cell>
        </row>
        <row r="34">
          <cell r="L34">
            <v>-0.29939500000000002</v>
          </cell>
        </row>
        <row r="35">
          <cell r="L35">
            <v>-0.30960700000000002</v>
          </cell>
        </row>
        <row r="36">
          <cell r="L36">
            <v>-0.34096199999999999</v>
          </cell>
        </row>
        <row r="37">
          <cell r="L37">
            <v>-0.36950300000000003</v>
          </cell>
        </row>
        <row r="38">
          <cell r="L38">
            <v>-0.36530600000000002</v>
          </cell>
        </row>
        <row r="39">
          <cell r="L39">
            <v>-0.38255899999999998</v>
          </cell>
        </row>
        <row r="40">
          <cell r="L40">
            <v>-0.40549800000000003</v>
          </cell>
        </row>
        <row r="41">
          <cell r="L41">
            <v>-0.4118</v>
          </cell>
        </row>
        <row r="42">
          <cell r="L42">
            <v>-0.41584300000000002</v>
          </cell>
        </row>
        <row r="43">
          <cell r="L43">
            <v>-0.41927500000000001</v>
          </cell>
        </row>
        <row r="44">
          <cell r="L44">
            <v>-0.440971</v>
          </cell>
        </row>
        <row r="45">
          <cell r="L45">
            <v>-0.44249899999999998</v>
          </cell>
        </row>
        <row r="46">
          <cell r="L46">
            <v>-0.462783</v>
          </cell>
        </row>
        <row r="47">
          <cell r="L47">
            <v>-0.473665</v>
          </cell>
        </row>
        <row r="48">
          <cell r="L48">
            <v>-0.48042299999999999</v>
          </cell>
        </row>
        <row r="49">
          <cell r="L49">
            <v>-0.49143599999999998</v>
          </cell>
        </row>
        <row r="50">
          <cell r="L50">
            <v>-0.48883799999999999</v>
          </cell>
        </row>
        <row r="51">
          <cell r="L51">
            <v>-0.48924899999999999</v>
          </cell>
        </row>
        <row r="52">
          <cell r="L52">
            <v>-0.50331999999999999</v>
          </cell>
        </row>
        <row r="53">
          <cell r="L53">
            <v>-0.487485</v>
          </cell>
        </row>
        <row r="54">
          <cell r="L54">
            <v>-0.48673699999999998</v>
          </cell>
        </row>
        <row r="55">
          <cell r="L55">
            <v>-0.53009300000000004</v>
          </cell>
        </row>
        <row r="56">
          <cell r="L56">
            <v>-0.51275099999999996</v>
          </cell>
        </row>
        <row r="57">
          <cell r="L57">
            <v>-0.47083199999999997</v>
          </cell>
        </row>
        <row r="58">
          <cell r="L58">
            <v>-0.49821799999999999</v>
          </cell>
        </row>
        <row r="59">
          <cell r="L59">
            <v>-0.53182099999999999</v>
          </cell>
        </row>
        <row r="60">
          <cell r="L60">
            <v>-0.53503900000000004</v>
          </cell>
        </row>
        <row r="61">
          <cell r="L61">
            <v>-0.54059999999999997</v>
          </cell>
        </row>
        <row r="62">
          <cell r="L62">
            <v>-0.55841799999999997</v>
          </cell>
        </row>
        <row r="63">
          <cell r="L63">
            <v>-0.62715299999999996</v>
          </cell>
        </row>
        <row r="64">
          <cell r="L64">
            <v>-0.62482400000000005</v>
          </cell>
        </row>
        <row r="65">
          <cell r="L65">
            <v>-0.64488699999999999</v>
          </cell>
        </row>
        <row r="66">
          <cell r="L66">
            <v>-0.62040700000000004</v>
          </cell>
        </row>
        <row r="67">
          <cell r="L67">
            <v>-0.65446400000000005</v>
          </cell>
        </row>
        <row r="68">
          <cell r="L68">
            <v>-0.65641799999999995</v>
          </cell>
        </row>
        <row r="69">
          <cell r="L69">
            <v>-0.72869899999999999</v>
          </cell>
        </row>
        <row r="70">
          <cell r="L70">
            <v>-0.74085699999999999</v>
          </cell>
        </row>
        <row r="71">
          <cell r="L71">
            <v>-0.69103300000000001</v>
          </cell>
        </row>
        <row r="72">
          <cell r="L72">
            <v>-0.70980399999999999</v>
          </cell>
        </row>
        <row r="73">
          <cell r="L73">
            <v>-0.75782899999999997</v>
          </cell>
        </row>
        <row r="74">
          <cell r="L74">
            <v>-0.711758</v>
          </cell>
        </row>
        <row r="75">
          <cell r="L75">
            <v>-0.6764</v>
          </cell>
        </row>
        <row r="76">
          <cell r="L76">
            <v>-0.656837</v>
          </cell>
        </row>
        <row r="77">
          <cell r="L77">
            <v>-0.70498899999999998</v>
          </cell>
        </row>
        <row r="78">
          <cell r="L78">
            <v>-0.73309100000000005</v>
          </cell>
        </row>
        <row r="79">
          <cell r="L79">
            <v>-0.74568299999999998</v>
          </cell>
        </row>
        <row r="80">
          <cell r="L80">
            <v>-0.76316899999999999</v>
          </cell>
        </row>
        <row r="81">
          <cell r="L81">
            <v>-0.772401</v>
          </cell>
        </row>
        <row r="82">
          <cell r="L82">
            <v>-0.84904400000000002</v>
          </cell>
        </row>
        <row r="83">
          <cell r="L83">
            <v>-0.81281000000000003</v>
          </cell>
        </row>
        <row r="84">
          <cell r="L84">
            <v>-0.80379100000000003</v>
          </cell>
        </row>
        <row r="85">
          <cell r="L85">
            <v>-0.86345099999999997</v>
          </cell>
        </row>
        <row r="86">
          <cell r="L86">
            <v>-0.87556100000000003</v>
          </cell>
        </row>
        <row r="87">
          <cell r="L87">
            <v>-0.81308100000000005</v>
          </cell>
        </row>
        <row r="88">
          <cell r="L88">
            <v>-0.68201299999999998</v>
          </cell>
        </row>
        <row r="89">
          <cell r="L89">
            <v>-0.67944899999999997</v>
          </cell>
        </row>
        <row r="90">
          <cell r="L90">
            <v>-0.68435599999999996</v>
          </cell>
        </row>
        <row r="91">
          <cell r="L91">
            <v>-0.63835900000000001</v>
          </cell>
        </row>
        <row r="92">
          <cell r="L92">
            <v>-0.66914099999999999</v>
          </cell>
        </row>
        <row r="93">
          <cell r="L93">
            <v>-0.69115499999999996</v>
          </cell>
        </row>
        <row r="94">
          <cell r="L94">
            <v>-0.70630800000000005</v>
          </cell>
        </row>
        <row r="95">
          <cell r="L95">
            <v>-0.69347999999999999</v>
          </cell>
        </row>
        <row r="96">
          <cell r="L96">
            <v>-0.71768600000000005</v>
          </cell>
        </row>
        <row r="97">
          <cell r="L97">
            <v>-0.74484899999999998</v>
          </cell>
        </row>
        <row r="98">
          <cell r="L98">
            <v>-0.73404000000000003</v>
          </cell>
        </row>
        <row r="99">
          <cell r="L99">
            <v>-0.76424700000000001</v>
          </cell>
        </row>
        <row r="100">
          <cell r="L100">
            <v>-0.78142800000000001</v>
          </cell>
        </row>
        <row r="101">
          <cell r="L101">
            <v>-0.80385799999999996</v>
          </cell>
        </row>
        <row r="102">
          <cell r="L102">
            <v>-0.80690899999999999</v>
          </cell>
        </row>
      </sheetData>
      <sheetData sheetId="5">
        <row r="2">
          <cell r="AA2">
            <v>1</v>
          </cell>
        </row>
        <row r="3">
          <cell r="AA3">
            <v>0.92</v>
          </cell>
        </row>
        <row r="4">
          <cell r="AA4">
            <v>0.99466699999999997</v>
          </cell>
        </row>
      </sheetData>
      <sheetData sheetId="6">
        <row r="2">
          <cell r="L2">
            <v>0</v>
          </cell>
        </row>
        <row r="3">
          <cell r="L3">
            <v>-1.9726E-2</v>
          </cell>
        </row>
        <row r="4">
          <cell r="L4">
            <v>-1.6496E-2</v>
          </cell>
          <cell r="O4">
            <v>14</v>
          </cell>
        </row>
        <row r="5">
          <cell r="L5">
            <v>-6.4440000000000001E-3</v>
          </cell>
          <cell r="O5">
            <v>0.76666699999999999</v>
          </cell>
        </row>
        <row r="6">
          <cell r="L6">
            <v>-3.9199999999999999E-3</v>
          </cell>
          <cell r="O6">
            <v>0.218504</v>
          </cell>
        </row>
        <row r="7">
          <cell r="L7">
            <v>-1.494E-2</v>
          </cell>
        </row>
        <row r="8">
          <cell r="L8">
            <v>-2.3092000000000001E-2</v>
          </cell>
        </row>
        <row r="9">
          <cell r="L9">
            <v>-2.1231E-2</v>
          </cell>
        </row>
        <row r="10">
          <cell r="L10">
            <v>-8.4622000000000003E-2</v>
          </cell>
        </row>
        <row r="11">
          <cell r="L11">
            <v>-7.8552999999999998E-2</v>
          </cell>
        </row>
        <row r="12">
          <cell r="L12">
            <v>-8.4583000000000005E-2</v>
          </cell>
        </row>
        <row r="13">
          <cell r="L13">
            <v>-9.3447000000000002E-2</v>
          </cell>
        </row>
        <row r="14">
          <cell r="L14">
            <v>-9.6551999999999999E-2</v>
          </cell>
        </row>
        <row r="15">
          <cell r="L15">
            <v>-9.5682000000000003E-2</v>
          </cell>
        </row>
        <row r="16">
          <cell r="L16">
            <v>-0.115797</v>
          </cell>
        </row>
        <row r="17">
          <cell r="L17">
            <v>-9.6892000000000006E-2</v>
          </cell>
        </row>
        <row r="18">
          <cell r="L18">
            <v>-8.5081000000000004E-2</v>
          </cell>
        </row>
        <row r="19">
          <cell r="L19">
            <v>-9.9465999999999999E-2</v>
          </cell>
        </row>
        <row r="20">
          <cell r="L20">
            <v>-9.4108999999999998E-2</v>
          </cell>
        </row>
        <row r="21">
          <cell r="L21">
            <v>-8.3704000000000001E-2</v>
          </cell>
        </row>
        <row r="22">
          <cell r="L22">
            <v>-8.4750000000000006E-2</v>
          </cell>
        </row>
        <row r="23">
          <cell r="L23">
            <v>-0.102856</v>
          </cell>
        </row>
        <row r="24">
          <cell r="L24">
            <v>-3.6577999999999999E-2</v>
          </cell>
        </row>
        <row r="25">
          <cell r="L25">
            <v>-3.9609999999999999E-2</v>
          </cell>
        </row>
        <row r="26">
          <cell r="L26">
            <v>-3.7630999999999998E-2</v>
          </cell>
        </row>
        <row r="27">
          <cell r="L27">
            <v>-4.6767000000000003E-2</v>
          </cell>
        </row>
        <row r="28">
          <cell r="L28">
            <v>-5.0659999999999997E-2</v>
          </cell>
        </row>
        <row r="29">
          <cell r="L29">
            <v>-7.1631E-2</v>
          </cell>
        </row>
        <row r="30">
          <cell r="L30">
            <v>-7.1795999999999999E-2</v>
          </cell>
        </row>
        <row r="31">
          <cell r="L31">
            <v>-7.1603E-2</v>
          </cell>
        </row>
        <row r="32">
          <cell r="L32">
            <v>-6.7429000000000003E-2</v>
          </cell>
        </row>
        <row r="33">
          <cell r="L33">
            <v>-8.5620000000000002E-3</v>
          </cell>
        </row>
        <row r="34">
          <cell r="L34">
            <v>-9.3123999999999998E-2</v>
          </cell>
        </row>
        <row r="35">
          <cell r="L35">
            <v>-5.8997000000000001E-2</v>
          </cell>
        </row>
        <row r="36">
          <cell r="L36">
            <v>-7.0163000000000003E-2</v>
          </cell>
        </row>
        <row r="37">
          <cell r="L37">
            <v>-7.0152999999999993E-2</v>
          </cell>
        </row>
        <row r="38">
          <cell r="L38">
            <v>-8.5875999999999994E-2</v>
          </cell>
        </row>
        <row r="39">
          <cell r="L39">
            <v>7.3125999999999997E-2</v>
          </cell>
        </row>
        <row r="40">
          <cell r="L40">
            <v>9.3718999999999997E-2</v>
          </cell>
        </row>
        <row r="41">
          <cell r="L41">
            <v>8.4361000000000005E-2</v>
          </cell>
        </row>
        <row r="42">
          <cell r="L42">
            <v>6.2491999999999999E-2</v>
          </cell>
        </row>
        <row r="43">
          <cell r="L43">
            <v>-0.12823799999999999</v>
          </cell>
        </row>
        <row r="44">
          <cell r="L44">
            <v>-0.14086399999999999</v>
          </cell>
        </row>
        <row r="45">
          <cell r="L45">
            <v>-0.15296699999999999</v>
          </cell>
        </row>
        <row r="46">
          <cell r="L46">
            <v>-0.149508</v>
          </cell>
        </row>
        <row r="47">
          <cell r="L47">
            <v>-0.15593699999999999</v>
          </cell>
        </row>
        <row r="48">
          <cell r="L48">
            <v>-0.179092</v>
          </cell>
        </row>
        <row r="49">
          <cell r="L49">
            <v>-0.22414700000000001</v>
          </cell>
        </row>
        <row r="50">
          <cell r="L50">
            <v>-0.253025</v>
          </cell>
        </row>
        <row r="51">
          <cell r="L51">
            <v>-0.253</v>
          </cell>
        </row>
        <row r="52">
          <cell r="L52">
            <v>5.0429999999999997E-3</v>
          </cell>
        </row>
        <row r="53">
          <cell r="L53">
            <v>-7.5159000000000004E-2</v>
          </cell>
        </row>
        <row r="54">
          <cell r="L54">
            <v>5.6087999999999999E-2</v>
          </cell>
        </row>
        <row r="55">
          <cell r="L55">
            <v>4.2314999999999998E-2</v>
          </cell>
        </row>
        <row r="56">
          <cell r="L56">
            <v>6.0277999999999998E-2</v>
          </cell>
        </row>
        <row r="57">
          <cell r="L57">
            <v>6.7012000000000002E-2</v>
          </cell>
        </row>
        <row r="58">
          <cell r="L58">
            <v>0.16107299999999999</v>
          </cell>
        </row>
        <row r="59">
          <cell r="L59">
            <v>0.171374</v>
          </cell>
        </row>
        <row r="60">
          <cell r="L60">
            <v>0.20955199999999999</v>
          </cell>
        </row>
        <row r="61">
          <cell r="L61">
            <v>0.24857399999999999</v>
          </cell>
        </row>
        <row r="62">
          <cell r="L62">
            <v>0.218504</v>
          </cell>
        </row>
      </sheetData>
      <sheetData sheetId="7">
        <row r="2">
          <cell r="AA2">
            <v>0.73333300000000001</v>
          </cell>
        </row>
        <row r="3">
          <cell r="AA3">
            <v>0.11666700000000001</v>
          </cell>
        </row>
        <row r="4">
          <cell r="AA4">
            <v>0.435</v>
          </cell>
        </row>
      </sheetData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-7.6649999999999999E-3</v>
          </cell>
        </row>
        <row r="4">
          <cell r="L4">
            <v>1.0994E-2</v>
          </cell>
          <cell r="O4">
            <v>1</v>
          </cell>
        </row>
        <row r="5">
          <cell r="L5">
            <v>-1.3988E-2</v>
          </cell>
          <cell r="O5">
            <v>0.99</v>
          </cell>
        </row>
        <row r="6">
          <cell r="L6">
            <v>-2.9791000000000002E-2</v>
          </cell>
          <cell r="O6">
            <v>-0.65888199999999997</v>
          </cell>
        </row>
        <row r="7">
          <cell r="L7">
            <v>-5.5279000000000002E-2</v>
          </cell>
        </row>
        <row r="8">
          <cell r="L8">
            <v>-6.7402000000000004E-2</v>
          </cell>
        </row>
        <row r="9">
          <cell r="L9">
            <v>-7.9104999999999995E-2</v>
          </cell>
        </row>
        <row r="10">
          <cell r="L10">
            <v>-8.0208000000000002E-2</v>
          </cell>
        </row>
        <row r="11">
          <cell r="L11">
            <v>-9.1425999999999993E-2</v>
          </cell>
        </row>
        <row r="12">
          <cell r="L12">
            <v>-0.132772</v>
          </cell>
        </row>
        <row r="13">
          <cell r="L13">
            <v>-0.155385</v>
          </cell>
        </row>
        <row r="14">
          <cell r="L14">
            <v>-0.16018299999999999</v>
          </cell>
        </row>
        <row r="15">
          <cell r="L15">
            <v>-0.163074</v>
          </cell>
        </row>
        <row r="16">
          <cell r="L16">
            <v>-0.180122</v>
          </cell>
        </row>
        <row r="17">
          <cell r="L17">
            <v>-0.18426799999999999</v>
          </cell>
        </row>
        <row r="18">
          <cell r="L18">
            <v>-0.202213</v>
          </cell>
        </row>
        <row r="19">
          <cell r="L19">
            <v>-0.21623899999999999</v>
          </cell>
        </row>
        <row r="20">
          <cell r="L20">
            <v>-0.22417799999999999</v>
          </cell>
        </row>
        <row r="21">
          <cell r="L21">
            <v>-0.23790500000000001</v>
          </cell>
        </row>
        <row r="22">
          <cell r="L22">
            <v>-0.25879799999999997</v>
          </cell>
        </row>
        <row r="23">
          <cell r="L23">
            <v>-0.266264</v>
          </cell>
        </row>
        <row r="24">
          <cell r="L24">
            <v>-0.26133000000000001</v>
          </cell>
        </row>
        <row r="25">
          <cell r="L25">
            <v>-0.27352900000000002</v>
          </cell>
        </row>
        <row r="26">
          <cell r="L26">
            <v>-0.28514600000000001</v>
          </cell>
        </row>
        <row r="27">
          <cell r="L27">
            <v>-0.29306399999999999</v>
          </cell>
        </row>
        <row r="28">
          <cell r="L28">
            <v>-0.29627799999999999</v>
          </cell>
        </row>
        <row r="29">
          <cell r="L29">
            <v>-0.29918699999999998</v>
          </cell>
        </row>
        <row r="30">
          <cell r="L30">
            <v>-0.297786</v>
          </cell>
        </row>
        <row r="31">
          <cell r="L31">
            <v>-0.30031999999999998</v>
          </cell>
        </row>
        <row r="32">
          <cell r="L32">
            <v>-0.29366199999999998</v>
          </cell>
        </row>
        <row r="33">
          <cell r="L33">
            <v>-0.30532700000000002</v>
          </cell>
        </row>
        <row r="34">
          <cell r="L34">
            <v>-0.32261699999999999</v>
          </cell>
        </row>
        <row r="35">
          <cell r="L35">
            <v>-0.32867499999999999</v>
          </cell>
        </row>
        <row r="36">
          <cell r="L36">
            <v>-0.330899</v>
          </cell>
        </row>
        <row r="37">
          <cell r="L37">
            <v>-0.33457700000000001</v>
          </cell>
        </row>
        <row r="38">
          <cell r="L38">
            <v>-0.34696199999999999</v>
          </cell>
        </row>
        <row r="39">
          <cell r="L39">
            <v>-0.355211</v>
          </cell>
        </row>
        <row r="40">
          <cell r="L40">
            <v>-0.36504399999999998</v>
          </cell>
        </row>
        <row r="41">
          <cell r="L41">
            <v>-0.36529600000000001</v>
          </cell>
        </row>
        <row r="42">
          <cell r="L42">
            <v>-0.37657600000000002</v>
          </cell>
        </row>
        <row r="43">
          <cell r="L43">
            <v>-0.38673000000000002</v>
          </cell>
        </row>
        <row r="44">
          <cell r="L44">
            <v>-0.37787100000000001</v>
          </cell>
        </row>
        <row r="45">
          <cell r="L45">
            <v>-0.38108999999999998</v>
          </cell>
        </row>
        <row r="46">
          <cell r="L46">
            <v>-0.38736399999999999</v>
          </cell>
        </row>
        <row r="47">
          <cell r="L47">
            <v>-0.39197900000000002</v>
          </cell>
        </row>
        <row r="48">
          <cell r="L48">
            <v>-0.39638400000000001</v>
          </cell>
        </row>
        <row r="49">
          <cell r="L49">
            <v>-0.40276600000000001</v>
          </cell>
        </row>
        <row r="50">
          <cell r="L50">
            <v>-0.40945700000000002</v>
          </cell>
        </row>
        <row r="51">
          <cell r="L51">
            <v>-0.413993</v>
          </cell>
        </row>
        <row r="52">
          <cell r="L52">
            <v>-0.414408</v>
          </cell>
        </row>
        <row r="53">
          <cell r="L53">
            <v>-0.41673700000000002</v>
          </cell>
        </row>
        <row r="54">
          <cell r="L54">
            <v>-0.42026200000000002</v>
          </cell>
        </row>
        <row r="55">
          <cell r="L55">
            <v>-0.429977</v>
          </cell>
        </row>
        <row r="56">
          <cell r="L56">
            <v>-0.42770599999999998</v>
          </cell>
        </row>
        <row r="57">
          <cell r="L57">
            <v>-0.43591299999999999</v>
          </cell>
        </row>
        <row r="58">
          <cell r="L58">
            <v>-0.424037</v>
          </cell>
        </row>
        <row r="59">
          <cell r="L59">
            <v>-0.442527</v>
          </cell>
        </row>
        <row r="60">
          <cell r="L60">
            <v>-0.45585999999999999</v>
          </cell>
        </row>
        <row r="61">
          <cell r="L61">
            <v>-0.43006</v>
          </cell>
        </row>
        <row r="62">
          <cell r="L62">
            <v>-0.44896399999999997</v>
          </cell>
        </row>
        <row r="63">
          <cell r="L63">
            <v>-0.46033099999999999</v>
          </cell>
        </row>
        <row r="64">
          <cell r="L64">
            <v>-0.46114500000000003</v>
          </cell>
        </row>
        <row r="65">
          <cell r="L65">
            <v>-0.47804799999999997</v>
          </cell>
        </row>
        <row r="66">
          <cell r="L66">
            <v>-0.48047099999999998</v>
          </cell>
        </row>
        <row r="67">
          <cell r="L67">
            <v>-0.48844599999999999</v>
          </cell>
        </row>
        <row r="68">
          <cell r="L68">
            <v>-0.495311</v>
          </cell>
        </row>
        <row r="69">
          <cell r="L69">
            <v>-0.50680599999999998</v>
          </cell>
        </row>
        <row r="70">
          <cell r="L70">
            <v>-0.51028700000000005</v>
          </cell>
        </row>
        <row r="71">
          <cell r="L71">
            <v>-0.50900299999999998</v>
          </cell>
        </row>
        <row r="72">
          <cell r="L72">
            <v>-0.51632900000000004</v>
          </cell>
        </row>
        <row r="73">
          <cell r="L73">
            <v>-0.53066899999999995</v>
          </cell>
        </row>
        <row r="74">
          <cell r="L74">
            <v>-0.53448399999999996</v>
          </cell>
        </row>
        <row r="75">
          <cell r="L75">
            <v>-0.53405899999999995</v>
          </cell>
        </row>
        <row r="76">
          <cell r="L76">
            <v>-0.53653399999999996</v>
          </cell>
        </row>
        <row r="77">
          <cell r="L77">
            <v>-0.55408000000000002</v>
          </cell>
        </row>
        <row r="78">
          <cell r="L78">
            <v>-0.56648600000000005</v>
          </cell>
        </row>
        <row r="79">
          <cell r="L79">
            <v>-0.574353</v>
          </cell>
        </row>
        <row r="80">
          <cell r="L80">
            <v>-0.55840699999999999</v>
          </cell>
        </row>
        <row r="81">
          <cell r="L81">
            <v>-0.51070899999999997</v>
          </cell>
        </row>
        <row r="82">
          <cell r="L82">
            <v>-0.53037800000000002</v>
          </cell>
        </row>
        <row r="83">
          <cell r="L83">
            <v>-0.56515899999999997</v>
          </cell>
        </row>
        <row r="84">
          <cell r="L84">
            <v>-0.58344799999999997</v>
          </cell>
        </row>
        <row r="85">
          <cell r="L85">
            <v>-0.59106800000000004</v>
          </cell>
        </row>
        <row r="86">
          <cell r="L86">
            <v>-0.594773</v>
          </cell>
        </row>
        <row r="87">
          <cell r="L87">
            <v>-0.57749099999999998</v>
          </cell>
        </row>
        <row r="88">
          <cell r="L88">
            <v>-0.60035799999999995</v>
          </cell>
        </row>
        <row r="89">
          <cell r="L89">
            <v>-0.60131800000000002</v>
          </cell>
        </row>
        <row r="90">
          <cell r="L90">
            <v>-0.61096099999999998</v>
          </cell>
        </row>
        <row r="91">
          <cell r="L91">
            <v>-0.61631800000000003</v>
          </cell>
        </row>
        <row r="92">
          <cell r="L92">
            <v>-0.62262099999999998</v>
          </cell>
        </row>
        <row r="93">
          <cell r="L93">
            <v>-0.64354500000000003</v>
          </cell>
        </row>
        <row r="94">
          <cell r="L94">
            <v>-0.64471800000000001</v>
          </cell>
        </row>
        <row r="95">
          <cell r="L95">
            <v>-0.63893299999999997</v>
          </cell>
        </row>
        <row r="96">
          <cell r="L96">
            <v>-0.65803400000000001</v>
          </cell>
        </row>
        <row r="97">
          <cell r="L97">
            <v>-0.65356099999999995</v>
          </cell>
        </row>
        <row r="98">
          <cell r="L98">
            <v>-0.65806399999999998</v>
          </cell>
        </row>
        <row r="99">
          <cell r="L99">
            <v>-0.65870499999999998</v>
          </cell>
        </row>
        <row r="100">
          <cell r="L100">
            <v>-0.65953200000000001</v>
          </cell>
        </row>
        <row r="101">
          <cell r="L101">
            <v>-0.66933799999999999</v>
          </cell>
        </row>
        <row r="102">
          <cell r="L102">
            <v>-0.65888199999999997</v>
          </cell>
        </row>
      </sheetData>
      <sheetData sheetId="1">
        <row r="2">
          <cell r="AA2">
            <v>1</v>
          </cell>
        </row>
        <row r="3">
          <cell r="AA3">
            <v>0.97</v>
          </cell>
        </row>
        <row r="4">
          <cell r="AA4">
            <v>0.99666699999999997</v>
          </cell>
        </row>
      </sheetData>
      <sheetData sheetId="2">
        <row r="2">
          <cell r="L2">
            <v>0</v>
          </cell>
        </row>
        <row r="3">
          <cell r="L3">
            <v>-1.6130000000000001E-3</v>
          </cell>
        </row>
        <row r="4">
          <cell r="L4">
            <v>-2.8140000000000001E-3</v>
          </cell>
          <cell r="O4">
            <v>0</v>
          </cell>
        </row>
        <row r="5">
          <cell r="L5">
            <v>-3.9999999999999998E-6</v>
          </cell>
          <cell r="O5">
            <v>1</v>
          </cell>
        </row>
        <row r="6">
          <cell r="L6">
            <v>-6.1440000000000002E-3</v>
          </cell>
          <cell r="O6">
            <v>-8.7847999999999996E-2</v>
          </cell>
        </row>
        <row r="7">
          <cell r="L7">
            <v>-1.8214000000000001E-2</v>
          </cell>
        </row>
        <row r="8">
          <cell r="L8">
            <v>-1.7392000000000001E-2</v>
          </cell>
        </row>
        <row r="9">
          <cell r="L9">
            <v>-1.8058000000000001E-2</v>
          </cell>
        </row>
        <row r="10">
          <cell r="L10">
            <v>-1.8335000000000001E-2</v>
          </cell>
        </row>
        <row r="11">
          <cell r="L11">
            <v>-1.6906000000000001E-2</v>
          </cell>
        </row>
        <row r="12">
          <cell r="L12">
            <v>-4.9911999999999998E-2</v>
          </cell>
        </row>
        <row r="13">
          <cell r="L13">
            <v>-5.6526E-2</v>
          </cell>
        </row>
        <row r="14">
          <cell r="L14">
            <v>-5.4554999999999999E-2</v>
          </cell>
        </row>
        <row r="15">
          <cell r="L15">
            <v>-4.8467999999999997E-2</v>
          </cell>
        </row>
        <row r="16">
          <cell r="L16">
            <v>-6.9426000000000002E-2</v>
          </cell>
        </row>
        <row r="17">
          <cell r="L17">
            <v>-7.6688000000000006E-2</v>
          </cell>
        </row>
        <row r="18">
          <cell r="L18">
            <v>-8.1601000000000007E-2</v>
          </cell>
        </row>
        <row r="19">
          <cell r="L19">
            <v>-8.6452000000000001E-2</v>
          </cell>
        </row>
        <row r="20">
          <cell r="L20">
            <v>-8.2294999999999993E-2</v>
          </cell>
        </row>
        <row r="21">
          <cell r="L21">
            <v>-8.0917000000000003E-2</v>
          </cell>
        </row>
        <row r="22">
          <cell r="L22">
            <v>-8.2021999999999998E-2</v>
          </cell>
        </row>
        <row r="23">
          <cell r="L23">
            <v>-7.7648999999999996E-2</v>
          </cell>
        </row>
        <row r="24">
          <cell r="L24">
            <v>-7.5309000000000001E-2</v>
          </cell>
        </row>
        <row r="25">
          <cell r="L25">
            <v>-7.0846999999999993E-2</v>
          </cell>
        </row>
        <row r="26">
          <cell r="L26">
            <v>-6.5840999999999997E-2</v>
          </cell>
        </row>
        <row r="27">
          <cell r="L27">
            <v>-6.2605999999999995E-2</v>
          </cell>
        </row>
        <row r="28">
          <cell r="L28">
            <v>-6.5942000000000001E-2</v>
          </cell>
        </row>
        <row r="29">
          <cell r="L29">
            <v>-6.1490999999999997E-2</v>
          </cell>
        </row>
        <row r="30">
          <cell r="L30">
            <v>-6.4729999999999996E-2</v>
          </cell>
        </row>
        <row r="31">
          <cell r="L31">
            <v>-6.3425999999999996E-2</v>
          </cell>
        </row>
        <row r="32">
          <cell r="L32">
            <v>-6.2472E-2</v>
          </cell>
        </row>
        <row r="33">
          <cell r="L33">
            <v>-6.3480999999999996E-2</v>
          </cell>
        </row>
        <row r="34">
          <cell r="L34">
            <v>-5.6543999999999997E-2</v>
          </cell>
        </row>
        <row r="35">
          <cell r="L35">
            <v>-5.7269E-2</v>
          </cell>
        </row>
        <row r="36">
          <cell r="L36">
            <v>-6.3601000000000005E-2</v>
          </cell>
        </row>
        <row r="37">
          <cell r="L37">
            <v>-6.3668000000000002E-2</v>
          </cell>
        </row>
        <row r="38">
          <cell r="L38">
            <v>-6.3811999999999994E-2</v>
          </cell>
        </row>
        <row r="39">
          <cell r="L39">
            <v>-6.5922999999999995E-2</v>
          </cell>
        </row>
        <row r="40">
          <cell r="L40">
            <v>-6.0766000000000001E-2</v>
          </cell>
        </row>
        <row r="41">
          <cell r="L41">
            <v>-5.9910999999999999E-2</v>
          </cell>
        </row>
        <row r="42">
          <cell r="L42">
            <v>-5.9163E-2</v>
          </cell>
        </row>
        <row r="43">
          <cell r="L43">
            <v>-8.6000999999999994E-2</v>
          </cell>
        </row>
        <row r="44">
          <cell r="L44">
            <v>-8.2150000000000001E-2</v>
          </cell>
        </row>
        <row r="45">
          <cell r="L45">
            <v>-8.5716000000000001E-2</v>
          </cell>
        </row>
        <row r="46">
          <cell r="L46">
            <v>-7.5378000000000001E-2</v>
          </cell>
        </row>
        <row r="47">
          <cell r="L47">
            <v>-7.4090000000000003E-2</v>
          </cell>
        </row>
        <row r="48">
          <cell r="L48">
            <v>-7.3547000000000001E-2</v>
          </cell>
        </row>
        <row r="49">
          <cell r="L49">
            <v>-7.0290000000000005E-2</v>
          </cell>
        </row>
        <row r="50">
          <cell r="L50">
            <v>-7.1831999999999993E-2</v>
          </cell>
        </row>
        <row r="51">
          <cell r="L51">
            <v>-6.8904999999999994E-2</v>
          </cell>
        </row>
        <row r="52">
          <cell r="L52">
            <v>-7.3996999999999993E-2</v>
          </cell>
        </row>
        <row r="53">
          <cell r="L53">
            <v>-7.2081999999999993E-2</v>
          </cell>
        </row>
        <row r="54">
          <cell r="L54">
            <v>-7.7317999999999998E-2</v>
          </cell>
        </row>
        <row r="55">
          <cell r="L55">
            <v>-7.5453999999999993E-2</v>
          </cell>
        </row>
        <row r="56">
          <cell r="L56">
            <v>-7.6814999999999994E-2</v>
          </cell>
        </row>
        <row r="57">
          <cell r="L57">
            <v>-7.7358999999999997E-2</v>
          </cell>
        </row>
        <row r="58">
          <cell r="L58">
            <v>-7.4352000000000001E-2</v>
          </cell>
        </row>
        <row r="59">
          <cell r="L59">
            <v>-7.3976E-2</v>
          </cell>
        </row>
        <row r="60">
          <cell r="L60">
            <v>-7.1857000000000004E-2</v>
          </cell>
        </row>
        <row r="61">
          <cell r="L61">
            <v>-8.6333999999999994E-2</v>
          </cell>
        </row>
        <row r="62">
          <cell r="L62">
            <v>-8.7847999999999996E-2</v>
          </cell>
        </row>
      </sheetData>
      <sheetData sheetId="3">
        <row r="2">
          <cell r="AA2">
            <v>1</v>
          </cell>
        </row>
        <row r="3">
          <cell r="AA3">
            <v>0.63333300000000003</v>
          </cell>
        </row>
        <row r="4">
          <cell r="AA4">
            <v>0.93666700000000003</v>
          </cell>
        </row>
      </sheetData>
      <sheetData sheetId="4">
        <row r="2">
          <cell r="L2">
            <v>0</v>
          </cell>
        </row>
        <row r="3">
          <cell r="L3">
            <v>-3.7443999999999998E-2</v>
          </cell>
        </row>
        <row r="4">
          <cell r="L4">
            <v>-2.4438000000000001E-2</v>
          </cell>
          <cell r="O4">
            <v>0</v>
          </cell>
        </row>
        <row r="5">
          <cell r="L5">
            <v>-7.1870000000000003E-2</v>
          </cell>
          <cell r="O5">
            <v>1</v>
          </cell>
        </row>
        <row r="6">
          <cell r="L6">
            <v>-0.118132</v>
          </cell>
          <cell r="O6">
            <v>-1.104663</v>
          </cell>
        </row>
        <row r="7">
          <cell r="L7">
            <v>-0.130777</v>
          </cell>
        </row>
        <row r="8">
          <cell r="L8">
            <v>-0.15517900000000001</v>
          </cell>
        </row>
        <row r="9">
          <cell r="L9">
            <v>-0.175234</v>
          </cell>
        </row>
        <row r="10">
          <cell r="L10">
            <v>-0.14640700000000001</v>
          </cell>
        </row>
        <row r="11">
          <cell r="L11">
            <v>-0.19422900000000001</v>
          </cell>
        </row>
        <row r="12">
          <cell r="L12">
            <v>-0.26458900000000002</v>
          </cell>
        </row>
        <row r="13">
          <cell r="L13">
            <v>-0.30092400000000002</v>
          </cell>
        </row>
        <row r="14">
          <cell r="L14">
            <v>-0.30837700000000001</v>
          </cell>
        </row>
        <row r="15">
          <cell r="L15">
            <v>-0.31731399999999998</v>
          </cell>
        </row>
        <row r="16">
          <cell r="L16">
            <v>-0.34924300000000003</v>
          </cell>
        </row>
        <row r="17">
          <cell r="L17">
            <v>-0.37307899999999999</v>
          </cell>
        </row>
        <row r="18">
          <cell r="L18">
            <v>-0.414466</v>
          </cell>
        </row>
        <row r="19">
          <cell r="L19">
            <v>-0.443442</v>
          </cell>
        </row>
        <row r="20">
          <cell r="L20">
            <v>-0.458646</v>
          </cell>
        </row>
        <row r="21">
          <cell r="L21">
            <v>-0.464839</v>
          </cell>
        </row>
        <row r="22">
          <cell r="L22">
            <v>-0.47647699999999998</v>
          </cell>
        </row>
        <row r="23">
          <cell r="L23">
            <v>-0.48299700000000001</v>
          </cell>
        </row>
        <row r="24">
          <cell r="L24">
            <v>-0.48670400000000003</v>
          </cell>
        </row>
        <row r="25">
          <cell r="L25">
            <v>-0.50530699999999995</v>
          </cell>
        </row>
        <row r="26">
          <cell r="L26">
            <v>-0.51701799999999998</v>
          </cell>
        </row>
        <row r="27">
          <cell r="L27">
            <v>-0.52535500000000002</v>
          </cell>
        </row>
        <row r="28">
          <cell r="L28">
            <v>-0.52932500000000005</v>
          </cell>
        </row>
        <row r="29">
          <cell r="L29">
            <v>-0.53509099999999998</v>
          </cell>
        </row>
        <row r="30">
          <cell r="L30">
            <v>-0.539381</v>
          </cell>
        </row>
        <row r="31">
          <cell r="L31">
            <v>-0.54273499999999997</v>
          </cell>
        </row>
        <row r="32">
          <cell r="L32">
            <v>-0.541995</v>
          </cell>
        </row>
        <row r="33">
          <cell r="L33">
            <v>-0.55154199999999998</v>
          </cell>
        </row>
        <row r="34">
          <cell r="L34">
            <v>-0.587418</v>
          </cell>
        </row>
        <row r="35">
          <cell r="L35">
            <v>-0.60026400000000002</v>
          </cell>
        </row>
        <row r="36">
          <cell r="L36">
            <v>-0.623116</v>
          </cell>
        </row>
        <row r="37">
          <cell r="L37">
            <v>-0.63135399999999997</v>
          </cell>
        </row>
        <row r="38">
          <cell r="L38">
            <v>-0.65187300000000004</v>
          </cell>
        </row>
        <row r="39">
          <cell r="L39">
            <v>-0.65666500000000005</v>
          </cell>
        </row>
        <row r="40">
          <cell r="L40">
            <v>-0.67499200000000004</v>
          </cell>
        </row>
        <row r="41">
          <cell r="L41">
            <v>-0.67146899999999998</v>
          </cell>
        </row>
        <row r="42">
          <cell r="L42">
            <v>-0.68995200000000001</v>
          </cell>
        </row>
        <row r="43">
          <cell r="L43">
            <v>-0.69785799999999998</v>
          </cell>
        </row>
        <row r="44">
          <cell r="L44">
            <v>-0.70249499999999998</v>
          </cell>
        </row>
        <row r="45">
          <cell r="L45">
            <v>-0.65621600000000002</v>
          </cell>
        </row>
        <row r="46">
          <cell r="L46">
            <v>-0.67939300000000002</v>
          </cell>
        </row>
        <row r="47">
          <cell r="L47">
            <v>-0.68701800000000002</v>
          </cell>
        </row>
        <row r="48">
          <cell r="L48">
            <v>-0.69238500000000003</v>
          </cell>
        </row>
        <row r="49">
          <cell r="L49">
            <v>-0.70479700000000001</v>
          </cell>
        </row>
        <row r="50">
          <cell r="L50">
            <v>-0.70144899999999999</v>
          </cell>
        </row>
        <row r="51">
          <cell r="L51">
            <v>-0.70472999999999997</v>
          </cell>
        </row>
        <row r="52">
          <cell r="L52">
            <v>-0.73250800000000005</v>
          </cell>
        </row>
        <row r="53">
          <cell r="L53">
            <v>-0.732043</v>
          </cell>
        </row>
        <row r="54">
          <cell r="L54">
            <v>-0.74330399999999996</v>
          </cell>
        </row>
        <row r="55">
          <cell r="L55">
            <v>-0.75803299999999996</v>
          </cell>
        </row>
        <row r="56">
          <cell r="L56">
            <v>-0.75578699999999999</v>
          </cell>
        </row>
        <row r="57">
          <cell r="L57">
            <v>-0.76454599999999995</v>
          </cell>
        </row>
        <row r="58">
          <cell r="L58">
            <v>-0.75387099999999996</v>
          </cell>
        </row>
        <row r="59">
          <cell r="L59">
            <v>-0.77170000000000005</v>
          </cell>
        </row>
        <row r="60">
          <cell r="L60">
            <v>-0.79856000000000005</v>
          </cell>
        </row>
        <row r="61">
          <cell r="L61">
            <v>-0.80388899999999996</v>
          </cell>
        </row>
        <row r="62">
          <cell r="L62">
            <v>-0.79589299999999996</v>
          </cell>
        </row>
        <row r="63">
          <cell r="L63">
            <v>-0.81758399999999998</v>
          </cell>
        </row>
        <row r="64">
          <cell r="L64">
            <v>-0.80168899999999998</v>
          </cell>
        </row>
        <row r="65">
          <cell r="L65">
            <v>-0.83098899999999998</v>
          </cell>
        </row>
        <row r="66">
          <cell r="L66">
            <v>-0.83727200000000002</v>
          </cell>
        </row>
        <row r="67">
          <cell r="L67">
            <v>-0.84332700000000005</v>
          </cell>
        </row>
        <row r="68">
          <cell r="L68">
            <v>-0.84636500000000003</v>
          </cell>
        </row>
        <row r="69">
          <cell r="L69">
            <v>-0.85285699999999998</v>
          </cell>
        </row>
        <row r="70">
          <cell r="L70">
            <v>-0.85322900000000002</v>
          </cell>
        </row>
        <row r="71">
          <cell r="L71">
            <v>-0.84876799999999997</v>
          </cell>
        </row>
        <row r="72">
          <cell r="L72">
            <v>-0.86388799999999999</v>
          </cell>
        </row>
        <row r="73">
          <cell r="L73">
            <v>-0.88186699999999996</v>
          </cell>
        </row>
        <row r="74">
          <cell r="L74">
            <v>-0.87280500000000005</v>
          </cell>
        </row>
        <row r="75">
          <cell r="L75">
            <v>-0.90952999999999995</v>
          </cell>
        </row>
        <row r="76">
          <cell r="L76">
            <v>-0.90146599999999999</v>
          </cell>
        </row>
        <row r="77">
          <cell r="L77">
            <v>-0.91045100000000001</v>
          </cell>
        </row>
        <row r="78">
          <cell r="L78">
            <v>-0.94250500000000004</v>
          </cell>
        </row>
        <row r="79">
          <cell r="L79">
            <v>-0.95722700000000005</v>
          </cell>
        </row>
        <row r="80">
          <cell r="L80">
            <v>-0.92420800000000003</v>
          </cell>
        </row>
        <row r="81">
          <cell r="L81">
            <v>-0.924346</v>
          </cell>
        </row>
        <row r="82">
          <cell r="L82">
            <v>-1.000078</v>
          </cell>
        </row>
        <row r="83">
          <cell r="L83">
            <v>-0.979321</v>
          </cell>
        </row>
        <row r="84">
          <cell r="L84">
            <v>-1.007185</v>
          </cell>
        </row>
        <row r="85">
          <cell r="L85">
            <v>-1.025061</v>
          </cell>
        </row>
        <row r="86">
          <cell r="L86">
            <v>-1.04674</v>
          </cell>
        </row>
        <row r="87">
          <cell r="L87">
            <v>-1.0229220000000001</v>
          </cell>
        </row>
        <row r="88">
          <cell r="L88">
            <v>-1.050602</v>
          </cell>
        </row>
        <row r="89">
          <cell r="L89">
            <v>-1.0415000000000001</v>
          </cell>
        </row>
        <row r="90">
          <cell r="L90">
            <v>-1.0558529999999999</v>
          </cell>
        </row>
        <row r="91">
          <cell r="L91">
            <v>-1.075483</v>
          </cell>
        </row>
        <row r="92">
          <cell r="L92">
            <v>-1.0898969999999999</v>
          </cell>
        </row>
        <row r="93">
          <cell r="L93">
            <v>-1.080894</v>
          </cell>
        </row>
        <row r="94">
          <cell r="L94">
            <v>-1.0838540000000001</v>
          </cell>
        </row>
        <row r="95">
          <cell r="L95">
            <v>-1.0585370000000001</v>
          </cell>
        </row>
        <row r="96">
          <cell r="L96">
            <v>-1.085081</v>
          </cell>
        </row>
        <row r="97">
          <cell r="L97">
            <v>-1.078031</v>
          </cell>
        </row>
        <row r="98">
          <cell r="L98">
            <v>-1.093186</v>
          </cell>
        </row>
        <row r="99">
          <cell r="L99">
            <v>-1.1125659999999999</v>
          </cell>
        </row>
        <row r="100">
          <cell r="L100">
            <v>-1.0953489999999999</v>
          </cell>
        </row>
        <row r="101">
          <cell r="L101">
            <v>-1.1221289999999999</v>
          </cell>
        </row>
        <row r="102">
          <cell r="L102">
            <v>-1.104663</v>
          </cell>
        </row>
      </sheetData>
      <sheetData sheetId="5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6">
        <row r="2">
          <cell r="L2">
            <v>0</v>
          </cell>
        </row>
        <row r="3">
          <cell r="L3">
            <v>-6.2350000000000001E-3</v>
          </cell>
        </row>
        <row r="4">
          <cell r="L4">
            <v>-1.2638E-2</v>
          </cell>
          <cell r="O4">
            <v>0</v>
          </cell>
        </row>
        <row r="5">
          <cell r="L5">
            <v>-1.4276E-2</v>
          </cell>
          <cell r="O5">
            <v>1</v>
          </cell>
        </row>
        <row r="6">
          <cell r="L6">
            <v>-2.5555999999999999E-2</v>
          </cell>
          <cell r="O6">
            <v>-0.39962799999999998</v>
          </cell>
        </row>
        <row r="7">
          <cell r="L7">
            <v>-4.9283E-2</v>
          </cell>
        </row>
        <row r="8">
          <cell r="L8">
            <v>-5.5661000000000002E-2</v>
          </cell>
        </row>
        <row r="9">
          <cell r="L9">
            <v>-5.8397999999999999E-2</v>
          </cell>
        </row>
        <row r="10">
          <cell r="L10">
            <v>-6.2765000000000001E-2</v>
          </cell>
        </row>
        <row r="11">
          <cell r="L11">
            <v>-6.9308999999999996E-2</v>
          </cell>
        </row>
        <row r="12">
          <cell r="L12">
            <v>-9.9557000000000007E-2</v>
          </cell>
        </row>
        <row r="13">
          <cell r="L13">
            <v>-0.107104</v>
          </cell>
        </row>
        <row r="14">
          <cell r="L14">
            <v>-0.109904</v>
          </cell>
        </row>
        <row r="15">
          <cell r="L15">
            <v>-0.109156</v>
          </cell>
        </row>
        <row r="16">
          <cell r="L16">
            <v>-0.15395200000000001</v>
          </cell>
        </row>
        <row r="17">
          <cell r="L17">
            <v>-0.165966</v>
          </cell>
        </row>
        <row r="18">
          <cell r="L18">
            <v>-0.16802400000000001</v>
          </cell>
        </row>
        <row r="19">
          <cell r="L19">
            <v>-0.182335</v>
          </cell>
        </row>
        <row r="20">
          <cell r="L20">
            <v>-0.19348699999999999</v>
          </cell>
        </row>
        <row r="21">
          <cell r="L21">
            <v>-0.203407</v>
          </cell>
        </row>
        <row r="22">
          <cell r="L22">
            <v>-0.20946600000000001</v>
          </cell>
        </row>
        <row r="23">
          <cell r="L23">
            <v>-0.224496</v>
          </cell>
        </row>
        <row r="24">
          <cell r="L24">
            <v>-0.22858100000000001</v>
          </cell>
        </row>
        <row r="25">
          <cell r="L25">
            <v>-0.22790299999999999</v>
          </cell>
        </row>
        <row r="26">
          <cell r="L26">
            <v>-0.225045</v>
          </cell>
        </row>
        <row r="27">
          <cell r="L27">
            <v>-0.22928100000000001</v>
          </cell>
        </row>
        <row r="28">
          <cell r="L28">
            <v>-0.241448</v>
          </cell>
        </row>
        <row r="29">
          <cell r="L29">
            <v>-0.25183100000000003</v>
          </cell>
        </row>
        <row r="30">
          <cell r="L30">
            <v>-0.25076399999999999</v>
          </cell>
        </row>
        <row r="31">
          <cell r="L31">
            <v>-0.257272</v>
          </cell>
        </row>
        <row r="32">
          <cell r="L32">
            <v>-0.26214799999999999</v>
          </cell>
        </row>
        <row r="33">
          <cell r="L33">
            <v>-0.26458300000000001</v>
          </cell>
        </row>
        <row r="34">
          <cell r="L34">
            <v>-0.26440000000000002</v>
          </cell>
        </row>
        <row r="35">
          <cell r="L35">
            <v>-0.27696900000000002</v>
          </cell>
        </row>
        <row r="36">
          <cell r="L36">
            <v>-0.287657</v>
          </cell>
        </row>
        <row r="37">
          <cell r="L37">
            <v>-0.29048600000000002</v>
          </cell>
        </row>
        <row r="38">
          <cell r="L38">
            <v>-0.29942999999999997</v>
          </cell>
        </row>
        <row r="39">
          <cell r="L39">
            <v>-0.30650100000000002</v>
          </cell>
        </row>
        <row r="40">
          <cell r="L40">
            <v>-0.30590499999999998</v>
          </cell>
        </row>
        <row r="41">
          <cell r="L41">
            <v>-0.301927</v>
          </cell>
        </row>
        <row r="42">
          <cell r="L42">
            <v>-0.30595299999999997</v>
          </cell>
        </row>
        <row r="43">
          <cell r="L43">
            <v>-0.32240600000000003</v>
          </cell>
        </row>
        <row r="44">
          <cell r="L44">
            <v>-0.31444299999999997</v>
          </cell>
        </row>
        <row r="45">
          <cell r="L45">
            <v>-0.32419700000000001</v>
          </cell>
        </row>
        <row r="46">
          <cell r="L46">
            <v>-0.32497199999999998</v>
          </cell>
        </row>
        <row r="47">
          <cell r="L47">
            <v>-0.32832600000000001</v>
          </cell>
        </row>
        <row r="48">
          <cell r="L48">
            <v>-0.34331699999999998</v>
          </cell>
        </row>
        <row r="49">
          <cell r="L49">
            <v>-0.34300199999999997</v>
          </cell>
        </row>
        <row r="50">
          <cell r="L50">
            <v>-0.35639199999999999</v>
          </cell>
        </row>
        <row r="51">
          <cell r="L51">
            <v>-0.35026299999999999</v>
          </cell>
        </row>
        <row r="52">
          <cell r="L52">
            <v>-0.35744599999999999</v>
          </cell>
        </row>
        <row r="53">
          <cell r="L53">
            <v>-0.36683500000000002</v>
          </cell>
        </row>
        <row r="54">
          <cell r="L54">
            <v>-0.37926799999999999</v>
          </cell>
        </row>
        <row r="55">
          <cell r="L55">
            <v>-0.372861</v>
          </cell>
        </row>
        <row r="56">
          <cell r="L56">
            <v>-0.39555200000000001</v>
          </cell>
        </row>
        <row r="57">
          <cell r="L57">
            <v>-0.39734700000000001</v>
          </cell>
        </row>
        <row r="58">
          <cell r="L58">
            <v>-0.39606599999999997</v>
          </cell>
        </row>
        <row r="59">
          <cell r="L59">
            <v>-0.39356200000000002</v>
          </cell>
        </row>
        <row r="60">
          <cell r="L60">
            <v>-0.39549899999999999</v>
          </cell>
        </row>
        <row r="61">
          <cell r="L61">
            <v>-0.40173999999999999</v>
          </cell>
        </row>
        <row r="62">
          <cell r="L62">
            <v>-0.39962799999999998</v>
          </cell>
        </row>
      </sheetData>
      <sheetData sheetId="7">
        <row r="2">
          <cell r="AA2">
            <v>1</v>
          </cell>
        </row>
        <row r="3">
          <cell r="AA3">
            <v>0.98333300000000001</v>
          </cell>
        </row>
        <row r="4">
          <cell r="AA4">
            <v>0.99916700000000003</v>
          </cell>
        </row>
      </sheetData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-8.4445000000000006E-2</v>
          </cell>
        </row>
        <row r="4">
          <cell r="L4">
            <v>-0.11240799999999999</v>
          </cell>
          <cell r="O4">
            <v>0</v>
          </cell>
        </row>
        <row r="5">
          <cell r="L5">
            <v>-0.121174</v>
          </cell>
          <cell r="O5">
            <v>1</v>
          </cell>
        </row>
        <row r="6">
          <cell r="L6">
            <v>-0.126136</v>
          </cell>
          <cell r="O6">
            <v>-0.66263499999999997</v>
          </cell>
        </row>
        <row r="7">
          <cell r="L7">
            <v>-0.13112199999999999</v>
          </cell>
        </row>
        <row r="8">
          <cell r="L8">
            <v>-0.137599</v>
          </cell>
        </row>
        <row r="9">
          <cell r="L9">
            <v>-0.14524000000000001</v>
          </cell>
        </row>
        <row r="10">
          <cell r="L10">
            <v>-0.14821200000000001</v>
          </cell>
        </row>
        <row r="11">
          <cell r="L11">
            <v>-0.15473700000000001</v>
          </cell>
        </row>
        <row r="12">
          <cell r="L12">
            <v>-0.18604100000000001</v>
          </cell>
        </row>
        <row r="13">
          <cell r="L13">
            <v>-0.21342800000000001</v>
          </cell>
        </row>
        <row r="14">
          <cell r="L14">
            <v>-0.22059599999999999</v>
          </cell>
        </row>
        <row r="15">
          <cell r="L15">
            <v>-0.22523799999999999</v>
          </cell>
        </row>
        <row r="16">
          <cell r="L16">
            <v>-0.23044600000000001</v>
          </cell>
        </row>
        <row r="17">
          <cell r="L17">
            <v>-0.23901800000000001</v>
          </cell>
        </row>
        <row r="18">
          <cell r="L18">
            <v>-0.25402000000000002</v>
          </cell>
        </row>
        <row r="19">
          <cell r="L19">
            <v>-0.27870699999999998</v>
          </cell>
        </row>
        <row r="20">
          <cell r="L20">
            <v>-0.29543199999999997</v>
          </cell>
        </row>
        <row r="21">
          <cell r="L21">
            <v>-0.29816199999999998</v>
          </cell>
        </row>
        <row r="22">
          <cell r="L22">
            <v>-0.30195499999999997</v>
          </cell>
        </row>
        <row r="23">
          <cell r="L23">
            <v>-0.30426999999999998</v>
          </cell>
        </row>
        <row r="24">
          <cell r="L24">
            <v>-0.30509999999999998</v>
          </cell>
        </row>
        <row r="25">
          <cell r="L25">
            <v>-0.30682900000000002</v>
          </cell>
        </row>
        <row r="26">
          <cell r="L26">
            <v>-0.31484200000000001</v>
          </cell>
        </row>
        <row r="27">
          <cell r="L27">
            <v>-0.32573099999999999</v>
          </cell>
        </row>
        <row r="28">
          <cell r="L28">
            <v>-0.33031300000000002</v>
          </cell>
        </row>
        <row r="29">
          <cell r="L29">
            <v>-0.33133400000000002</v>
          </cell>
        </row>
        <row r="30">
          <cell r="L30">
            <v>-0.33553300000000003</v>
          </cell>
        </row>
        <row r="31">
          <cell r="L31">
            <v>-0.33595900000000001</v>
          </cell>
        </row>
        <row r="32">
          <cell r="L32">
            <v>-0.33761600000000003</v>
          </cell>
        </row>
        <row r="33">
          <cell r="L33">
            <v>-0.34054099999999998</v>
          </cell>
        </row>
        <row r="34">
          <cell r="L34">
            <v>-0.34857199999999999</v>
          </cell>
        </row>
        <row r="35">
          <cell r="L35">
            <v>-0.352858</v>
          </cell>
        </row>
        <row r="36">
          <cell r="L36">
            <v>-0.35674699999999998</v>
          </cell>
        </row>
        <row r="37">
          <cell r="L37">
            <v>-0.36060199999999998</v>
          </cell>
        </row>
        <row r="38">
          <cell r="L38">
            <v>-0.36510799999999999</v>
          </cell>
        </row>
        <row r="39">
          <cell r="L39">
            <v>-0.36638199999999999</v>
          </cell>
        </row>
        <row r="40">
          <cell r="L40">
            <v>-0.37127700000000002</v>
          </cell>
        </row>
        <row r="41">
          <cell r="L41">
            <v>-0.38076399999999999</v>
          </cell>
        </row>
        <row r="42">
          <cell r="L42">
            <v>-0.38107600000000003</v>
          </cell>
        </row>
        <row r="43">
          <cell r="L43">
            <v>-0.39288299999999998</v>
          </cell>
        </row>
        <row r="44">
          <cell r="L44">
            <v>-0.43323</v>
          </cell>
        </row>
        <row r="45">
          <cell r="L45">
            <v>-0.43426599999999999</v>
          </cell>
        </row>
        <row r="46">
          <cell r="L46">
            <v>-0.43484</v>
          </cell>
        </row>
        <row r="47">
          <cell r="L47">
            <v>-0.43410500000000002</v>
          </cell>
        </row>
        <row r="48">
          <cell r="L48">
            <v>-0.43905499999999997</v>
          </cell>
        </row>
        <row r="49">
          <cell r="L49">
            <v>-0.43883499999999998</v>
          </cell>
        </row>
        <row r="50">
          <cell r="L50">
            <v>-0.44595200000000002</v>
          </cell>
        </row>
        <row r="51">
          <cell r="L51">
            <v>-0.44752399999999998</v>
          </cell>
        </row>
        <row r="52">
          <cell r="L52">
            <v>-0.44821299999999997</v>
          </cell>
        </row>
        <row r="53">
          <cell r="L53">
            <v>-0.448411</v>
          </cell>
        </row>
        <row r="54">
          <cell r="L54">
            <v>-0.45293600000000001</v>
          </cell>
        </row>
        <row r="55">
          <cell r="L55">
            <v>-0.45784900000000001</v>
          </cell>
        </row>
        <row r="56">
          <cell r="L56">
            <v>-0.45769399999999999</v>
          </cell>
        </row>
        <row r="57">
          <cell r="L57">
            <v>-0.45586300000000002</v>
          </cell>
        </row>
        <row r="58">
          <cell r="L58">
            <v>-0.46728599999999998</v>
          </cell>
        </row>
        <row r="59">
          <cell r="L59">
            <v>-0.46785199999999999</v>
          </cell>
        </row>
        <row r="60">
          <cell r="L60">
            <v>-0.46990500000000002</v>
          </cell>
        </row>
        <row r="61">
          <cell r="L61">
            <v>-0.471331</v>
          </cell>
        </row>
        <row r="62">
          <cell r="L62">
            <v>-0.47712900000000003</v>
          </cell>
        </row>
        <row r="63">
          <cell r="L63">
            <v>-0.47968899999999998</v>
          </cell>
        </row>
        <row r="64">
          <cell r="L64">
            <v>-0.48111199999999998</v>
          </cell>
        </row>
        <row r="65">
          <cell r="L65">
            <v>-0.48039799999999999</v>
          </cell>
        </row>
        <row r="66">
          <cell r="L66">
            <v>-0.49390899999999999</v>
          </cell>
        </row>
        <row r="67">
          <cell r="L67">
            <v>-0.49854999999999999</v>
          </cell>
        </row>
        <row r="68">
          <cell r="L68">
            <v>-0.50196300000000005</v>
          </cell>
        </row>
        <row r="69">
          <cell r="L69">
            <v>-0.50378900000000004</v>
          </cell>
        </row>
        <row r="70">
          <cell r="L70">
            <v>-0.50891900000000001</v>
          </cell>
        </row>
        <row r="71">
          <cell r="L71">
            <v>-0.50701200000000002</v>
          </cell>
        </row>
        <row r="72">
          <cell r="L72">
            <v>-0.50940700000000005</v>
          </cell>
        </row>
        <row r="73">
          <cell r="L73">
            <v>-0.51985999999999999</v>
          </cell>
        </row>
        <row r="74">
          <cell r="L74">
            <v>-0.52184600000000003</v>
          </cell>
        </row>
        <row r="75">
          <cell r="L75">
            <v>-0.524559</v>
          </cell>
        </row>
        <row r="76">
          <cell r="L76">
            <v>-0.52682099999999998</v>
          </cell>
        </row>
        <row r="77">
          <cell r="L77">
            <v>-0.53271999999999997</v>
          </cell>
        </row>
        <row r="78">
          <cell r="L78">
            <v>-0.53187300000000004</v>
          </cell>
        </row>
        <row r="79">
          <cell r="L79">
            <v>-0.52690599999999999</v>
          </cell>
        </row>
        <row r="80">
          <cell r="L80">
            <v>-0.54415100000000005</v>
          </cell>
        </row>
        <row r="81">
          <cell r="L81">
            <v>-0.553369</v>
          </cell>
        </row>
        <row r="82">
          <cell r="L82">
            <v>-0.555616</v>
          </cell>
        </row>
        <row r="83">
          <cell r="L83">
            <v>-0.55472600000000005</v>
          </cell>
        </row>
        <row r="84">
          <cell r="L84">
            <v>-0.55678799999999995</v>
          </cell>
        </row>
        <row r="85">
          <cell r="L85">
            <v>-0.56045900000000004</v>
          </cell>
        </row>
        <row r="86">
          <cell r="L86">
            <v>-0.56922600000000001</v>
          </cell>
        </row>
        <row r="87">
          <cell r="L87">
            <v>-0.56873399999999996</v>
          </cell>
        </row>
        <row r="88">
          <cell r="L88">
            <v>-0.57202799999999998</v>
          </cell>
        </row>
        <row r="89">
          <cell r="L89">
            <v>-0.57070200000000004</v>
          </cell>
        </row>
        <row r="90">
          <cell r="L90">
            <v>-0.58446699999999996</v>
          </cell>
        </row>
        <row r="91">
          <cell r="L91">
            <v>-0.585121</v>
          </cell>
        </row>
        <row r="92">
          <cell r="L92">
            <v>-0.59036999999999995</v>
          </cell>
        </row>
        <row r="93">
          <cell r="L93">
            <v>-0.59279000000000004</v>
          </cell>
        </row>
        <row r="94">
          <cell r="L94">
            <v>-0.60924999999999996</v>
          </cell>
        </row>
        <row r="95">
          <cell r="L95">
            <v>-0.61018700000000003</v>
          </cell>
        </row>
        <row r="96">
          <cell r="L96">
            <v>-0.61017999999999994</v>
          </cell>
        </row>
        <row r="97">
          <cell r="L97">
            <v>-0.62241000000000002</v>
          </cell>
        </row>
        <row r="98">
          <cell r="L98">
            <v>-0.63756500000000005</v>
          </cell>
        </row>
        <row r="99">
          <cell r="L99">
            <v>-0.642818</v>
          </cell>
        </row>
        <row r="100">
          <cell r="L100">
            <v>-0.62901600000000002</v>
          </cell>
        </row>
        <row r="101">
          <cell r="L101">
            <v>-0.653559</v>
          </cell>
        </row>
        <row r="102">
          <cell r="L102">
            <v>-0.66263499999999997</v>
          </cell>
        </row>
      </sheetData>
      <sheetData sheetId="1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2">
        <row r="2">
          <cell r="L2">
            <v>0</v>
          </cell>
        </row>
        <row r="3">
          <cell r="L3">
            <v>-2.4181999999999999E-2</v>
          </cell>
        </row>
        <row r="4">
          <cell r="L4">
            <v>-2.8265999999999999E-2</v>
          </cell>
          <cell r="O4">
            <v>0</v>
          </cell>
        </row>
        <row r="5">
          <cell r="L5">
            <v>-4.7220999999999999E-2</v>
          </cell>
          <cell r="O5">
            <v>1</v>
          </cell>
        </row>
        <row r="6">
          <cell r="L6">
            <v>-5.0155999999999999E-2</v>
          </cell>
          <cell r="O6">
            <v>-0.27674799999999999</v>
          </cell>
        </row>
        <row r="7">
          <cell r="L7">
            <v>-6.905E-2</v>
          </cell>
        </row>
        <row r="8">
          <cell r="L8">
            <v>-7.4743000000000004E-2</v>
          </cell>
        </row>
        <row r="9">
          <cell r="L9">
            <v>-7.7924999999999994E-2</v>
          </cell>
        </row>
        <row r="10">
          <cell r="L10">
            <v>-7.9023999999999997E-2</v>
          </cell>
        </row>
        <row r="11">
          <cell r="L11">
            <v>-8.2780999999999993E-2</v>
          </cell>
        </row>
        <row r="12">
          <cell r="L12">
            <v>-8.4991999999999998E-2</v>
          </cell>
        </row>
        <row r="13">
          <cell r="L13">
            <v>-8.6649000000000004E-2</v>
          </cell>
        </row>
        <row r="14">
          <cell r="L14">
            <v>-8.9768000000000001E-2</v>
          </cell>
        </row>
        <row r="15">
          <cell r="L15">
            <v>-0.104783</v>
          </cell>
        </row>
        <row r="16">
          <cell r="L16">
            <v>-0.113233</v>
          </cell>
        </row>
        <row r="17">
          <cell r="L17">
            <v>-0.117372</v>
          </cell>
        </row>
        <row r="18">
          <cell r="L18">
            <v>-0.121617</v>
          </cell>
        </row>
        <row r="19">
          <cell r="L19">
            <v>-0.12912399999999999</v>
          </cell>
        </row>
        <row r="20">
          <cell r="L20">
            <v>-0.13442699999999999</v>
          </cell>
        </row>
        <row r="21">
          <cell r="L21">
            <v>-0.140461</v>
          </cell>
        </row>
        <row r="22">
          <cell r="L22">
            <v>-0.15360099999999999</v>
          </cell>
        </row>
        <row r="23">
          <cell r="L23">
            <v>-0.16473099999999999</v>
          </cell>
        </row>
        <row r="24">
          <cell r="L24">
            <v>-0.16825999999999999</v>
          </cell>
        </row>
        <row r="25">
          <cell r="L25">
            <v>-0.170518</v>
          </cell>
        </row>
        <row r="26">
          <cell r="L26">
            <v>-0.17218</v>
          </cell>
        </row>
        <row r="27">
          <cell r="L27">
            <v>-0.17253599999999999</v>
          </cell>
        </row>
        <row r="28">
          <cell r="L28">
            <v>-0.175729</v>
          </cell>
        </row>
        <row r="29">
          <cell r="L29">
            <v>-0.17866799999999999</v>
          </cell>
        </row>
        <row r="30">
          <cell r="L30">
            <v>-0.18050099999999999</v>
          </cell>
        </row>
        <row r="31">
          <cell r="L31">
            <v>-0.182198</v>
          </cell>
        </row>
        <row r="32">
          <cell r="L32">
            <v>-0.19253000000000001</v>
          </cell>
        </row>
        <row r="33">
          <cell r="L33">
            <v>-0.20319200000000001</v>
          </cell>
        </row>
        <row r="34">
          <cell r="L34">
            <v>-0.206284</v>
          </cell>
        </row>
        <row r="35">
          <cell r="L35">
            <v>-0.21050099999999999</v>
          </cell>
        </row>
        <row r="36">
          <cell r="L36">
            <v>-0.215421</v>
          </cell>
        </row>
        <row r="37">
          <cell r="L37">
            <v>-0.226156</v>
          </cell>
        </row>
        <row r="38">
          <cell r="L38">
            <v>-0.23912900000000001</v>
          </cell>
        </row>
        <row r="39">
          <cell r="L39">
            <v>-0.24230399999999999</v>
          </cell>
        </row>
        <row r="40">
          <cell r="L40">
            <v>-0.243282</v>
          </cell>
        </row>
        <row r="41">
          <cell r="L41">
            <v>-0.24426500000000001</v>
          </cell>
        </row>
        <row r="42">
          <cell r="L42">
            <v>-0.24445600000000001</v>
          </cell>
        </row>
        <row r="43">
          <cell r="L43">
            <v>-0.245037</v>
          </cell>
        </row>
        <row r="44">
          <cell r="L44">
            <v>-0.24664</v>
          </cell>
        </row>
        <row r="45">
          <cell r="L45">
            <v>-0.24893599999999999</v>
          </cell>
        </row>
        <row r="46">
          <cell r="L46">
            <v>-0.25034699999999999</v>
          </cell>
        </row>
        <row r="47">
          <cell r="L47">
            <v>-0.25211899999999998</v>
          </cell>
        </row>
        <row r="48">
          <cell r="L48">
            <v>-0.25340299999999999</v>
          </cell>
        </row>
        <row r="49">
          <cell r="L49">
            <v>-0.25382700000000002</v>
          </cell>
        </row>
        <row r="50">
          <cell r="L50">
            <v>-0.25546200000000002</v>
          </cell>
        </row>
        <row r="51">
          <cell r="L51">
            <v>-0.25984099999999999</v>
          </cell>
        </row>
        <row r="52">
          <cell r="L52">
            <v>-0.26439000000000001</v>
          </cell>
        </row>
        <row r="53">
          <cell r="L53">
            <v>-0.266735</v>
          </cell>
        </row>
        <row r="54">
          <cell r="L54">
            <v>-0.267291</v>
          </cell>
        </row>
        <row r="55">
          <cell r="L55">
            <v>-0.26782299999999998</v>
          </cell>
        </row>
        <row r="56">
          <cell r="L56">
            <v>-0.26844400000000002</v>
          </cell>
        </row>
        <row r="57">
          <cell r="L57">
            <v>-0.26999000000000001</v>
          </cell>
        </row>
        <row r="58">
          <cell r="L58">
            <v>-0.27104600000000001</v>
          </cell>
        </row>
        <row r="59">
          <cell r="L59">
            <v>-0.27300200000000002</v>
          </cell>
        </row>
        <row r="60">
          <cell r="L60">
            <v>-0.27421899999999999</v>
          </cell>
        </row>
        <row r="61">
          <cell r="L61">
            <v>-0.27514699999999997</v>
          </cell>
        </row>
        <row r="62">
          <cell r="L62">
            <v>-0.27674799999999999</v>
          </cell>
        </row>
      </sheetData>
      <sheetData sheetId="3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4">
        <row r="2">
          <cell r="L2">
            <v>0</v>
          </cell>
        </row>
        <row r="3">
          <cell r="L3">
            <v>-0.16297800000000001</v>
          </cell>
        </row>
        <row r="4">
          <cell r="L4">
            <v>-0.24582599999999999</v>
          </cell>
          <cell r="O4">
            <v>0</v>
          </cell>
        </row>
        <row r="5">
          <cell r="L5">
            <v>-0.27609600000000001</v>
          </cell>
          <cell r="O5">
            <v>1</v>
          </cell>
        </row>
        <row r="6">
          <cell r="L6">
            <v>-0.286939</v>
          </cell>
          <cell r="O6">
            <v>-0.96533599999999997</v>
          </cell>
        </row>
        <row r="7">
          <cell r="L7">
            <v>-0.29638500000000001</v>
          </cell>
        </row>
        <row r="8">
          <cell r="L8">
            <v>-0.30784</v>
          </cell>
        </row>
        <row r="9">
          <cell r="L9">
            <v>-0.32052799999999998</v>
          </cell>
        </row>
        <row r="10">
          <cell r="L10">
            <v>-0.33213999999999999</v>
          </cell>
        </row>
        <row r="11">
          <cell r="L11">
            <v>-0.34492099999999998</v>
          </cell>
        </row>
        <row r="12">
          <cell r="L12">
            <v>-0.40773100000000001</v>
          </cell>
        </row>
        <row r="13">
          <cell r="L13">
            <v>-0.47291499999999997</v>
          </cell>
        </row>
        <row r="14">
          <cell r="L14">
            <v>-0.482956</v>
          </cell>
        </row>
        <row r="15">
          <cell r="L15">
            <v>-0.489203</v>
          </cell>
        </row>
        <row r="16">
          <cell r="L16">
            <v>-0.49775900000000001</v>
          </cell>
        </row>
        <row r="17">
          <cell r="L17">
            <v>-0.51297099999999995</v>
          </cell>
        </row>
        <row r="18">
          <cell r="L18">
            <v>-0.52842999999999996</v>
          </cell>
        </row>
        <row r="19">
          <cell r="L19">
            <v>-0.55148399999999997</v>
          </cell>
        </row>
        <row r="20">
          <cell r="L20">
            <v>-0.57213999999999998</v>
          </cell>
        </row>
        <row r="21">
          <cell r="L21">
            <v>-0.57768299999999995</v>
          </cell>
        </row>
        <row r="22">
          <cell r="L22">
            <v>-0.586229</v>
          </cell>
        </row>
        <row r="23">
          <cell r="L23">
            <v>-0.59004999999999996</v>
          </cell>
        </row>
        <row r="24">
          <cell r="L24">
            <v>-0.592136</v>
          </cell>
        </row>
        <row r="25">
          <cell r="L25">
            <v>-0.59439900000000001</v>
          </cell>
        </row>
        <row r="26">
          <cell r="L26">
            <v>-0.60275599999999996</v>
          </cell>
        </row>
        <row r="27">
          <cell r="L27">
            <v>-0.61558199999999996</v>
          </cell>
        </row>
        <row r="28">
          <cell r="L28">
            <v>-0.61974499999999999</v>
          </cell>
        </row>
        <row r="29">
          <cell r="L29">
            <v>-0.62192800000000004</v>
          </cell>
        </row>
        <row r="30">
          <cell r="L30">
            <v>-0.62377700000000003</v>
          </cell>
        </row>
        <row r="31">
          <cell r="L31">
            <v>-0.62402800000000003</v>
          </cell>
        </row>
        <row r="32">
          <cell r="L32">
            <v>-0.63039599999999996</v>
          </cell>
        </row>
        <row r="33">
          <cell r="L33">
            <v>-0.63286699999999996</v>
          </cell>
        </row>
        <row r="34">
          <cell r="L34">
            <v>-0.64764200000000005</v>
          </cell>
        </row>
        <row r="35">
          <cell r="L35">
            <v>-0.65469699999999997</v>
          </cell>
        </row>
        <row r="36">
          <cell r="L36">
            <v>-0.66105999999999998</v>
          </cell>
        </row>
        <row r="37">
          <cell r="L37">
            <v>-0.66744700000000001</v>
          </cell>
        </row>
        <row r="38">
          <cell r="L38">
            <v>-0.66813</v>
          </cell>
        </row>
        <row r="39">
          <cell r="L39">
            <v>-0.66849000000000003</v>
          </cell>
        </row>
        <row r="40">
          <cell r="L40">
            <v>-0.68412300000000004</v>
          </cell>
        </row>
        <row r="41">
          <cell r="L41">
            <v>-0.69196800000000003</v>
          </cell>
        </row>
        <row r="42">
          <cell r="L42">
            <v>-0.69648500000000002</v>
          </cell>
        </row>
        <row r="43">
          <cell r="L43">
            <v>-0.71851799999999999</v>
          </cell>
        </row>
        <row r="44">
          <cell r="L44">
            <v>-0.72344799999999998</v>
          </cell>
        </row>
        <row r="45">
          <cell r="L45">
            <v>-0.72545700000000002</v>
          </cell>
        </row>
        <row r="46">
          <cell r="L46">
            <v>-0.72585999999999995</v>
          </cell>
        </row>
        <row r="47">
          <cell r="L47">
            <v>-0.726217</v>
          </cell>
        </row>
        <row r="48">
          <cell r="L48">
            <v>-0.73257000000000005</v>
          </cell>
        </row>
        <row r="49">
          <cell r="L49">
            <v>-0.733599</v>
          </cell>
        </row>
        <row r="50">
          <cell r="L50">
            <v>-0.75048599999999999</v>
          </cell>
        </row>
        <row r="51">
          <cell r="L51">
            <v>-0.75039599999999995</v>
          </cell>
        </row>
        <row r="52">
          <cell r="L52">
            <v>-0.75644599999999995</v>
          </cell>
        </row>
        <row r="53">
          <cell r="L53">
            <v>-0.75809199999999999</v>
          </cell>
        </row>
        <row r="54">
          <cell r="L54">
            <v>-0.75717800000000002</v>
          </cell>
        </row>
        <row r="55">
          <cell r="L55">
            <v>-0.76407499999999995</v>
          </cell>
        </row>
        <row r="56">
          <cell r="L56">
            <v>-0.76304300000000003</v>
          </cell>
        </row>
        <row r="57">
          <cell r="L57">
            <v>-0.76319899999999996</v>
          </cell>
        </row>
        <row r="58">
          <cell r="L58">
            <v>-0.77988299999999999</v>
          </cell>
        </row>
        <row r="59">
          <cell r="L59">
            <v>-0.77977300000000005</v>
          </cell>
        </row>
        <row r="60">
          <cell r="L60">
            <v>-0.78341400000000005</v>
          </cell>
        </row>
        <row r="61">
          <cell r="L61">
            <v>-0.78402099999999997</v>
          </cell>
        </row>
        <row r="62">
          <cell r="L62">
            <v>-0.78947299999999998</v>
          </cell>
        </row>
        <row r="63">
          <cell r="L63">
            <v>-0.79353099999999999</v>
          </cell>
        </row>
        <row r="64">
          <cell r="L64">
            <v>-0.79550600000000005</v>
          </cell>
        </row>
        <row r="65">
          <cell r="L65">
            <v>-0.79772900000000002</v>
          </cell>
        </row>
        <row r="66">
          <cell r="L66">
            <v>-0.80438900000000002</v>
          </cell>
        </row>
        <row r="67">
          <cell r="L67">
            <v>-0.81750900000000004</v>
          </cell>
        </row>
        <row r="68">
          <cell r="L68">
            <v>-0.82034200000000002</v>
          </cell>
        </row>
        <row r="69">
          <cell r="L69">
            <v>-0.82038199999999994</v>
          </cell>
        </row>
        <row r="70">
          <cell r="L70">
            <v>-0.82617399999999996</v>
          </cell>
        </row>
        <row r="71">
          <cell r="L71">
            <v>-0.82249700000000003</v>
          </cell>
        </row>
        <row r="72">
          <cell r="L72">
            <v>-0.82440800000000003</v>
          </cell>
        </row>
        <row r="73">
          <cell r="L73">
            <v>-0.84248699999999999</v>
          </cell>
        </row>
        <row r="74">
          <cell r="L74">
            <v>-0.84248500000000004</v>
          </cell>
        </row>
        <row r="75">
          <cell r="L75">
            <v>-0.84431199999999995</v>
          </cell>
        </row>
        <row r="76">
          <cell r="L76">
            <v>-0.84618099999999996</v>
          </cell>
        </row>
        <row r="77">
          <cell r="L77">
            <v>-0.83724200000000004</v>
          </cell>
        </row>
        <row r="78">
          <cell r="L78">
            <v>-0.86990199999999995</v>
          </cell>
        </row>
        <row r="79">
          <cell r="L79">
            <v>-0.86634800000000001</v>
          </cell>
        </row>
        <row r="80">
          <cell r="L80">
            <v>-0.87327399999999999</v>
          </cell>
        </row>
        <row r="81">
          <cell r="L81">
            <v>-0.88244500000000003</v>
          </cell>
        </row>
        <row r="82">
          <cell r="L82">
            <v>-0.88395599999999996</v>
          </cell>
        </row>
        <row r="83">
          <cell r="L83">
            <v>-0.886741</v>
          </cell>
        </row>
        <row r="84">
          <cell r="L84">
            <v>-0.88530500000000001</v>
          </cell>
        </row>
        <row r="85">
          <cell r="L85">
            <v>-0.88930900000000002</v>
          </cell>
        </row>
        <row r="86">
          <cell r="L86">
            <v>-0.90041499999999997</v>
          </cell>
        </row>
        <row r="87">
          <cell r="L87">
            <v>-0.90325800000000001</v>
          </cell>
        </row>
        <row r="88">
          <cell r="L88">
            <v>-0.89852100000000001</v>
          </cell>
        </row>
        <row r="89">
          <cell r="L89">
            <v>-0.89550700000000005</v>
          </cell>
        </row>
        <row r="90">
          <cell r="L90">
            <v>-0.92108000000000001</v>
          </cell>
        </row>
        <row r="91">
          <cell r="L91">
            <v>-0.91811699999999996</v>
          </cell>
        </row>
        <row r="92">
          <cell r="L92">
            <v>-0.930419</v>
          </cell>
        </row>
        <row r="93">
          <cell r="L93">
            <v>-0.91947900000000005</v>
          </cell>
        </row>
        <row r="94">
          <cell r="L94">
            <v>-0.94284400000000002</v>
          </cell>
        </row>
        <row r="95">
          <cell r="L95">
            <v>-0.94842400000000004</v>
          </cell>
        </row>
        <row r="96">
          <cell r="L96">
            <v>-0.94402699999999995</v>
          </cell>
        </row>
        <row r="97">
          <cell r="L97">
            <v>-0.95042300000000002</v>
          </cell>
        </row>
        <row r="98">
          <cell r="L98">
            <v>-0.96353200000000006</v>
          </cell>
        </row>
        <row r="99">
          <cell r="L99">
            <v>-0.96969899999999998</v>
          </cell>
        </row>
        <row r="100">
          <cell r="L100">
            <v>-0.96162300000000001</v>
          </cell>
        </row>
        <row r="101">
          <cell r="L101">
            <v>-0.97634399999999999</v>
          </cell>
        </row>
        <row r="102">
          <cell r="L102">
            <v>-0.96533599999999997</v>
          </cell>
        </row>
      </sheetData>
      <sheetData sheetId="5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6">
        <row r="2">
          <cell r="L2">
            <v>0</v>
          </cell>
        </row>
        <row r="3">
          <cell r="L3">
            <v>-3.0155999999999999E-2</v>
          </cell>
        </row>
        <row r="4">
          <cell r="L4">
            <v>-3.5296000000000001E-2</v>
          </cell>
          <cell r="O4">
            <v>0</v>
          </cell>
        </row>
        <row r="5">
          <cell r="L5">
            <v>-7.0091000000000001E-2</v>
          </cell>
          <cell r="O5">
            <v>1</v>
          </cell>
        </row>
        <row r="6">
          <cell r="L6">
            <v>-7.5004000000000001E-2</v>
          </cell>
          <cell r="O6">
            <v>-0.48918099999999998</v>
          </cell>
        </row>
        <row r="7">
          <cell r="L7">
            <v>-0.114264</v>
          </cell>
        </row>
        <row r="8">
          <cell r="L8">
            <v>-0.12564400000000001</v>
          </cell>
        </row>
        <row r="9">
          <cell r="L9">
            <v>-0.133354</v>
          </cell>
        </row>
        <row r="10">
          <cell r="L10">
            <v>-0.145677</v>
          </cell>
        </row>
        <row r="11">
          <cell r="L11">
            <v>-0.15487899999999999</v>
          </cell>
        </row>
        <row r="12">
          <cell r="L12">
            <v>-0.159521</v>
          </cell>
        </row>
        <row r="13">
          <cell r="L13">
            <v>-0.16021299999999999</v>
          </cell>
        </row>
        <row r="14">
          <cell r="L14">
            <v>-0.165463</v>
          </cell>
        </row>
        <row r="15">
          <cell r="L15">
            <v>-0.192354</v>
          </cell>
        </row>
        <row r="16">
          <cell r="L16">
            <v>-0.203404</v>
          </cell>
        </row>
        <row r="17">
          <cell r="L17">
            <v>-0.20901400000000001</v>
          </cell>
        </row>
        <row r="18">
          <cell r="L18">
            <v>-0.21564700000000001</v>
          </cell>
        </row>
        <row r="19">
          <cell r="L19">
            <v>-0.22789899999999999</v>
          </cell>
        </row>
        <row r="20">
          <cell r="L20">
            <v>-0.233458</v>
          </cell>
        </row>
        <row r="21">
          <cell r="L21">
            <v>-0.24118000000000001</v>
          </cell>
        </row>
        <row r="22">
          <cell r="L22">
            <v>-0.25962200000000002</v>
          </cell>
        </row>
        <row r="23">
          <cell r="L23">
            <v>-0.26831199999999999</v>
          </cell>
        </row>
        <row r="24">
          <cell r="L24">
            <v>-0.26980500000000002</v>
          </cell>
        </row>
        <row r="25">
          <cell r="L25">
            <v>-0.27346599999999999</v>
          </cell>
        </row>
        <row r="26">
          <cell r="L26">
            <v>-0.285138</v>
          </cell>
        </row>
        <row r="27">
          <cell r="L27">
            <v>-0.29225299999999999</v>
          </cell>
        </row>
        <row r="28">
          <cell r="L28">
            <v>-0.30003099999999999</v>
          </cell>
        </row>
        <row r="29">
          <cell r="L29">
            <v>-0.30596400000000001</v>
          </cell>
        </row>
        <row r="30">
          <cell r="L30">
            <v>-0.31095800000000001</v>
          </cell>
        </row>
        <row r="31">
          <cell r="L31">
            <v>-0.31419200000000003</v>
          </cell>
        </row>
        <row r="32">
          <cell r="L32">
            <v>-0.32980599999999999</v>
          </cell>
        </row>
        <row r="33">
          <cell r="L33">
            <v>-0.34392899999999998</v>
          </cell>
        </row>
        <row r="34">
          <cell r="L34">
            <v>-0.34807500000000002</v>
          </cell>
        </row>
        <row r="35">
          <cell r="L35">
            <v>-0.35228799999999999</v>
          </cell>
        </row>
        <row r="36">
          <cell r="L36">
            <v>-0.36438799999999999</v>
          </cell>
        </row>
        <row r="37">
          <cell r="L37">
            <v>-0.38800000000000001</v>
          </cell>
        </row>
        <row r="38">
          <cell r="L38">
            <v>-0.40697</v>
          </cell>
        </row>
        <row r="39">
          <cell r="L39">
            <v>-0.41555199999999998</v>
          </cell>
        </row>
        <row r="40">
          <cell r="L40">
            <v>-0.42227599999999998</v>
          </cell>
        </row>
        <row r="41">
          <cell r="L41">
            <v>-0.42408400000000002</v>
          </cell>
        </row>
        <row r="42">
          <cell r="L42">
            <v>-0.42805700000000002</v>
          </cell>
        </row>
        <row r="43">
          <cell r="L43">
            <v>-0.43346099999999999</v>
          </cell>
        </row>
        <row r="44">
          <cell r="L44">
            <v>-0.43663000000000002</v>
          </cell>
        </row>
        <row r="45">
          <cell r="L45">
            <v>-0.44144800000000001</v>
          </cell>
        </row>
        <row r="46">
          <cell r="L46">
            <v>-0.44354500000000002</v>
          </cell>
        </row>
        <row r="47">
          <cell r="L47">
            <v>-0.44722600000000001</v>
          </cell>
        </row>
        <row r="48">
          <cell r="L48">
            <v>-0.45061800000000002</v>
          </cell>
        </row>
        <row r="49">
          <cell r="L49">
            <v>-0.450631</v>
          </cell>
        </row>
        <row r="50">
          <cell r="L50">
            <v>-0.45363900000000001</v>
          </cell>
        </row>
        <row r="51">
          <cell r="L51">
            <v>-0.460061</v>
          </cell>
        </row>
        <row r="52">
          <cell r="L52">
            <v>-0.46479700000000002</v>
          </cell>
        </row>
        <row r="53">
          <cell r="L53">
            <v>-0.468586</v>
          </cell>
        </row>
        <row r="54">
          <cell r="L54">
            <v>-0.46995300000000001</v>
          </cell>
        </row>
        <row r="55">
          <cell r="L55">
            <v>-0.471026</v>
          </cell>
        </row>
        <row r="56">
          <cell r="L56">
            <v>-0.47239500000000001</v>
          </cell>
        </row>
        <row r="57">
          <cell r="L57">
            <v>-0.47506300000000001</v>
          </cell>
        </row>
        <row r="58">
          <cell r="L58">
            <v>-0.47673199999999999</v>
          </cell>
        </row>
        <row r="59">
          <cell r="L59">
            <v>-0.48085099999999997</v>
          </cell>
        </row>
        <row r="60">
          <cell r="L60">
            <v>-0.48441099999999998</v>
          </cell>
        </row>
        <row r="61">
          <cell r="L61">
            <v>-0.48574000000000001</v>
          </cell>
        </row>
        <row r="62">
          <cell r="L62">
            <v>-0.48918099999999998</v>
          </cell>
        </row>
      </sheetData>
      <sheetData sheetId="7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0</v>
          </cell>
        </row>
        <row r="4">
          <cell r="L4">
            <v>-3.9243E-2</v>
          </cell>
          <cell r="O4">
            <v>42</v>
          </cell>
        </row>
        <row r="5">
          <cell r="L5">
            <v>-5.1411999999999999E-2</v>
          </cell>
          <cell r="O5">
            <v>0.57999999999999996</v>
          </cell>
        </row>
        <row r="6">
          <cell r="L6">
            <v>-4.9668999999999998E-2</v>
          </cell>
          <cell r="O6">
            <v>0.144481</v>
          </cell>
        </row>
        <row r="7">
          <cell r="L7">
            <v>-4.8418000000000003E-2</v>
          </cell>
        </row>
        <row r="8">
          <cell r="L8">
            <v>-4.4873999999999997E-2</v>
          </cell>
        </row>
        <row r="9">
          <cell r="L9">
            <v>-3.3915000000000001E-2</v>
          </cell>
        </row>
        <row r="10">
          <cell r="L10">
            <v>-5.3494E-2</v>
          </cell>
        </row>
        <row r="11">
          <cell r="L11">
            <v>-3.3628999999999999E-2</v>
          </cell>
        </row>
        <row r="12">
          <cell r="L12">
            <v>-3.1125E-2</v>
          </cell>
        </row>
        <row r="13">
          <cell r="L13">
            <v>-1.3259999999999999E-2</v>
          </cell>
        </row>
        <row r="14">
          <cell r="L14">
            <v>-7.8779999999999996E-3</v>
          </cell>
        </row>
        <row r="15">
          <cell r="L15">
            <v>-9.6450000000000008E-3</v>
          </cell>
        </row>
        <row r="16">
          <cell r="L16">
            <v>-2.0702999999999999E-2</v>
          </cell>
        </row>
        <row r="17">
          <cell r="L17">
            <v>-2.9912999999999999E-2</v>
          </cell>
        </row>
        <row r="18">
          <cell r="L18">
            <v>-5.772E-2</v>
          </cell>
        </row>
        <row r="19">
          <cell r="L19">
            <v>-6.8732000000000001E-2</v>
          </cell>
        </row>
        <row r="20">
          <cell r="L20">
            <v>-6.6632999999999998E-2</v>
          </cell>
        </row>
        <row r="21">
          <cell r="L21">
            <v>-4.4108000000000001E-2</v>
          </cell>
        </row>
        <row r="22">
          <cell r="L22">
            <v>-2.9291999999999999E-2</v>
          </cell>
        </row>
        <row r="23">
          <cell r="L23">
            <v>-3.1047999999999999E-2</v>
          </cell>
        </row>
        <row r="24">
          <cell r="L24">
            <v>-2.9058E-2</v>
          </cell>
        </row>
        <row r="25">
          <cell r="L25">
            <v>-3.7055999999999999E-2</v>
          </cell>
        </row>
        <row r="26">
          <cell r="L26">
            <v>-4.5683000000000001E-2</v>
          </cell>
        </row>
        <row r="27">
          <cell r="L27">
            <v>-5.2052000000000001E-2</v>
          </cell>
        </row>
        <row r="28">
          <cell r="L28">
            <v>-4.5433000000000001E-2</v>
          </cell>
        </row>
        <row r="29">
          <cell r="L29">
            <v>-4.2689999999999999E-2</v>
          </cell>
        </row>
        <row r="30">
          <cell r="L30">
            <v>-4.0120000000000003E-2</v>
          </cell>
        </row>
        <row r="31">
          <cell r="L31">
            <v>-3.8593000000000002E-2</v>
          </cell>
        </row>
        <row r="32">
          <cell r="L32">
            <v>-3.7768999999999997E-2</v>
          </cell>
        </row>
        <row r="33">
          <cell r="L33">
            <v>-4.8964000000000001E-2</v>
          </cell>
        </row>
        <row r="34">
          <cell r="L34">
            <v>-5.6305000000000001E-2</v>
          </cell>
        </row>
        <row r="35">
          <cell r="L35">
            <v>-6.2213999999999998E-2</v>
          </cell>
        </row>
        <row r="36">
          <cell r="L36">
            <v>-6.012E-2</v>
          </cell>
        </row>
        <row r="37">
          <cell r="L37">
            <v>-5.7935E-2</v>
          </cell>
        </row>
        <row r="38">
          <cell r="L38">
            <v>-5.5426999999999997E-2</v>
          </cell>
        </row>
        <row r="39">
          <cell r="L39">
            <v>-4.0104000000000001E-2</v>
          </cell>
        </row>
        <row r="40">
          <cell r="L40">
            <v>-6.0284999999999998E-2</v>
          </cell>
        </row>
        <row r="41">
          <cell r="L41">
            <v>-6.2698000000000004E-2</v>
          </cell>
        </row>
        <row r="42">
          <cell r="L42">
            <v>-7.8032000000000004E-2</v>
          </cell>
        </row>
        <row r="43">
          <cell r="L43">
            <v>-0.108446</v>
          </cell>
        </row>
        <row r="44">
          <cell r="L44">
            <v>-0.108879</v>
          </cell>
        </row>
        <row r="45">
          <cell r="L45">
            <v>-0.107525</v>
          </cell>
        </row>
        <row r="46">
          <cell r="L46">
            <v>-0.106016</v>
          </cell>
        </row>
        <row r="47">
          <cell r="L47">
            <v>-0.104876</v>
          </cell>
        </row>
        <row r="48">
          <cell r="L48">
            <v>-0.10589899999999999</v>
          </cell>
        </row>
        <row r="49">
          <cell r="L49">
            <v>-0.105507</v>
          </cell>
        </row>
        <row r="50">
          <cell r="L50">
            <v>-0.10114099999999999</v>
          </cell>
        </row>
        <row r="51">
          <cell r="L51">
            <v>-9.5812999999999995E-2</v>
          </cell>
        </row>
        <row r="52">
          <cell r="L52">
            <v>-9.7448999999999994E-2</v>
          </cell>
        </row>
        <row r="53">
          <cell r="L53">
            <v>-8.4536E-2</v>
          </cell>
        </row>
        <row r="54">
          <cell r="L54">
            <v>-8.3895999999999998E-2</v>
          </cell>
        </row>
        <row r="55">
          <cell r="L55">
            <v>-8.8229000000000002E-2</v>
          </cell>
        </row>
        <row r="56">
          <cell r="L56">
            <v>-8.0426999999999998E-2</v>
          </cell>
        </row>
        <row r="57">
          <cell r="L57">
            <v>-5.7045999999999999E-2</v>
          </cell>
        </row>
        <row r="58">
          <cell r="L58">
            <v>-6.2151999999999999E-2</v>
          </cell>
        </row>
        <row r="59">
          <cell r="L59">
            <v>-4.2502999999999999E-2</v>
          </cell>
        </row>
        <row r="60">
          <cell r="L60">
            <v>-3.8739999999999998E-3</v>
          </cell>
        </row>
        <row r="61">
          <cell r="L61">
            <v>3.2354000000000001E-2</v>
          </cell>
        </row>
        <row r="62">
          <cell r="L62">
            <v>4.0022000000000002E-2</v>
          </cell>
        </row>
        <row r="63">
          <cell r="L63">
            <v>4.3098999999999998E-2</v>
          </cell>
        </row>
        <row r="64">
          <cell r="L64">
            <v>4.2525E-2</v>
          </cell>
        </row>
        <row r="65">
          <cell r="L65">
            <v>3.8968000000000003E-2</v>
          </cell>
        </row>
        <row r="66">
          <cell r="L66">
            <v>3.5812999999999998E-2</v>
          </cell>
        </row>
        <row r="67">
          <cell r="L67">
            <v>3.5958999999999998E-2</v>
          </cell>
        </row>
        <row r="68">
          <cell r="L68">
            <v>3.5261000000000001E-2</v>
          </cell>
        </row>
        <row r="69">
          <cell r="L69">
            <v>3.1038E-2</v>
          </cell>
        </row>
        <row r="70">
          <cell r="L70">
            <v>3.1267000000000003E-2</v>
          </cell>
        </row>
        <row r="71">
          <cell r="L71">
            <v>3.5535999999999998E-2</v>
          </cell>
        </row>
        <row r="72">
          <cell r="L72">
            <v>4.2098999999999998E-2</v>
          </cell>
        </row>
        <row r="73">
          <cell r="L73">
            <v>6.2602000000000005E-2</v>
          </cell>
        </row>
        <row r="74">
          <cell r="L74">
            <v>9.7425999999999999E-2</v>
          </cell>
        </row>
        <row r="75">
          <cell r="L75">
            <v>0.114428</v>
          </cell>
        </row>
        <row r="76">
          <cell r="L76">
            <v>0.123807</v>
          </cell>
        </row>
        <row r="77">
          <cell r="L77">
            <v>8.9033000000000001E-2</v>
          </cell>
        </row>
        <row r="78">
          <cell r="L78">
            <v>9.8485000000000003E-2</v>
          </cell>
        </row>
        <row r="79">
          <cell r="L79">
            <v>7.9404000000000002E-2</v>
          </cell>
        </row>
        <row r="80">
          <cell r="L80">
            <v>7.7003000000000002E-2</v>
          </cell>
        </row>
        <row r="81">
          <cell r="L81">
            <v>7.8328999999999996E-2</v>
          </cell>
        </row>
        <row r="82">
          <cell r="L82">
            <v>8.5349999999999995E-2</v>
          </cell>
        </row>
        <row r="83">
          <cell r="L83">
            <v>8.4874000000000005E-2</v>
          </cell>
        </row>
        <row r="84">
          <cell r="L84">
            <v>7.9977000000000006E-2</v>
          </cell>
        </row>
        <row r="85">
          <cell r="L85">
            <v>7.7606999999999995E-2</v>
          </cell>
        </row>
        <row r="86">
          <cell r="L86">
            <v>8.2844000000000001E-2</v>
          </cell>
        </row>
        <row r="87">
          <cell r="L87">
            <v>0.103121</v>
          </cell>
        </row>
        <row r="88">
          <cell r="L88">
            <v>0.104479</v>
          </cell>
        </row>
        <row r="89">
          <cell r="L89">
            <v>0.102136</v>
          </cell>
        </row>
        <row r="90">
          <cell r="L90">
            <v>0.11414000000000001</v>
          </cell>
        </row>
        <row r="91">
          <cell r="L91">
            <v>0.11153200000000001</v>
          </cell>
        </row>
        <row r="92">
          <cell r="L92">
            <v>0.119244</v>
          </cell>
        </row>
        <row r="93">
          <cell r="L93">
            <v>0.11874700000000001</v>
          </cell>
        </row>
        <row r="94">
          <cell r="L94">
            <v>0.119093</v>
          </cell>
        </row>
        <row r="95">
          <cell r="L95">
            <v>0.139927</v>
          </cell>
        </row>
        <row r="96">
          <cell r="L96">
            <v>0.13885800000000001</v>
          </cell>
        </row>
        <row r="97">
          <cell r="L97">
            <v>0.13189899999999999</v>
          </cell>
        </row>
        <row r="98">
          <cell r="L98">
            <v>0.138351</v>
          </cell>
        </row>
        <row r="99">
          <cell r="L99">
            <v>0.14361399999999999</v>
          </cell>
        </row>
        <row r="100">
          <cell r="L100">
            <v>0.14302599999999999</v>
          </cell>
        </row>
        <row r="101">
          <cell r="L101">
            <v>0.15010100000000001</v>
          </cell>
        </row>
        <row r="102">
          <cell r="L102">
            <v>0.144481</v>
          </cell>
        </row>
      </sheetData>
      <sheetData sheetId="1">
        <row r="2">
          <cell r="AA2">
            <v>0.78</v>
          </cell>
        </row>
        <row r="3">
          <cell r="AA3">
            <v>0</v>
          </cell>
        </row>
        <row r="4">
          <cell r="AA4">
            <v>0.37433300000000003</v>
          </cell>
        </row>
      </sheetData>
      <sheetData sheetId="2">
        <row r="2">
          <cell r="L2">
            <v>0</v>
          </cell>
        </row>
        <row r="3">
          <cell r="L3">
            <v>6.1899999999999998E-4</v>
          </cell>
        </row>
        <row r="4">
          <cell r="L4">
            <v>5.7349999999999996E-3</v>
          </cell>
          <cell r="O4">
            <v>43</v>
          </cell>
        </row>
        <row r="5">
          <cell r="L5">
            <v>-1.1835999999999999E-2</v>
          </cell>
          <cell r="O5">
            <v>0.283333</v>
          </cell>
        </row>
        <row r="6">
          <cell r="L6">
            <v>-1.2612999999999999E-2</v>
          </cell>
          <cell r="O6">
            <v>0.13669000000000001</v>
          </cell>
        </row>
        <row r="7">
          <cell r="L7">
            <v>-3.1678999999999999E-2</v>
          </cell>
        </row>
        <row r="8">
          <cell r="L8">
            <v>-2.7130999999999999E-2</v>
          </cell>
        </row>
        <row r="9">
          <cell r="L9">
            <v>-2.3522999999999999E-2</v>
          </cell>
        </row>
        <row r="10">
          <cell r="L10">
            <v>-2.0227999999999999E-2</v>
          </cell>
        </row>
        <row r="11">
          <cell r="L11">
            <v>-1.6275000000000001E-2</v>
          </cell>
        </row>
        <row r="12">
          <cell r="L12">
            <v>-1.4197E-2</v>
          </cell>
        </row>
        <row r="13">
          <cell r="L13">
            <v>-1.0923E-2</v>
          </cell>
        </row>
        <row r="14">
          <cell r="L14">
            <v>-9.5289999999999993E-3</v>
          </cell>
        </row>
        <row r="15">
          <cell r="L15">
            <v>-9.6970000000000008E-3</v>
          </cell>
        </row>
        <row r="16">
          <cell r="L16">
            <v>-4.2100000000000002E-3</v>
          </cell>
        </row>
        <row r="17">
          <cell r="L17">
            <v>-1.9189999999999999E-2</v>
          </cell>
        </row>
        <row r="18">
          <cell r="L18">
            <v>-1.1671000000000001E-2</v>
          </cell>
        </row>
        <row r="19">
          <cell r="L19">
            <v>-1.0598E-2</v>
          </cell>
        </row>
        <row r="20">
          <cell r="L20">
            <v>-9.7490000000000007E-3</v>
          </cell>
        </row>
        <row r="21">
          <cell r="L21">
            <v>-2.9359999999999998E-3</v>
          </cell>
        </row>
        <row r="22">
          <cell r="L22">
            <v>5.6550000000000003E-3</v>
          </cell>
        </row>
        <row r="23">
          <cell r="L23">
            <v>1.3863E-2</v>
          </cell>
        </row>
        <row r="24">
          <cell r="L24">
            <v>1.6650000000000002E-2</v>
          </cell>
        </row>
        <row r="25">
          <cell r="L25">
            <v>1.5216E-2</v>
          </cell>
        </row>
        <row r="26">
          <cell r="L26">
            <v>2.8715999999999998E-2</v>
          </cell>
        </row>
        <row r="27">
          <cell r="L27">
            <v>3.7191000000000002E-2</v>
          </cell>
        </row>
        <row r="28">
          <cell r="L28">
            <v>3.5469000000000001E-2</v>
          </cell>
        </row>
        <row r="29">
          <cell r="L29">
            <v>3.5193000000000002E-2</v>
          </cell>
        </row>
        <row r="30">
          <cell r="L30">
            <v>5.3962000000000003E-2</v>
          </cell>
        </row>
        <row r="31">
          <cell r="L31">
            <v>5.5062E-2</v>
          </cell>
        </row>
        <row r="32">
          <cell r="L32">
            <v>4.8724000000000003E-2</v>
          </cell>
        </row>
        <row r="33">
          <cell r="L33">
            <v>4.8253999999999998E-2</v>
          </cell>
        </row>
        <row r="34">
          <cell r="L34">
            <v>6.6409999999999997E-2</v>
          </cell>
        </row>
        <row r="35">
          <cell r="L35">
            <v>7.5954999999999995E-2</v>
          </cell>
        </row>
        <row r="36">
          <cell r="L36">
            <v>7.6369000000000006E-2</v>
          </cell>
        </row>
        <row r="37">
          <cell r="L37">
            <v>5.7632000000000003E-2</v>
          </cell>
        </row>
        <row r="38">
          <cell r="L38">
            <v>6.4848000000000003E-2</v>
          </cell>
        </row>
        <row r="39">
          <cell r="L39">
            <v>6.7357E-2</v>
          </cell>
        </row>
        <row r="40">
          <cell r="L40">
            <v>6.9264000000000006E-2</v>
          </cell>
        </row>
        <row r="41">
          <cell r="L41">
            <v>7.0127999999999996E-2</v>
          </cell>
        </row>
        <row r="42">
          <cell r="L42">
            <v>7.1475999999999998E-2</v>
          </cell>
        </row>
        <row r="43">
          <cell r="L43">
            <v>8.3555000000000004E-2</v>
          </cell>
        </row>
        <row r="44">
          <cell r="L44">
            <v>8.5377999999999996E-2</v>
          </cell>
        </row>
        <row r="45">
          <cell r="L45">
            <v>8.5786000000000001E-2</v>
          </cell>
        </row>
        <row r="46">
          <cell r="L46">
            <v>8.4866999999999998E-2</v>
          </cell>
        </row>
        <row r="47">
          <cell r="L47">
            <v>8.3778000000000005E-2</v>
          </cell>
        </row>
        <row r="48">
          <cell r="L48">
            <v>9.5174999999999996E-2</v>
          </cell>
        </row>
        <row r="49">
          <cell r="L49">
            <v>0.101812</v>
          </cell>
        </row>
        <row r="50">
          <cell r="L50">
            <v>9.6759999999999999E-2</v>
          </cell>
        </row>
        <row r="51">
          <cell r="L51">
            <v>0.101546</v>
          </cell>
        </row>
        <row r="52">
          <cell r="L52">
            <v>0.103145</v>
          </cell>
        </row>
        <row r="53">
          <cell r="L53">
            <v>0.107751</v>
          </cell>
        </row>
        <row r="54">
          <cell r="L54">
            <v>0.1113</v>
          </cell>
        </row>
        <row r="55">
          <cell r="L55">
            <v>0.11724900000000001</v>
          </cell>
        </row>
        <row r="56">
          <cell r="L56">
            <v>0.11987200000000001</v>
          </cell>
        </row>
        <row r="57">
          <cell r="L57">
            <v>0.12850700000000001</v>
          </cell>
        </row>
        <row r="58">
          <cell r="L58">
            <v>0.13111200000000001</v>
          </cell>
        </row>
        <row r="59">
          <cell r="L59">
            <v>0.132992</v>
          </cell>
        </row>
        <row r="60">
          <cell r="L60">
            <v>0.13822799999999999</v>
          </cell>
        </row>
        <row r="61">
          <cell r="L61">
            <v>0.131242</v>
          </cell>
        </row>
        <row r="62">
          <cell r="L62">
            <v>0.13669000000000001</v>
          </cell>
        </row>
      </sheetData>
      <sheetData sheetId="3">
        <row r="2">
          <cell r="AA2">
            <v>0.3</v>
          </cell>
        </row>
        <row r="3">
          <cell r="AA3">
            <v>0</v>
          </cell>
        </row>
        <row r="4">
          <cell r="AA4">
            <v>9.3332999999999999E-2</v>
          </cell>
        </row>
      </sheetData>
      <sheetData sheetId="4">
        <row r="2">
          <cell r="L2">
            <v>0</v>
          </cell>
        </row>
        <row r="3">
          <cell r="L3">
            <v>-9.9307000000000006E-2</v>
          </cell>
        </row>
        <row r="4">
          <cell r="L4">
            <v>-0.173869</v>
          </cell>
          <cell r="O4">
            <v>0</v>
          </cell>
        </row>
        <row r="5">
          <cell r="L5">
            <v>-0.20075200000000001</v>
          </cell>
          <cell r="O5">
            <v>1</v>
          </cell>
        </row>
        <row r="6">
          <cell r="L6">
            <v>-0.20866699999999999</v>
          </cell>
          <cell r="O6">
            <v>-0.85173100000000002</v>
          </cell>
        </row>
        <row r="7">
          <cell r="L7">
            <v>-0.21884400000000001</v>
          </cell>
        </row>
        <row r="8">
          <cell r="L8">
            <v>-0.21610399999999999</v>
          </cell>
        </row>
        <row r="9">
          <cell r="L9">
            <v>-0.23777999999999999</v>
          </cell>
        </row>
        <row r="10">
          <cell r="L10">
            <v>-0.23601900000000001</v>
          </cell>
        </row>
        <row r="11">
          <cell r="L11">
            <v>-0.25044699999999998</v>
          </cell>
        </row>
        <row r="12">
          <cell r="L12">
            <v>-0.35729699999999998</v>
          </cell>
        </row>
        <row r="13">
          <cell r="L13">
            <v>-0.362599</v>
          </cell>
        </row>
        <row r="14">
          <cell r="L14">
            <v>-0.38847100000000001</v>
          </cell>
        </row>
        <row r="15">
          <cell r="L15">
            <v>-0.40465600000000002</v>
          </cell>
        </row>
        <row r="16">
          <cell r="L16">
            <v>-0.41593000000000002</v>
          </cell>
        </row>
        <row r="17">
          <cell r="L17">
            <v>-0.433006</v>
          </cell>
        </row>
        <row r="18">
          <cell r="L18">
            <v>-0.45334999999999998</v>
          </cell>
        </row>
        <row r="19">
          <cell r="L19">
            <v>-0.46279599999999999</v>
          </cell>
        </row>
        <row r="20">
          <cell r="L20">
            <v>-0.49012699999999998</v>
          </cell>
        </row>
        <row r="21">
          <cell r="L21">
            <v>-0.46679700000000002</v>
          </cell>
        </row>
        <row r="22">
          <cell r="L22">
            <v>-0.49234699999999998</v>
          </cell>
        </row>
        <row r="23">
          <cell r="L23">
            <v>-0.48829899999999998</v>
          </cell>
        </row>
        <row r="24">
          <cell r="L24">
            <v>-0.48472199999999999</v>
          </cell>
        </row>
        <row r="25">
          <cell r="L25">
            <v>-0.49791800000000003</v>
          </cell>
        </row>
        <row r="26">
          <cell r="L26">
            <v>-0.50880700000000001</v>
          </cell>
        </row>
        <row r="27">
          <cell r="L27">
            <v>-0.51807499999999995</v>
          </cell>
        </row>
        <row r="28">
          <cell r="L28">
            <v>-0.51309899999999997</v>
          </cell>
        </row>
        <row r="29">
          <cell r="L29">
            <v>-0.51534100000000005</v>
          </cell>
        </row>
        <row r="30">
          <cell r="L30">
            <v>-0.51350700000000005</v>
          </cell>
        </row>
        <row r="31">
          <cell r="L31">
            <v>-0.50463899999999995</v>
          </cell>
        </row>
        <row r="32">
          <cell r="L32">
            <v>-0.50835300000000005</v>
          </cell>
        </row>
        <row r="33">
          <cell r="L33">
            <v>-0.52330600000000005</v>
          </cell>
        </row>
        <row r="34">
          <cell r="L34">
            <v>-0.53795800000000005</v>
          </cell>
        </row>
        <row r="35">
          <cell r="L35">
            <v>-0.54788499999999996</v>
          </cell>
        </row>
        <row r="36">
          <cell r="L36">
            <v>-0.55284699999999998</v>
          </cell>
        </row>
        <row r="37">
          <cell r="L37">
            <v>-0.52400999999999998</v>
          </cell>
        </row>
        <row r="38">
          <cell r="L38">
            <v>-0.48958699999999999</v>
          </cell>
        </row>
        <row r="39">
          <cell r="L39">
            <v>-0.50522100000000003</v>
          </cell>
        </row>
        <row r="40">
          <cell r="L40">
            <v>-0.46477000000000002</v>
          </cell>
        </row>
        <row r="41">
          <cell r="L41">
            <v>-0.50674600000000003</v>
          </cell>
        </row>
        <row r="42">
          <cell r="L42">
            <v>-0.52012899999999995</v>
          </cell>
        </row>
        <row r="43">
          <cell r="L43">
            <v>-0.56191899999999995</v>
          </cell>
        </row>
        <row r="44">
          <cell r="L44">
            <v>-0.63694899999999999</v>
          </cell>
        </row>
        <row r="45">
          <cell r="L45">
            <v>-0.64041199999999998</v>
          </cell>
        </row>
        <row r="46">
          <cell r="L46">
            <v>-0.65079299999999995</v>
          </cell>
        </row>
        <row r="47">
          <cell r="L47">
            <v>-0.62543899999999997</v>
          </cell>
        </row>
        <row r="48">
          <cell r="L48">
            <v>-0.66006100000000001</v>
          </cell>
        </row>
        <row r="49">
          <cell r="L49">
            <v>-0.64410199999999995</v>
          </cell>
        </row>
        <row r="50">
          <cell r="L50">
            <v>-0.66257600000000005</v>
          </cell>
        </row>
        <row r="51">
          <cell r="L51">
            <v>-0.66310500000000006</v>
          </cell>
        </row>
        <row r="52">
          <cell r="L52">
            <v>-0.67803999999999998</v>
          </cell>
        </row>
        <row r="53">
          <cell r="L53">
            <v>-0.67049000000000003</v>
          </cell>
        </row>
        <row r="54">
          <cell r="L54">
            <v>-0.67255299999999996</v>
          </cell>
        </row>
        <row r="55">
          <cell r="L55">
            <v>-0.68476499999999996</v>
          </cell>
        </row>
        <row r="56">
          <cell r="L56">
            <v>-0.67613199999999996</v>
          </cell>
        </row>
        <row r="57">
          <cell r="L57">
            <v>-0.68628699999999998</v>
          </cell>
        </row>
        <row r="58">
          <cell r="L58">
            <v>-0.68811699999999998</v>
          </cell>
        </row>
        <row r="59">
          <cell r="L59">
            <v>-0.69000799999999995</v>
          </cell>
        </row>
        <row r="60">
          <cell r="L60">
            <v>-0.67173300000000002</v>
          </cell>
        </row>
        <row r="61">
          <cell r="L61">
            <v>-0.67518999999999996</v>
          </cell>
        </row>
        <row r="62">
          <cell r="L62">
            <v>-0.72119200000000006</v>
          </cell>
        </row>
        <row r="63">
          <cell r="L63">
            <v>-0.72933400000000004</v>
          </cell>
        </row>
        <row r="64">
          <cell r="L64">
            <v>-0.724074</v>
          </cell>
        </row>
        <row r="65">
          <cell r="L65">
            <v>-0.72787000000000002</v>
          </cell>
        </row>
        <row r="66">
          <cell r="L66">
            <v>-0.73428099999999996</v>
          </cell>
        </row>
        <row r="67">
          <cell r="L67">
            <v>-0.73586600000000002</v>
          </cell>
        </row>
        <row r="68">
          <cell r="L68">
            <v>-0.73515200000000003</v>
          </cell>
        </row>
        <row r="69">
          <cell r="L69">
            <v>-0.74421199999999998</v>
          </cell>
        </row>
        <row r="70">
          <cell r="L70">
            <v>-0.74343800000000004</v>
          </cell>
        </row>
        <row r="71">
          <cell r="L71">
            <v>-0.750031</v>
          </cell>
        </row>
        <row r="72">
          <cell r="L72">
            <v>-0.75302500000000006</v>
          </cell>
        </row>
        <row r="73">
          <cell r="L73">
            <v>-0.75255099999999997</v>
          </cell>
        </row>
        <row r="74">
          <cell r="L74">
            <v>-0.71839900000000001</v>
          </cell>
        </row>
        <row r="75">
          <cell r="L75">
            <v>-0.76349900000000004</v>
          </cell>
        </row>
        <row r="76">
          <cell r="L76">
            <v>-0.77768199999999998</v>
          </cell>
        </row>
        <row r="77">
          <cell r="L77">
            <v>-0.76714199999999999</v>
          </cell>
        </row>
        <row r="78">
          <cell r="L78">
            <v>-0.760046</v>
          </cell>
        </row>
        <row r="79">
          <cell r="L79">
            <v>-0.77440799999999999</v>
          </cell>
        </row>
        <row r="80">
          <cell r="L80">
            <v>-0.76912999999999998</v>
          </cell>
        </row>
        <row r="81">
          <cell r="L81">
            <v>-0.80436200000000002</v>
          </cell>
        </row>
        <row r="82">
          <cell r="L82">
            <v>-0.78378800000000004</v>
          </cell>
        </row>
        <row r="83">
          <cell r="L83">
            <v>-0.78738799999999998</v>
          </cell>
        </row>
        <row r="84">
          <cell r="L84">
            <v>-0.80367100000000002</v>
          </cell>
        </row>
        <row r="85">
          <cell r="L85">
            <v>-0.79139400000000004</v>
          </cell>
        </row>
        <row r="86">
          <cell r="L86">
            <v>-0.80696999999999997</v>
          </cell>
        </row>
        <row r="87">
          <cell r="L87">
            <v>-0.73008899999999999</v>
          </cell>
        </row>
        <row r="88">
          <cell r="L88">
            <v>-0.77736099999999997</v>
          </cell>
        </row>
        <row r="89">
          <cell r="L89">
            <v>-0.76844999999999997</v>
          </cell>
        </row>
        <row r="90">
          <cell r="L90">
            <v>-0.79658099999999998</v>
          </cell>
        </row>
        <row r="91">
          <cell r="L91">
            <v>-0.82223400000000002</v>
          </cell>
        </row>
        <row r="92">
          <cell r="L92">
            <v>-0.80335000000000001</v>
          </cell>
        </row>
        <row r="93">
          <cell r="L93">
            <v>-0.80967900000000004</v>
          </cell>
        </row>
        <row r="94">
          <cell r="L94">
            <v>-0.81601400000000002</v>
          </cell>
        </row>
        <row r="95">
          <cell r="L95">
            <v>-0.78371599999999997</v>
          </cell>
        </row>
        <row r="96">
          <cell r="L96">
            <v>-0.8276</v>
          </cell>
        </row>
        <row r="97">
          <cell r="L97">
            <v>-0.82120700000000002</v>
          </cell>
        </row>
        <row r="98">
          <cell r="L98">
            <v>-0.83645199999999997</v>
          </cell>
        </row>
        <row r="99">
          <cell r="L99">
            <v>-0.84242600000000001</v>
          </cell>
        </row>
        <row r="100">
          <cell r="L100">
            <v>-0.83081300000000002</v>
          </cell>
        </row>
        <row r="101">
          <cell r="L101">
            <v>-0.86101300000000003</v>
          </cell>
        </row>
        <row r="102">
          <cell r="L102">
            <v>-0.85173100000000002</v>
          </cell>
        </row>
      </sheetData>
      <sheetData sheetId="5">
        <row r="2">
          <cell r="AA2">
            <v>1</v>
          </cell>
        </row>
        <row r="3">
          <cell r="AA3">
            <v>0.98</v>
          </cell>
        </row>
        <row r="4">
          <cell r="AA4">
            <v>0.999</v>
          </cell>
        </row>
      </sheetData>
      <sheetData sheetId="6">
        <row r="2">
          <cell r="L2">
            <v>0</v>
          </cell>
        </row>
        <row r="3">
          <cell r="L3">
            <v>-3.5369999999999999E-2</v>
          </cell>
        </row>
        <row r="4">
          <cell r="L4">
            <v>-3.9633000000000002E-2</v>
          </cell>
          <cell r="O4">
            <v>0</v>
          </cell>
        </row>
        <row r="5">
          <cell r="L5">
            <v>-6.8113000000000007E-2</v>
          </cell>
          <cell r="O5">
            <v>1</v>
          </cell>
        </row>
        <row r="6">
          <cell r="L6">
            <v>-7.1115999999999999E-2</v>
          </cell>
          <cell r="O6">
            <v>-0.25151000000000001</v>
          </cell>
        </row>
        <row r="7">
          <cell r="L7">
            <v>-9.7751000000000005E-2</v>
          </cell>
        </row>
        <row r="8">
          <cell r="L8">
            <v>-0.101927</v>
          </cell>
        </row>
        <row r="9">
          <cell r="L9">
            <v>-0.106923</v>
          </cell>
        </row>
        <row r="10">
          <cell r="L10">
            <v>-0.110668</v>
          </cell>
        </row>
        <row r="11">
          <cell r="L11">
            <v>-0.113396</v>
          </cell>
        </row>
        <row r="12">
          <cell r="L12">
            <v>-0.105892</v>
          </cell>
        </row>
        <row r="13">
          <cell r="L13">
            <v>-0.107075</v>
          </cell>
        </row>
        <row r="14">
          <cell r="L14">
            <v>-0.112155</v>
          </cell>
        </row>
        <row r="15">
          <cell r="L15">
            <v>-0.13697200000000001</v>
          </cell>
        </row>
        <row r="16">
          <cell r="L16">
            <v>-0.165021</v>
          </cell>
        </row>
        <row r="17">
          <cell r="L17">
            <v>-0.16991200000000001</v>
          </cell>
        </row>
        <row r="18">
          <cell r="L18">
            <v>-0.175346</v>
          </cell>
        </row>
        <row r="19">
          <cell r="L19">
            <v>-0.18368999999999999</v>
          </cell>
        </row>
        <row r="20">
          <cell r="L20">
            <v>-0.18665899999999999</v>
          </cell>
        </row>
        <row r="21">
          <cell r="L21">
            <v>-0.19007299999999999</v>
          </cell>
        </row>
        <row r="22">
          <cell r="L22">
            <v>-0.18528800000000001</v>
          </cell>
        </row>
        <row r="23">
          <cell r="L23">
            <v>-0.187057</v>
          </cell>
        </row>
        <row r="24">
          <cell r="L24">
            <v>-0.18908</v>
          </cell>
        </row>
        <row r="25">
          <cell r="L25">
            <v>-0.19232199999999999</v>
          </cell>
        </row>
        <row r="26">
          <cell r="L26">
            <v>-0.20346800000000001</v>
          </cell>
        </row>
        <row r="27">
          <cell r="L27">
            <v>-0.20651600000000001</v>
          </cell>
        </row>
        <row r="28">
          <cell r="L28">
            <v>-0.20463200000000001</v>
          </cell>
        </row>
        <row r="29">
          <cell r="L29">
            <v>-0.20785000000000001</v>
          </cell>
        </row>
        <row r="30">
          <cell r="L30">
            <v>-0.207951</v>
          </cell>
        </row>
        <row r="31">
          <cell r="L31">
            <v>-0.214172</v>
          </cell>
        </row>
        <row r="32">
          <cell r="L32">
            <v>-0.221134</v>
          </cell>
        </row>
        <row r="33">
          <cell r="L33">
            <v>-0.22246099999999999</v>
          </cell>
        </row>
        <row r="34">
          <cell r="L34">
            <v>-0.217918</v>
          </cell>
        </row>
        <row r="35">
          <cell r="L35">
            <v>-0.22720199999999999</v>
          </cell>
        </row>
        <row r="36">
          <cell r="L36">
            <v>-0.21859400000000001</v>
          </cell>
        </row>
        <row r="37">
          <cell r="L37">
            <v>-0.24204700000000001</v>
          </cell>
        </row>
        <row r="38">
          <cell r="L38">
            <v>-0.25209199999999998</v>
          </cell>
        </row>
        <row r="39">
          <cell r="L39">
            <v>-0.25834299999999999</v>
          </cell>
        </row>
        <row r="40">
          <cell r="L40">
            <v>-0.25822600000000001</v>
          </cell>
        </row>
        <row r="41">
          <cell r="L41">
            <v>-0.25175700000000001</v>
          </cell>
        </row>
        <row r="42">
          <cell r="L42">
            <v>-0.25220500000000001</v>
          </cell>
        </row>
        <row r="43">
          <cell r="L43">
            <v>-0.24340400000000001</v>
          </cell>
        </row>
        <row r="44">
          <cell r="L44">
            <v>-0.25531599999999999</v>
          </cell>
        </row>
        <row r="45">
          <cell r="L45">
            <v>-0.260158</v>
          </cell>
        </row>
        <row r="46">
          <cell r="L46">
            <v>-0.26528299999999999</v>
          </cell>
        </row>
        <row r="47">
          <cell r="L47">
            <v>-0.26576300000000003</v>
          </cell>
        </row>
        <row r="48">
          <cell r="L48">
            <v>-0.26734000000000002</v>
          </cell>
        </row>
        <row r="49">
          <cell r="L49">
            <v>-0.25837599999999999</v>
          </cell>
        </row>
        <row r="50">
          <cell r="L50">
            <v>-0.26568700000000001</v>
          </cell>
        </row>
        <row r="51">
          <cell r="L51">
            <v>-0.26956200000000002</v>
          </cell>
        </row>
        <row r="52">
          <cell r="L52">
            <v>-0.26858100000000001</v>
          </cell>
        </row>
        <row r="53">
          <cell r="L53">
            <v>-0.26401400000000003</v>
          </cell>
        </row>
        <row r="54">
          <cell r="L54">
            <v>-0.26636900000000002</v>
          </cell>
        </row>
        <row r="55">
          <cell r="L55">
            <v>-0.25629800000000003</v>
          </cell>
        </row>
        <row r="56">
          <cell r="L56">
            <v>-0.23596900000000001</v>
          </cell>
        </row>
        <row r="57">
          <cell r="L57">
            <v>-0.23474500000000001</v>
          </cell>
        </row>
        <row r="58">
          <cell r="L58">
            <v>-0.23430999999999999</v>
          </cell>
        </row>
        <row r="59">
          <cell r="L59">
            <v>-0.23386999999999999</v>
          </cell>
        </row>
        <row r="60">
          <cell r="L60">
            <v>-0.236876</v>
          </cell>
        </row>
        <row r="61">
          <cell r="L61">
            <v>-0.23308499999999999</v>
          </cell>
        </row>
        <row r="62">
          <cell r="L62">
            <v>-0.25151000000000001</v>
          </cell>
        </row>
      </sheetData>
      <sheetData sheetId="7">
        <row r="2">
          <cell r="AA2">
            <v>1</v>
          </cell>
        </row>
        <row r="3">
          <cell r="AA3">
            <v>0.9</v>
          </cell>
        </row>
        <row r="4">
          <cell r="AA4">
            <v>0.98166699999999996</v>
          </cell>
        </row>
      </sheetData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-4.803E-3</v>
          </cell>
        </row>
        <row r="4">
          <cell r="L4">
            <v>-7.8149999999999997E-2</v>
          </cell>
          <cell r="O4">
            <v>92</v>
          </cell>
        </row>
        <row r="5">
          <cell r="L5">
            <v>-0.101579</v>
          </cell>
          <cell r="O5">
            <v>0.08</v>
          </cell>
        </row>
        <row r="6">
          <cell r="L6">
            <v>-0.10130699999999999</v>
          </cell>
          <cell r="O6">
            <v>0.376863</v>
          </cell>
        </row>
        <row r="7">
          <cell r="L7">
            <v>-0.102967</v>
          </cell>
        </row>
        <row r="8">
          <cell r="L8">
            <v>-9.3126E-2</v>
          </cell>
        </row>
        <row r="9">
          <cell r="L9">
            <v>-7.0021E-2</v>
          </cell>
        </row>
        <row r="10">
          <cell r="L10">
            <v>-2.1638000000000001E-2</v>
          </cell>
        </row>
        <row r="11">
          <cell r="L11">
            <v>7.2630000000000004E-3</v>
          </cell>
        </row>
        <row r="12">
          <cell r="L12">
            <v>5.2011000000000002E-2</v>
          </cell>
        </row>
        <row r="13">
          <cell r="L13">
            <v>8.1920000000000007E-2</v>
          </cell>
        </row>
        <row r="14">
          <cell r="L14">
            <v>9.3369999999999995E-2</v>
          </cell>
        </row>
        <row r="15">
          <cell r="L15">
            <v>0.11937399999999999</v>
          </cell>
        </row>
        <row r="16">
          <cell r="L16">
            <v>0.11715100000000001</v>
          </cell>
        </row>
        <row r="17">
          <cell r="L17">
            <v>0.107317</v>
          </cell>
        </row>
        <row r="18">
          <cell r="L18">
            <v>6.0928999999999997E-2</v>
          </cell>
        </row>
        <row r="19">
          <cell r="L19">
            <v>5.7343999999999999E-2</v>
          </cell>
        </row>
        <row r="20">
          <cell r="L20">
            <v>6.5431000000000003E-2</v>
          </cell>
        </row>
        <row r="21">
          <cell r="L21">
            <v>7.0870000000000002E-2</v>
          </cell>
        </row>
        <row r="22">
          <cell r="L22">
            <v>7.3110999999999995E-2</v>
          </cell>
        </row>
        <row r="23">
          <cell r="L23">
            <v>8.3552000000000001E-2</v>
          </cell>
        </row>
        <row r="24">
          <cell r="L24">
            <v>8.9236999999999997E-2</v>
          </cell>
        </row>
        <row r="25">
          <cell r="L25">
            <v>8.5004999999999997E-2</v>
          </cell>
        </row>
        <row r="26">
          <cell r="L26">
            <v>8.5176000000000002E-2</v>
          </cell>
        </row>
        <row r="27">
          <cell r="L27">
            <v>7.7953999999999996E-2</v>
          </cell>
        </row>
        <row r="28">
          <cell r="L28">
            <v>9.5363000000000003E-2</v>
          </cell>
        </row>
        <row r="29">
          <cell r="L29">
            <v>9.3600000000000003E-2</v>
          </cell>
        </row>
        <row r="30">
          <cell r="L30">
            <v>9.8221000000000003E-2</v>
          </cell>
        </row>
        <row r="31">
          <cell r="L31">
            <v>0.103215</v>
          </cell>
        </row>
        <row r="32">
          <cell r="L32">
            <v>0.107055</v>
          </cell>
        </row>
        <row r="33">
          <cell r="L33">
            <v>9.4344999999999998E-2</v>
          </cell>
        </row>
        <row r="34">
          <cell r="L34">
            <v>8.9855000000000004E-2</v>
          </cell>
        </row>
        <row r="35">
          <cell r="L35">
            <v>9.9889000000000006E-2</v>
          </cell>
        </row>
        <row r="36">
          <cell r="L36">
            <v>0.116218</v>
          </cell>
        </row>
        <row r="37">
          <cell r="L37">
            <v>0.119977</v>
          </cell>
        </row>
        <row r="38">
          <cell r="L38">
            <v>0.14210200000000001</v>
          </cell>
        </row>
        <row r="39">
          <cell r="L39">
            <v>0.14691000000000001</v>
          </cell>
        </row>
        <row r="40">
          <cell r="L40">
            <v>9.7638000000000003E-2</v>
          </cell>
        </row>
        <row r="41">
          <cell r="L41">
            <v>0.117033</v>
          </cell>
        </row>
        <row r="42">
          <cell r="L42">
            <v>9.7961999999999994E-2</v>
          </cell>
        </row>
        <row r="43">
          <cell r="L43">
            <v>0.11007599999999999</v>
          </cell>
        </row>
        <row r="44">
          <cell r="L44">
            <v>0.127084</v>
          </cell>
        </row>
        <row r="45">
          <cell r="L45">
            <v>0.138213</v>
          </cell>
        </row>
        <row r="46">
          <cell r="L46">
            <v>0.14437800000000001</v>
          </cell>
        </row>
        <row r="47">
          <cell r="L47">
            <v>0.174398</v>
          </cell>
        </row>
        <row r="48">
          <cell r="L48">
            <v>0.19942099999999999</v>
          </cell>
        </row>
        <row r="49">
          <cell r="L49">
            <v>0.205458</v>
          </cell>
        </row>
        <row r="50">
          <cell r="L50">
            <v>0.21524499999999999</v>
          </cell>
        </row>
        <row r="51">
          <cell r="L51">
            <v>0.22585</v>
          </cell>
        </row>
        <row r="52">
          <cell r="L52">
            <v>0.22712399999999999</v>
          </cell>
        </row>
        <row r="53">
          <cell r="L53">
            <v>0.221557</v>
          </cell>
        </row>
        <row r="54">
          <cell r="L54">
            <v>0.22303999999999999</v>
          </cell>
        </row>
        <row r="55">
          <cell r="L55">
            <v>0.236848</v>
          </cell>
        </row>
        <row r="56">
          <cell r="L56">
            <v>0.23577500000000001</v>
          </cell>
        </row>
        <row r="57">
          <cell r="L57">
            <v>0.21692400000000001</v>
          </cell>
        </row>
        <row r="58">
          <cell r="L58">
            <v>0.23219699999999999</v>
          </cell>
        </row>
        <row r="59">
          <cell r="L59">
            <v>0.23466600000000001</v>
          </cell>
        </row>
        <row r="60">
          <cell r="L60">
            <v>0.243421</v>
          </cell>
        </row>
        <row r="61">
          <cell r="L61">
            <v>0.25467000000000001</v>
          </cell>
        </row>
        <row r="62">
          <cell r="L62">
            <v>0.272063</v>
          </cell>
        </row>
        <row r="63">
          <cell r="L63">
            <v>0.26959300000000003</v>
          </cell>
        </row>
        <row r="64">
          <cell r="L64">
            <v>0.275121</v>
          </cell>
        </row>
        <row r="65">
          <cell r="L65">
            <v>0.26417099999999999</v>
          </cell>
        </row>
        <row r="66">
          <cell r="L66">
            <v>0.27312500000000001</v>
          </cell>
        </row>
        <row r="67">
          <cell r="L67">
            <v>0.27927999999999997</v>
          </cell>
        </row>
        <row r="68">
          <cell r="L68">
            <v>0.28265400000000002</v>
          </cell>
        </row>
        <row r="69">
          <cell r="L69">
            <v>0.29516599999999998</v>
          </cell>
        </row>
        <row r="70">
          <cell r="L70">
            <v>0.29501100000000002</v>
          </cell>
        </row>
        <row r="71">
          <cell r="L71">
            <v>0.29803299999999999</v>
          </cell>
        </row>
        <row r="72">
          <cell r="L72">
            <v>0.28484599999999999</v>
          </cell>
        </row>
        <row r="73">
          <cell r="L73">
            <v>0.29089500000000001</v>
          </cell>
        </row>
        <row r="74">
          <cell r="L74">
            <v>0.28994399999999998</v>
          </cell>
        </row>
        <row r="75">
          <cell r="L75">
            <v>0.31479400000000002</v>
          </cell>
        </row>
        <row r="76">
          <cell r="L76">
            <v>0.31606200000000001</v>
          </cell>
        </row>
        <row r="77">
          <cell r="L77">
            <v>0.30999100000000002</v>
          </cell>
        </row>
        <row r="78">
          <cell r="L78">
            <v>0.34929399999999999</v>
          </cell>
        </row>
        <row r="79">
          <cell r="L79">
            <v>0.31940299999999999</v>
          </cell>
        </row>
        <row r="80">
          <cell r="L80">
            <v>0.34456100000000001</v>
          </cell>
        </row>
        <row r="81">
          <cell r="L81">
            <v>0.293236</v>
          </cell>
        </row>
        <row r="82">
          <cell r="L82">
            <v>0.34345300000000001</v>
          </cell>
        </row>
        <row r="83">
          <cell r="L83">
            <v>0.35148400000000002</v>
          </cell>
        </row>
        <row r="84">
          <cell r="L84">
            <v>0.34575499999999998</v>
          </cell>
        </row>
        <row r="85">
          <cell r="L85">
            <v>0.34848400000000002</v>
          </cell>
        </row>
        <row r="86">
          <cell r="L86">
            <v>0.35584399999999999</v>
          </cell>
        </row>
        <row r="87">
          <cell r="L87">
            <v>0.35264200000000001</v>
          </cell>
        </row>
        <row r="88">
          <cell r="L88">
            <v>0.37177300000000002</v>
          </cell>
        </row>
        <row r="89">
          <cell r="L89">
            <v>0.36229299999999998</v>
          </cell>
        </row>
        <row r="90">
          <cell r="L90">
            <v>0.36906800000000001</v>
          </cell>
        </row>
        <row r="91">
          <cell r="L91">
            <v>0.38678200000000001</v>
          </cell>
        </row>
        <row r="92">
          <cell r="L92">
            <v>0.39526600000000001</v>
          </cell>
        </row>
        <row r="93">
          <cell r="L93">
            <v>0.38856600000000002</v>
          </cell>
        </row>
        <row r="94">
          <cell r="L94">
            <v>0.39358399999999999</v>
          </cell>
        </row>
        <row r="95">
          <cell r="L95">
            <v>0.40661799999999998</v>
          </cell>
        </row>
        <row r="96">
          <cell r="L96">
            <v>0.40584300000000001</v>
          </cell>
        </row>
        <row r="97">
          <cell r="L97">
            <v>0.39471099999999998</v>
          </cell>
        </row>
        <row r="98">
          <cell r="L98">
            <v>0.40411399999999997</v>
          </cell>
        </row>
        <row r="99">
          <cell r="L99">
            <v>0.40925299999999998</v>
          </cell>
        </row>
        <row r="100">
          <cell r="L100">
            <v>0.38297700000000001</v>
          </cell>
        </row>
        <row r="101">
          <cell r="L101">
            <v>0.38300899999999999</v>
          </cell>
        </row>
        <row r="102">
          <cell r="L102">
            <v>0.376863</v>
          </cell>
        </row>
      </sheetData>
      <sheetData sheetId="1">
        <row r="2">
          <cell r="AA2">
            <v>0.32</v>
          </cell>
        </row>
        <row r="3">
          <cell r="AA3">
            <v>0</v>
          </cell>
        </row>
        <row r="4">
          <cell r="AA4">
            <v>0.113667</v>
          </cell>
        </row>
      </sheetData>
      <sheetData sheetId="2">
        <row r="2">
          <cell r="L2">
            <v>0</v>
          </cell>
        </row>
        <row r="3">
          <cell r="L3">
            <v>-1.4815999999999999E-2</v>
          </cell>
        </row>
        <row r="4">
          <cell r="L4">
            <v>-1.6698999999999999E-2</v>
          </cell>
          <cell r="O4">
            <v>53</v>
          </cell>
        </row>
        <row r="5">
          <cell r="L5">
            <v>-1.4723E-2</v>
          </cell>
          <cell r="O5">
            <v>0.11666700000000001</v>
          </cell>
        </row>
        <row r="6">
          <cell r="L6">
            <v>-1.1723000000000001E-2</v>
          </cell>
          <cell r="O6">
            <v>0.208563</v>
          </cell>
        </row>
        <row r="7">
          <cell r="L7">
            <v>-1.0919E-2</v>
          </cell>
        </row>
        <row r="8">
          <cell r="L8">
            <v>-7.705E-3</v>
          </cell>
        </row>
        <row r="9">
          <cell r="L9">
            <v>-6.5449999999999996E-3</v>
          </cell>
        </row>
        <row r="10">
          <cell r="L10">
            <v>2.9060000000000002E-3</v>
          </cell>
        </row>
        <row r="11">
          <cell r="L11">
            <v>6.5040000000000002E-3</v>
          </cell>
        </row>
        <row r="12">
          <cell r="L12">
            <v>9.6209999999999993E-3</v>
          </cell>
        </row>
        <row r="13">
          <cell r="L13">
            <v>1.2833000000000001E-2</v>
          </cell>
        </row>
        <row r="14">
          <cell r="L14">
            <v>1.1847999999999999E-2</v>
          </cell>
        </row>
        <row r="15">
          <cell r="L15">
            <v>1.2186000000000001E-2</v>
          </cell>
        </row>
        <row r="16">
          <cell r="L16">
            <v>1.1258000000000001E-2</v>
          </cell>
        </row>
        <row r="17">
          <cell r="L17">
            <v>2.9440000000000001E-2</v>
          </cell>
        </row>
        <row r="18">
          <cell r="L18">
            <v>3.9238000000000002E-2</v>
          </cell>
        </row>
        <row r="19">
          <cell r="L19">
            <v>4.5067000000000003E-2</v>
          </cell>
        </row>
        <row r="20">
          <cell r="L20">
            <v>4.7169999999999997E-2</v>
          </cell>
        </row>
        <row r="21">
          <cell r="L21">
            <v>4.7252000000000002E-2</v>
          </cell>
        </row>
        <row r="22">
          <cell r="L22">
            <v>4.9758999999999998E-2</v>
          </cell>
        </row>
        <row r="23">
          <cell r="L23">
            <v>5.2318999999999997E-2</v>
          </cell>
        </row>
        <row r="24">
          <cell r="L24">
            <v>5.2734000000000003E-2</v>
          </cell>
        </row>
        <row r="25">
          <cell r="L25">
            <v>5.6362000000000002E-2</v>
          </cell>
        </row>
        <row r="26">
          <cell r="L26">
            <v>5.8902000000000003E-2</v>
          </cell>
        </row>
        <row r="27">
          <cell r="L27">
            <v>6.0850000000000001E-2</v>
          </cell>
        </row>
        <row r="28">
          <cell r="L28">
            <v>6.8454000000000001E-2</v>
          </cell>
        </row>
        <row r="29">
          <cell r="L29">
            <v>7.0675000000000002E-2</v>
          </cell>
        </row>
        <row r="30">
          <cell r="L30">
            <v>6.3841999999999996E-2</v>
          </cell>
        </row>
        <row r="31">
          <cell r="L31">
            <v>6.2058000000000002E-2</v>
          </cell>
        </row>
        <row r="32">
          <cell r="L32">
            <v>5.5606999999999997E-2</v>
          </cell>
        </row>
        <row r="33">
          <cell r="L33">
            <v>5.8761000000000001E-2</v>
          </cell>
        </row>
        <row r="34">
          <cell r="L34">
            <v>6.5439999999999998E-2</v>
          </cell>
        </row>
        <row r="35">
          <cell r="L35">
            <v>7.2326000000000001E-2</v>
          </cell>
        </row>
        <row r="36">
          <cell r="L36">
            <v>6.6847000000000004E-2</v>
          </cell>
        </row>
        <row r="37">
          <cell r="L37">
            <v>4.7466000000000001E-2</v>
          </cell>
        </row>
        <row r="38">
          <cell r="L38">
            <v>6.4376000000000003E-2</v>
          </cell>
        </row>
        <row r="39">
          <cell r="L39">
            <v>6.5869999999999998E-2</v>
          </cell>
        </row>
        <row r="40">
          <cell r="L40">
            <v>6.1294000000000001E-2</v>
          </cell>
        </row>
        <row r="41">
          <cell r="L41">
            <v>6.5628000000000006E-2</v>
          </cell>
        </row>
        <row r="42">
          <cell r="L42">
            <v>6.8532999999999997E-2</v>
          </cell>
        </row>
        <row r="43">
          <cell r="L43">
            <v>7.9562999999999995E-2</v>
          </cell>
        </row>
        <row r="44">
          <cell r="L44">
            <v>8.5930000000000006E-2</v>
          </cell>
        </row>
        <row r="45">
          <cell r="L45">
            <v>9.1047000000000003E-2</v>
          </cell>
        </row>
        <row r="46">
          <cell r="L46">
            <v>8.8623999999999994E-2</v>
          </cell>
        </row>
        <row r="47">
          <cell r="L47">
            <v>9.1073000000000001E-2</v>
          </cell>
        </row>
        <row r="48">
          <cell r="L48">
            <v>9.2663999999999996E-2</v>
          </cell>
        </row>
        <row r="49">
          <cell r="L49">
            <v>0.104034</v>
          </cell>
        </row>
        <row r="50">
          <cell r="L50">
            <v>0.10627</v>
          </cell>
        </row>
        <row r="51">
          <cell r="L51">
            <v>0.111469</v>
          </cell>
        </row>
        <row r="52">
          <cell r="L52">
            <v>0.11569500000000001</v>
          </cell>
        </row>
        <row r="53">
          <cell r="L53">
            <v>0.118586</v>
          </cell>
        </row>
        <row r="54">
          <cell r="L54">
            <v>0.12957099999999999</v>
          </cell>
        </row>
        <row r="55">
          <cell r="L55">
            <v>0.13684399999999999</v>
          </cell>
        </row>
        <row r="56">
          <cell r="L56">
            <v>0.147033</v>
          </cell>
        </row>
        <row r="57">
          <cell r="L57">
            <v>0.15040500000000001</v>
          </cell>
        </row>
        <row r="58">
          <cell r="L58">
            <v>0.153221</v>
          </cell>
        </row>
        <row r="59">
          <cell r="L59">
            <v>0.17272499999999999</v>
          </cell>
        </row>
        <row r="60">
          <cell r="L60">
            <v>0.17848800000000001</v>
          </cell>
        </row>
        <row r="61">
          <cell r="L61">
            <v>0.19411800000000001</v>
          </cell>
        </row>
        <row r="62">
          <cell r="L62">
            <v>0.208563</v>
          </cell>
        </row>
      </sheetData>
      <sheetData sheetId="3">
        <row r="2">
          <cell r="AA2">
            <v>0.216667</v>
          </cell>
        </row>
        <row r="3">
          <cell r="AA3">
            <v>0</v>
          </cell>
        </row>
        <row r="4">
          <cell r="AA4">
            <v>7.4999999999999997E-2</v>
          </cell>
        </row>
      </sheetData>
      <sheetData sheetId="4">
        <row r="2">
          <cell r="L2">
            <v>0</v>
          </cell>
        </row>
        <row r="3">
          <cell r="L3">
            <v>0</v>
          </cell>
        </row>
        <row r="4">
          <cell r="L4">
            <v>-0.120939</v>
          </cell>
          <cell r="O4">
            <v>0</v>
          </cell>
        </row>
        <row r="5">
          <cell r="L5">
            <v>-0.24698300000000001</v>
          </cell>
          <cell r="O5">
            <v>1</v>
          </cell>
        </row>
        <row r="6">
          <cell r="L6">
            <v>-0.28446399999999999</v>
          </cell>
          <cell r="O6">
            <v>-0.68309600000000004</v>
          </cell>
        </row>
        <row r="7">
          <cell r="L7">
            <v>-0.28740500000000002</v>
          </cell>
        </row>
        <row r="8">
          <cell r="L8">
            <v>-0.30526599999999998</v>
          </cell>
        </row>
        <row r="9">
          <cell r="L9">
            <v>-0.298651</v>
          </cell>
        </row>
        <row r="10">
          <cell r="L10">
            <v>-0.294437</v>
          </cell>
        </row>
        <row r="11">
          <cell r="L11">
            <v>-0.28421400000000002</v>
          </cell>
        </row>
        <row r="12">
          <cell r="L12">
            <v>-0.28894799999999998</v>
          </cell>
        </row>
        <row r="13">
          <cell r="L13">
            <v>-0.33011800000000002</v>
          </cell>
        </row>
        <row r="14">
          <cell r="L14">
            <v>-0.31475900000000001</v>
          </cell>
        </row>
        <row r="15">
          <cell r="L15">
            <v>-0.29758299999999999</v>
          </cell>
        </row>
        <row r="16">
          <cell r="L16">
            <v>-0.323882</v>
          </cell>
        </row>
        <row r="17">
          <cell r="L17">
            <v>-0.33624599999999999</v>
          </cell>
        </row>
        <row r="18">
          <cell r="L18">
            <v>-0.34664499999999998</v>
          </cell>
        </row>
        <row r="19">
          <cell r="L19">
            <v>-0.375718</v>
          </cell>
        </row>
        <row r="20">
          <cell r="L20">
            <v>-0.39700400000000002</v>
          </cell>
        </row>
        <row r="21">
          <cell r="L21">
            <v>-0.37015300000000001</v>
          </cell>
        </row>
        <row r="22">
          <cell r="L22">
            <v>-0.394289</v>
          </cell>
        </row>
        <row r="23">
          <cell r="L23">
            <v>-0.391486</v>
          </cell>
        </row>
        <row r="24">
          <cell r="L24">
            <v>-0.38776500000000003</v>
          </cell>
        </row>
        <row r="25">
          <cell r="L25">
            <v>-0.395397</v>
          </cell>
        </row>
        <row r="26">
          <cell r="L26">
            <v>-0.41220699999999999</v>
          </cell>
        </row>
        <row r="27">
          <cell r="L27">
            <v>-0.42371199999999998</v>
          </cell>
        </row>
        <row r="28">
          <cell r="L28">
            <v>-0.413441</v>
          </cell>
        </row>
        <row r="29">
          <cell r="L29">
            <v>-0.41661999999999999</v>
          </cell>
        </row>
        <row r="30">
          <cell r="L30">
            <v>-0.41638199999999997</v>
          </cell>
        </row>
        <row r="31">
          <cell r="L31">
            <v>-0.41530600000000001</v>
          </cell>
        </row>
        <row r="32">
          <cell r="L32">
            <v>-0.41766199999999998</v>
          </cell>
        </row>
        <row r="33">
          <cell r="L33">
            <v>-0.43512000000000001</v>
          </cell>
        </row>
        <row r="34">
          <cell r="L34">
            <v>-0.44930300000000001</v>
          </cell>
        </row>
        <row r="35">
          <cell r="L35">
            <v>-0.425792</v>
          </cell>
        </row>
        <row r="36">
          <cell r="L36">
            <v>-0.46304899999999999</v>
          </cell>
        </row>
        <row r="37">
          <cell r="L37">
            <v>-0.42434500000000003</v>
          </cell>
        </row>
        <row r="38">
          <cell r="L38">
            <v>-0.41745700000000002</v>
          </cell>
        </row>
        <row r="39">
          <cell r="L39">
            <v>-0.43302200000000002</v>
          </cell>
        </row>
        <row r="40">
          <cell r="L40">
            <v>-0.41041</v>
          </cell>
        </row>
        <row r="41">
          <cell r="L41">
            <v>-0.45006000000000002</v>
          </cell>
        </row>
        <row r="42">
          <cell r="L42">
            <v>-0.46789999999999998</v>
          </cell>
        </row>
        <row r="43">
          <cell r="L43">
            <v>-0.44371100000000002</v>
          </cell>
        </row>
        <row r="44">
          <cell r="L44">
            <v>-0.48839700000000003</v>
          </cell>
        </row>
        <row r="45">
          <cell r="L45">
            <v>-0.48205100000000001</v>
          </cell>
        </row>
        <row r="46">
          <cell r="L46">
            <v>-0.497861</v>
          </cell>
        </row>
        <row r="47">
          <cell r="L47">
            <v>-0.49458299999999999</v>
          </cell>
        </row>
        <row r="48">
          <cell r="L48">
            <v>-0.50748300000000002</v>
          </cell>
        </row>
        <row r="49">
          <cell r="L49">
            <v>-0.52851300000000001</v>
          </cell>
        </row>
        <row r="50">
          <cell r="L50">
            <v>-0.54444599999999999</v>
          </cell>
        </row>
        <row r="51">
          <cell r="L51">
            <v>-0.546848</v>
          </cell>
        </row>
        <row r="52">
          <cell r="L52">
            <v>-0.55696800000000002</v>
          </cell>
        </row>
        <row r="53">
          <cell r="L53">
            <v>-0.54993999999999998</v>
          </cell>
        </row>
        <row r="54">
          <cell r="L54">
            <v>-0.46020100000000003</v>
          </cell>
        </row>
        <row r="55">
          <cell r="L55">
            <v>-0.51325699999999996</v>
          </cell>
        </row>
        <row r="56">
          <cell r="L56">
            <v>-0.508301</v>
          </cell>
        </row>
        <row r="57">
          <cell r="L57">
            <v>-0.47927399999999998</v>
          </cell>
        </row>
        <row r="58">
          <cell r="L58">
            <v>-0.49490400000000001</v>
          </cell>
        </row>
        <row r="59">
          <cell r="L59">
            <v>-0.49814900000000001</v>
          </cell>
        </row>
        <row r="60">
          <cell r="L60">
            <v>-0.46853499999999998</v>
          </cell>
        </row>
        <row r="61">
          <cell r="L61">
            <v>-0.46385900000000002</v>
          </cell>
        </row>
        <row r="62">
          <cell r="L62">
            <v>-0.49249399999999999</v>
          </cell>
        </row>
        <row r="63">
          <cell r="L63">
            <v>-0.50169900000000001</v>
          </cell>
        </row>
        <row r="64">
          <cell r="L64">
            <v>-0.50695400000000002</v>
          </cell>
        </row>
        <row r="65">
          <cell r="L65">
            <v>-0.52526200000000001</v>
          </cell>
        </row>
        <row r="66">
          <cell r="L66">
            <v>-0.53209200000000001</v>
          </cell>
        </row>
        <row r="67">
          <cell r="L67">
            <v>-0.52364200000000005</v>
          </cell>
        </row>
        <row r="68">
          <cell r="L68">
            <v>-0.525841</v>
          </cell>
        </row>
        <row r="69">
          <cell r="L69">
            <v>-0.53468800000000005</v>
          </cell>
        </row>
        <row r="70">
          <cell r="L70">
            <v>-0.52895199999999998</v>
          </cell>
        </row>
        <row r="71">
          <cell r="L71">
            <v>-0.52874699999999997</v>
          </cell>
        </row>
        <row r="72">
          <cell r="L72">
            <v>-0.53357500000000002</v>
          </cell>
        </row>
        <row r="73">
          <cell r="L73">
            <v>-0.498728</v>
          </cell>
        </row>
        <row r="74">
          <cell r="L74">
            <v>-0.51679200000000003</v>
          </cell>
        </row>
        <row r="75">
          <cell r="L75">
            <v>-0.51666699999999999</v>
          </cell>
        </row>
        <row r="76">
          <cell r="L76">
            <v>-0.51375300000000002</v>
          </cell>
        </row>
        <row r="77">
          <cell r="L77">
            <v>-0.52901200000000004</v>
          </cell>
        </row>
        <row r="78">
          <cell r="L78">
            <v>-0.56897200000000003</v>
          </cell>
        </row>
        <row r="79">
          <cell r="L79">
            <v>-0.52920299999999998</v>
          </cell>
        </row>
        <row r="80">
          <cell r="L80">
            <v>-0.53162299999999996</v>
          </cell>
        </row>
        <row r="81">
          <cell r="L81">
            <v>-0.54319700000000004</v>
          </cell>
        </row>
        <row r="82">
          <cell r="L82">
            <v>-0.56284199999999995</v>
          </cell>
        </row>
        <row r="83">
          <cell r="L83">
            <v>-0.56717899999999999</v>
          </cell>
        </row>
        <row r="84">
          <cell r="L84">
            <v>-0.58873699999999995</v>
          </cell>
        </row>
        <row r="85">
          <cell r="L85">
            <v>-0.58560000000000001</v>
          </cell>
        </row>
        <row r="86">
          <cell r="L86">
            <v>-0.59406599999999998</v>
          </cell>
        </row>
        <row r="87">
          <cell r="L87">
            <v>-0.54777799999999999</v>
          </cell>
        </row>
        <row r="88">
          <cell r="L88">
            <v>-0.58204299999999998</v>
          </cell>
        </row>
        <row r="89">
          <cell r="L89">
            <v>-0.58754200000000001</v>
          </cell>
        </row>
        <row r="90">
          <cell r="L90">
            <v>-0.60289400000000004</v>
          </cell>
        </row>
        <row r="91">
          <cell r="L91">
            <v>-0.61526999999999998</v>
          </cell>
        </row>
        <row r="92">
          <cell r="L92">
            <v>-0.61626599999999998</v>
          </cell>
        </row>
        <row r="93">
          <cell r="L93">
            <v>-0.63444900000000004</v>
          </cell>
        </row>
        <row r="94">
          <cell r="L94">
            <v>-0.63899399999999995</v>
          </cell>
        </row>
        <row r="95">
          <cell r="L95">
            <v>-0.61651</v>
          </cell>
        </row>
        <row r="96">
          <cell r="L96">
            <v>-0.64686699999999997</v>
          </cell>
        </row>
        <row r="97">
          <cell r="L97">
            <v>-0.64502099999999996</v>
          </cell>
        </row>
        <row r="98">
          <cell r="L98">
            <v>-0.66612800000000005</v>
          </cell>
        </row>
        <row r="99">
          <cell r="L99">
            <v>-0.66658799999999996</v>
          </cell>
        </row>
        <row r="100">
          <cell r="L100">
            <v>-0.67045100000000002</v>
          </cell>
        </row>
        <row r="101">
          <cell r="L101">
            <v>-0.67421699999999996</v>
          </cell>
        </row>
        <row r="102">
          <cell r="L102">
            <v>-0.68309600000000004</v>
          </cell>
        </row>
      </sheetData>
      <sheetData sheetId="5">
        <row r="2">
          <cell r="AA2">
            <v>1</v>
          </cell>
        </row>
        <row r="3">
          <cell r="AA3">
            <v>0.92</v>
          </cell>
        </row>
        <row r="4">
          <cell r="AA4">
            <v>0.99099999999999999</v>
          </cell>
        </row>
      </sheetData>
      <sheetData sheetId="6">
        <row r="2">
          <cell r="L2">
            <v>0</v>
          </cell>
        </row>
        <row r="3">
          <cell r="L3">
            <v>-4.19E-2</v>
          </cell>
        </row>
        <row r="4">
          <cell r="L4">
            <v>-4.2265999999999998E-2</v>
          </cell>
          <cell r="O4">
            <v>0</v>
          </cell>
        </row>
        <row r="5">
          <cell r="L5">
            <v>-3.8725000000000002E-2</v>
          </cell>
          <cell r="O5">
            <v>1</v>
          </cell>
        </row>
        <row r="6">
          <cell r="L6">
            <v>-3.9488000000000002E-2</v>
          </cell>
          <cell r="O6">
            <v>-7.3568999999999996E-2</v>
          </cell>
        </row>
        <row r="7">
          <cell r="L7">
            <v>-5.9166000000000003E-2</v>
          </cell>
        </row>
        <row r="8">
          <cell r="L8">
            <v>-5.8630000000000002E-2</v>
          </cell>
        </row>
        <row r="9">
          <cell r="L9">
            <v>-6.0517000000000001E-2</v>
          </cell>
        </row>
        <row r="10">
          <cell r="L10">
            <v>-6.9990999999999998E-2</v>
          </cell>
        </row>
        <row r="11">
          <cell r="L11">
            <v>-7.177E-2</v>
          </cell>
        </row>
        <row r="12">
          <cell r="L12">
            <v>-6.7209000000000005E-2</v>
          </cell>
        </row>
        <row r="13">
          <cell r="L13">
            <v>-6.9757E-2</v>
          </cell>
        </row>
        <row r="14">
          <cell r="L14">
            <v>-6.8753999999999996E-2</v>
          </cell>
        </row>
        <row r="15">
          <cell r="L15">
            <v>-6.7653000000000005E-2</v>
          </cell>
        </row>
        <row r="16">
          <cell r="L16">
            <v>-6.6767000000000007E-2</v>
          </cell>
        </row>
        <row r="17">
          <cell r="L17">
            <v>-7.2658E-2</v>
          </cell>
        </row>
        <row r="18">
          <cell r="L18">
            <v>-8.5171999999999998E-2</v>
          </cell>
        </row>
        <row r="19">
          <cell r="L19">
            <v>-0.101419</v>
          </cell>
        </row>
        <row r="20">
          <cell r="L20">
            <v>-0.10563699999999999</v>
          </cell>
        </row>
        <row r="21">
          <cell r="L21">
            <v>-0.106402</v>
          </cell>
        </row>
        <row r="22">
          <cell r="L22">
            <v>-0.102371</v>
          </cell>
        </row>
        <row r="23">
          <cell r="L23">
            <v>-9.6178E-2</v>
          </cell>
        </row>
        <row r="24">
          <cell r="L24">
            <v>-9.9423999999999998E-2</v>
          </cell>
        </row>
        <row r="25">
          <cell r="L25">
            <v>-9.2701000000000006E-2</v>
          </cell>
        </row>
        <row r="26">
          <cell r="L26">
            <v>-8.3373000000000003E-2</v>
          </cell>
        </row>
        <row r="27">
          <cell r="L27">
            <v>-7.7883999999999995E-2</v>
          </cell>
        </row>
        <row r="28">
          <cell r="L28">
            <v>-7.3271000000000003E-2</v>
          </cell>
        </row>
        <row r="29">
          <cell r="L29">
            <v>-7.1479000000000001E-2</v>
          </cell>
        </row>
        <row r="30">
          <cell r="L30">
            <v>-7.5213000000000002E-2</v>
          </cell>
        </row>
        <row r="31">
          <cell r="L31">
            <v>-5.9492999999999997E-2</v>
          </cell>
        </row>
        <row r="32">
          <cell r="L32">
            <v>-6.6934999999999995E-2</v>
          </cell>
        </row>
        <row r="33">
          <cell r="L33">
            <v>-6.6461000000000006E-2</v>
          </cell>
        </row>
        <row r="34">
          <cell r="L34">
            <v>-5.2382999999999999E-2</v>
          </cell>
        </row>
        <row r="35">
          <cell r="L35">
            <v>-5.9431999999999999E-2</v>
          </cell>
        </row>
        <row r="36">
          <cell r="L36">
            <v>-6.1582999999999999E-2</v>
          </cell>
        </row>
        <row r="37">
          <cell r="L37">
            <v>-7.3326000000000002E-2</v>
          </cell>
        </row>
        <row r="38">
          <cell r="L38">
            <v>-7.5098999999999999E-2</v>
          </cell>
        </row>
        <row r="39">
          <cell r="L39">
            <v>-8.4984000000000004E-2</v>
          </cell>
        </row>
        <row r="40">
          <cell r="L40">
            <v>-9.4370999999999997E-2</v>
          </cell>
        </row>
        <row r="41">
          <cell r="L41">
            <v>-0.101908</v>
          </cell>
        </row>
        <row r="42">
          <cell r="L42">
            <v>-0.111535</v>
          </cell>
        </row>
        <row r="43">
          <cell r="L43">
            <v>-0.11916499999999999</v>
          </cell>
        </row>
        <row r="44">
          <cell r="L44">
            <v>-0.12493600000000001</v>
          </cell>
        </row>
        <row r="45">
          <cell r="L45">
            <v>-0.124445</v>
          </cell>
        </row>
        <row r="46">
          <cell r="L46">
            <v>-0.126861</v>
          </cell>
        </row>
        <row r="47">
          <cell r="L47">
            <v>-0.126585</v>
          </cell>
        </row>
        <row r="48">
          <cell r="L48">
            <v>-0.12776899999999999</v>
          </cell>
        </row>
        <row r="49">
          <cell r="L49">
            <v>-0.119837</v>
          </cell>
        </row>
        <row r="50">
          <cell r="L50">
            <v>-0.11990199999999999</v>
          </cell>
        </row>
        <row r="51">
          <cell r="L51">
            <v>-0.123056</v>
          </cell>
        </row>
        <row r="52">
          <cell r="L52">
            <v>-0.116062</v>
          </cell>
        </row>
        <row r="53">
          <cell r="L53">
            <v>-0.11594500000000001</v>
          </cell>
        </row>
        <row r="54">
          <cell r="L54">
            <v>-0.116355</v>
          </cell>
        </row>
        <row r="55">
          <cell r="L55">
            <v>-0.110578</v>
          </cell>
        </row>
        <row r="56">
          <cell r="L56">
            <v>-0.10628799999999999</v>
          </cell>
        </row>
        <row r="57">
          <cell r="L57">
            <v>-0.10413</v>
          </cell>
        </row>
        <row r="58">
          <cell r="L58">
            <v>-0.101808</v>
          </cell>
        </row>
        <row r="59">
          <cell r="L59">
            <v>-0.100317</v>
          </cell>
        </row>
        <row r="60">
          <cell r="L60">
            <v>-9.9975999999999995E-2</v>
          </cell>
        </row>
        <row r="61">
          <cell r="L61">
            <v>-7.1015999999999996E-2</v>
          </cell>
        </row>
        <row r="62">
          <cell r="L62">
            <v>-7.3568999999999996E-2</v>
          </cell>
        </row>
      </sheetData>
      <sheetData sheetId="7">
        <row r="2">
          <cell r="AA2">
            <v>1</v>
          </cell>
        </row>
        <row r="3">
          <cell r="AA3">
            <v>0.5</v>
          </cell>
        </row>
        <row r="4">
          <cell r="AA4">
            <v>0.89833300000000005</v>
          </cell>
        </row>
      </sheetData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-4.3019000000000002E-2</v>
          </cell>
        </row>
        <row r="4">
          <cell r="L4">
            <v>-9.6965999999999997E-2</v>
          </cell>
          <cell r="O4">
            <v>91</v>
          </cell>
        </row>
        <row r="5">
          <cell r="L5">
            <v>-0.11494799999999999</v>
          </cell>
          <cell r="O5">
            <v>0.09</v>
          </cell>
        </row>
        <row r="6">
          <cell r="L6">
            <v>-0.110362</v>
          </cell>
          <cell r="O6">
            <v>0.34220800000000001</v>
          </cell>
        </row>
        <row r="7">
          <cell r="L7">
            <v>-0.109315</v>
          </cell>
        </row>
        <row r="8">
          <cell r="L8">
            <v>-9.4569E-2</v>
          </cell>
        </row>
        <row r="9">
          <cell r="L9">
            <v>-7.7064999999999995E-2</v>
          </cell>
        </row>
        <row r="10">
          <cell r="L10">
            <v>-5.7390999999999998E-2</v>
          </cell>
        </row>
        <row r="11">
          <cell r="L11">
            <v>-2.2020999999999999E-2</v>
          </cell>
        </row>
        <row r="12">
          <cell r="L12">
            <v>2.7306E-2</v>
          </cell>
        </row>
        <row r="13">
          <cell r="L13">
            <v>2.5611999999999999E-2</v>
          </cell>
        </row>
        <row r="14">
          <cell r="L14">
            <v>3.6653999999999999E-2</v>
          </cell>
        </row>
        <row r="15">
          <cell r="L15">
            <v>4.7232000000000003E-2</v>
          </cell>
        </row>
        <row r="16">
          <cell r="L16">
            <v>4.1708000000000002E-2</v>
          </cell>
        </row>
        <row r="17">
          <cell r="L17">
            <v>3.8080000000000003E-2</v>
          </cell>
        </row>
        <row r="18">
          <cell r="L18">
            <v>2.7820000000000001E-2</v>
          </cell>
        </row>
        <row r="19">
          <cell r="L19">
            <v>3.7959E-2</v>
          </cell>
        </row>
        <row r="20">
          <cell r="L20">
            <v>4.1279000000000003E-2</v>
          </cell>
        </row>
        <row r="21">
          <cell r="L21">
            <v>6.2700000000000006E-2</v>
          </cell>
        </row>
        <row r="22">
          <cell r="L22">
            <v>6.2873999999999999E-2</v>
          </cell>
        </row>
        <row r="23">
          <cell r="L23">
            <v>6.5837000000000007E-2</v>
          </cell>
        </row>
        <row r="24">
          <cell r="L24">
            <v>8.2188999999999998E-2</v>
          </cell>
        </row>
        <row r="25">
          <cell r="L25">
            <v>8.8548000000000002E-2</v>
          </cell>
        </row>
        <row r="26">
          <cell r="L26">
            <v>8.2888000000000003E-2</v>
          </cell>
        </row>
        <row r="27">
          <cell r="L27">
            <v>8.6364999999999997E-2</v>
          </cell>
        </row>
        <row r="28">
          <cell r="L28">
            <v>8.9907000000000001E-2</v>
          </cell>
        </row>
        <row r="29">
          <cell r="L29">
            <v>9.5082E-2</v>
          </cell>
        </row>
        <row r="30">
          <cell r="L30">
            <v>0.100816</v>
          </cell>
        </row>
        <row r="31">
          <cell r="L31">
            <v>9.9625000000000005E-2</v>
          </cell>
        </row>
        <row r="32">
          <cell r="L32">
            <v>0.10352699999999999</v>
          </cell>
        </row>
        <row r="33">
          <cell r="L33">
            <v>9.1053999999999996E-2</v>
          </cell>
        </row>
        <row r="34">
          <cell r="L34">
            <v>8.5011000000000003E-2</v>
          </cell>
        </row>
        <row r="35">
          <cell r="L35">
            <v>0.11061</v>
          </cell>
        </row>
        <row r="36">
          <cell r="L36">
            <v>0.11949799999999999</v>
          </cell>
        </row>
        <row r="37">
          <cell r="L37">
            <v>0.13738</v>
          </cell>
        </row>
        <row r="38">
          <cell r="L38">
            <v>0.13473199999999999</v>
          </cell>
        </row>
        <row r="39">
          <cell r="L39">
            <v>0.13197800000000001</v>
          </cell>
        </row>
        <row r="40">
          <cell r="L40">
            <v>0.20039499999999999</v>
          </cell>
        </row>
        <row r="41">
          <cell r="L41">
            <v>0.22359499999999999</v>
          </cell>
        </row>
        <row r="42">
          <cell r="L42">
            <v>0.20178599999999999</v>
          </cell>
        </row>
        <row r="43">
          <cell r="L43">
            <v>0.18662400000000001</v>
          </cell>
        </row>
        <row r="44">
          <cell r="L44">
            <v>0.20794499999999999</v>
          </cell>
        </row>
        <row r="45">
          <cell r="L45">
            <v>0.23521800000000001</v>
          </cell>
        </row>
        <row r="46">
          <cell r="L46">
            <v>0.240676</v>
          </cell>
        </row>
        <row r="47">
          <cell r="L47">
            <v>0.205621</v>
          </cell>
        </row>
        <row r="48">
          <cell r="L48">
            <v>0.22227</v>
          </cell>
        </row>
        <row r="49">
          <cell r="L49">
            <v>0.21787100000000001</v>
          </cell>
        </row>
        <row r="50">
          <cell r="L50">
            <v>0.218921</v>
          </cell>
        </row>
        <row r="51">
          <cell r="L51">
            <v>0.22004899999999999</v>
          </cell>
        </row>
        <row r="52">
          <cell r="L52">
            <v>0.21779200000000001</v>
          </cell>
        </row>
        <row r="53">
          <cell r="L53">
            <v>0.21768399999999999</v>
          </cell>
        </row>
        <row r="54">
          <cell r="L54">
            <v>0.25066699999999997</v>
          </cell>
        </row>
        <row r="55">
          <cell r="L55">
            <v>0.28407900000000003</v>
          </cell>
        </row>
        <row r="56">
          <cell r="L56">
            <v>0.28481200000000001</v>
          </cell>
        </row>
        <row r="57">
          <cell r="L57">
            <v>0.28401399999999999</v>
          </cell>
        </row>
        <row r="58">
          <cell r="L58">
            <v>0.30848700000000001</v>
          </cell>
        </row>
        <row r="59">
          <cell r="L59">
            <v>0.31883099999999998</v>
          </cell>
        </row>
        <row r="60">
          <cell r="L60">
            <v>0.321774</v>
          </cell>
        </row>
        <row r="61">
          <cell r="L61">
            <v>0.34723700000000002</v>
          </cell>
        </row>
        <row r="62">
          <cell r="L62">
            <v>0.37437100000000001</v>
          </cell>
        </row>
        <row r="63">
          <cell r="L63">
            <v>0.38029499999999999</v>
          </cell>
        </row>
        <row r="64">
          <cell r="L64">
            <v>0.37986399999999998</v>
          </cell>
        </row>
        <row r="65">
          <cell r="L65">
            <v>0.37597700000000001</v>
          </cell>
        </row>
        <row r="66">
          <cell r="L66">
            <v>0.37821300000000002</v>
          </cell>
        </row>
        <row r="67">
          <cell r="L67">
            <v>0.35309000000000001</v>
          </cell>
        </row>
        <row r="68">
          <cell r="L68">
            <v>0.36710399999999999</v>
          </cell>
        </row>
        <row r="69">
          <cell r="L69">
            <v>0.36657499999999998</v>
          </cell>
        </row>
        <row r="70">
          <cell r="L70">
            <v>0.35942600000000002</v>
          </cell>
        </row>
        <row r="71">
          <cell r="L71">
            <v>0.362784</v>
          </cell>
        </row>
        <row r="72">
          <cell r="L72">
            <v>0.35134799999999999</v>
          </cell>
        </row>
        <row r="73">
          <cell r="L73">
            <v>0.37413800000000003</v>
          </cell>
        </row>
        <row r="74">
          <cell r="L74">
            <v>0.35513</v>
          </cell>
        </row>
        <row r="75">
          <cell r="L75">
            <v>0.38974900000000001</v>
          </cell>
        </row>
        <row r="76">
          <cell r="L76">
            <v>0.36355799999999999</v>
          </cell>
        </row>
        <row r="77">
          <cell r="L77">
            <v>0.37597900000000001</v>
          </cell>
        </row>
        <row r="78">
          <cell r="L78">
            <v>0.40586899999999998</v>
          </cell>
        </row>
        <row r="79">
          <cell r="L79">
            <v>0.38116699999999998</v>
          </cell>
        </row>
        <row r="80">
          <cell r="L80">
            <v>0.39125799999999999</v>
          </cell>
        </row>
        <row r="81">
          <cell r="L81">
            <v>0.279808</v>
          </cell>
        </row>
        <row r="82">
          <cell r="L82">
            <v>0.32259300000000002</v>
          </cell>
        </row>
        <row r="83">
          <cell r="L83">
            <v>0.32846900000000001</v>
          </cell>
        </row>
        <row r="84">
          <cell r="L84">
            <v>0.32537199999999999</v>
          </cell>
        </row>
        <row r="85">
          <cell r="L85">
            <v>0.30838199999999999</v>
          </cell>
        </row>
        <row r="86">
          <cell r="L86">
            <v>0.32091399999999998</v>
          </cell>
        </row>
        <row r="87">
          <cell r="L87">
            <v>0.303948</v>
          </cell>
        </row>
        <row r="88">
          <cell r="L88">
            <v>0.32974599999999998</v>
          </cell>
        </row>
        <row r="89">
          <cell r="L89">
            <v>0.32776</v>
          </cell>
        </row>
        <row r="90">
          <cell r="L90">
            <v>0.32809500000000003</v>
          </cell>
        </row>
        <row r="91">
          <cell r="L91">
            <v>0.32174900000000001</v>
          </cell>
        </row>
        <row r="92">
          <cell r="L92">
            <v>0.33953899999999998</v>
          </cell>
        </row>
        <row r="93">
          <cell r="L93">
            <v>0.34110099999999999</v>
          </cell>
        </row>
        <row r="94">
          <cell r="L94">
            <v>0.33590399999999998</v>
          </cell>
        </row>
        <row r="95">
          <cell r="L95">
            <v>0.34911700000000001</v>
          </cell>
        </row>
        <row r="96">
          <cell r="L96">
            <v>0.35438900000000001</v>
          </cell>
        </row>
        <row r="97">
          <cell r="L97">
            <v>0.35019400000000001</v>
          </cell>
        </row>
        <row r="98">
          <cell r="L98">
            <v>0.35638399999999998</v>
          </cell>
        </row>
        <row r="99">
          <cell r="L99">
            <v>0.36750500000000003</v>
          </cell>
        </row>
        <row r="100">
          <cell r="L100">
            <v>0.34936200000000001</v>
          </cell>
        </row>
        <row r="101">
          <cell r="L101">
            <v>0.35172999999999999</v>
          </cell>
        </row>
        <row r="102">
          <cell r="L102">
            <v>0.34220800000000001</v>
          </cell>
        </row>
      </sheetData>
      <sheetData sheetId="1">
        <row r="2">
          <cell r="AA2">
            <v>0.49</v>
          </cell>
        </row>
        <row r="3">
          <cell r="AA3">
            <v>0</v>
          </cell>
        </row>
        <row r="4">
          <cell r="AA4">
            <v>0.120333</v>
          </cell>
        </row>
      </sheetData>
      <sheetData sheetId="2">
        <row r="2">
          <cell r="L2">
            <v>0</v>
          </cell>
        </row>
        <row r="3">
          <cell r="L3">
            <v>1.5300000000000001E-4</v>
          </cell>
        </row>
        <row r="4">
          <cell r="L4">
            <v>4.8710000000000003E-3</v>
          </cell>
          <cell r="O4">
            <v>58</v>
          </cell>
        </row>
        <row r="5">
          <cell r="L5">
            <v>4.3680000000000004E-3</v>
          </cell>
          <cell r="O5">
            <v>3.3333000000000002E-2</v>
          </cell>
        </row>
        <row r="6">
          <cell r="L6">
            <v>9.5989999999999999E-3</v>
          </cell>
          <cell r="O6">
            <v>0.168457</v>
          </cell>
        </row>
        <row r="7">
          <cell r="L7">
            <v>-5.1989999999999996E-3</v>
          </cell>
        </row>
        <row r="8">
          <cell r="L8">
            <v>-2.6189999999999998E-3</v>
          </cell>
        </row>
        <row r="9">
          <cell r="L9">
            <v>7.2499999999999995E-4</v>
          </cell>
        </row>
        <row r="10">
          <cell r="L10">
            <v>1.0817999999999999E-2</v>
          </cell>
        </row>
        <row r="11">
          <cell r="L11">
            <v>1.2045999999999999E-2</v>
          </cell>
        </row>
        <row r="12">
          <cell r="L12">
            <v>1.5706999999999999E-2</v>
          </cell>
        </row>
        <row r="13">
          <cell r="L13">
            <v>1.5741000000000002E-2</v>
          </cell>
        </row>
        <row r="14">
          <cell r="L14">
            <v>1.9033000000000001E-2</v>
          </cell>
        </row>
        <row r="15">
          <cell r="L15">
            <v>2.5121999999999998E-2</v>
          </cell>
        </row>
        <row r="16">
          <cell r="L16">
            <v>2.8879999999999999E-2</v>
          </cell>
        </row>
        <row r="17">
          <cell r="L17">
            <v>2.9871000000000002E-2</v>
          </cell>
        </row>
        <row r="18">
          <cell r="L18">
            <v>2.8617E-2</v>
          </cell>
        </row>
        <row r="19">
          <cell r="L19">
            <v>3.2661999999999997E-2</v>
          </cell>
        </row>
        <row r="20">
          <cell r="L20">
            <v>3.7339999999999998E-2</v>
          </cell>
        </row>
        <row r="21">
          <cell r="L21">
            <v>3.9907999999999999E-2</v>
          </cell>
        </row>
        <row r="22">
          <cell r="L22">
            <v>4.4166999999999998E-2</v>
          </cell>
        </row>
        <row r="23">
          <cell r="L23">
            <v>4.4616999999999997E-2</v>
          </cell>
        </row>
        <row r="24">
          <cell r="L24">
            <v>3.2965000000000001E-2</v>
          </cell>
        </row>
        <row r="25">
          <cell r="L25">
            <v>3.8256999999999999E-2</v>
          </cell>
        </row>
        <row r="26">
          <cell r="L26">
            <v>4.4006000000000003E-2</v>
          </cell>
        </row>
        <row r="27">
          <cell r="L27">
            <v>5.237E-2</v>
          </cell>
        </row>
        <row r="28">
          <cell r="L28">
            <v>5.4751000000000001E-2</v>
          </cell>
        </row>
        <row r="29">
          <cell r="L29">
            <v>5.5538999999999998E-2</v>
          </cell>
        </row>
        <row r="30">
          <cell r="L30">
            <v>4.5671999999999997E-2</v>
          </cell>
        </row>
        <row r="31">
          <cell r="L31">
            <v>5.0411999999999998E-2</v>
          </cell>
        </row>
        <row r="32">
          <cell r="L32">
            <v>3.5207000000000002E-2</v>
          </cell>
        </row>
        <row r="33">
          <cell r="L33">
            <v>3.0041999999999999E-2</v>
          </cell>
        </row>
        <row r="34">
          <cell r="L34">
            <v>2.3727999999999999E-2</v>
          </cell>
        </row>
        <row r="35">
          <cell r="L35">
            <v>2.2672999999999999E-2</v>
          </cell>
        </row>
        <row r="36">
          <cell r="L36">
            <v>2.6898999999999999E-2</v>
          </cell>
        </row>
        <row r="37">
          <cell r="L37">
            <v>8.2170000000000003E-3</v>
          </cell>
        </row>
        <row r="38">
          <cell r="L38">
            <v>6.9049999999999997E-3</v>
          </cell>
        </row>
        <row r="39">
          <cell r="L39">
            <v>9.8700000000000003E-3</v>
          </cell>
        </row>
        <row r="40">
          <cell r="L40">
            <v>1.507E-2</v>
          </cell>
        </row>
        <row r="41">
          <cell r="L41">
            <v>2.1468999999999999E-2</v>
          </cell>
        </row>
        <row r="42">
          <cell r="L42">
            <v>2.8178000000000002E-2</v>
          </cell>
        </row>
        <row r="43">
          <cell r="L43">
            <v>3.1959000000000001E-2</v>
          </cell>
        </row>
        <row r="44">
          <cell r="L44">
            <v>3.8425000000000001E-2</v>
          </cell>
        </row>
        <row r="45">
          <cell r="L45">
            <v>4.4493999999999999E-2</v>
          </cell>
        </row>
        <row r="46">
          <cell r="L46">
            <v>4.6240999999999997E-2</v>
          </cell>
        </row>
        <row r="47">
          <cell r="L47">
            <v>5.8290000000000002E-2</v>
          </cell>
        </row>
        <row r="48">
          <cell r="L48">
            <v>6.1163000000000002E-2</v>
          </cell>
        </row>
        <row r="49">
          <cell r="L49">
            <v>9.0679999999999997E-2</v>
          </cell>
        </row>
        <row r="50">
          <cell r="L50">
            <v>0.104005</v>
          </cell>
        </row>
        <row r="51">
          <cell r="L51">
            <v>0.112613</v>
          </cell>
        </row>
        <row r="52">
          <cell r="L52">
            <v>0.115955</v>
          </cell>
        </row>
        <row r="53">
          <cell r="L53">
            <v>0.121838</v>
          </cell>
        </row>
        <row r="54">
          <cell r="L54">
            <v>0.147005</v>
          </cell>
        </row>
        <row r="55">
          <cell r="L55">
            <v>0.15657599999999999</v>
          </cell>
        </row>
        <row r="56">
          <cell r="L56">
            <v>0.16114300000000001</v>
          </cell>
        </row>
        <row r="57">
          <cell r="L57">
            <v>0.17019999999999999</v>
          </cell>
        </row>
        <row r="58">
          <cell r="L58">
            <v>0.172291</v>
          </cell>
        </row>
        <row r="59">
          <cell r="L59">
            <v>0.174536</v>
          </cell>
        </row>
        <row r="60">
          <cell r="L60">
            <v>0.18263799999999999</v>
          </cell>
        </row>
        <row r="61">
          <cell r="L61">
            <v>0.134656</v>
          </cell>
        </row>
        <row r="62">
          <cell r="L62">
            <v>0.168457</v>
          </cell>
        </row>
      </sheetData>
      <sheetData sheetId="3">
        <row r="2">
          <cell r="AA2">
            <v>0.31666699999999998</v>
          </cell>
        </row>
        <row r="3">
          <cell r="AA3">
            <v>0</v>
          </cell>
        </row>
        <row r="4">
          <cell r="AA4">
            <v>7.3332999999999995E-2</v>
          </cell>
        </row>
      </sheetData>
      <sheetData sheetId="4">
        <row r="2">
          <cell r="L2">
            <v>0</v>
          </cell>
        </row>
        <row r="3">
          <cell r="L3">
            <v>0</v>
          </cell>
        </row>
        <row r="4">
          <cell r="L4">
            <v>-7.8498999999999999E-2</v>
          </cell>
          <cell r="O4">
            <v>0</v>
          </cell>
        </row>
        <row r="5">
          <cell r="L5">
            <v>-0.16451099999999999</v>
          </cell>
          <cell r="O5">
            <v>1</v>
          </cell>
        </row>
        <row r="6">
          <cell r="L6">
            <v>-0.18556600000000001</v>
          </cell>
          <cell r="O6">
            <v>-0.54631700000000005</v>
          </cell>
        </row>
        <row r="7">
          <cell r="L7">
            <v>-0.19378600000000001</v>
          </cell>
        </row>
        <row r="8">
          <cell r="L8">
            <v>-0.19952900000000001</v>
          </cell>
        </row>
        <row r="9">
          <cell r="L9">
            <v>-0.20107900000000001</v>
          </cell>
        </row>
        <row r="10">
          <cell r="L10">
            <v>-0.194853</v>
          </cell>
        </row>
        <row r="11">
          <cell r="L11">
            <v>-0.17186499999999999</v>
          </cell>
        </row>
        <row r="12">
          <cell r="L12">
            <v>-0.185534</v>
          </cell>
        </row>
        <row r="13">
          <cell r="L13">
            <v>-0.223249</v>
          </cell>
        </row>
        <row r="14">
          <cell r="L14">
            <v>-0.229019</v>
          </cell>
        </row>
        <row r="15">
          <cell r="L15">
            <v>-0.232465</v>
          </cell>
        </row>
        <row r="16">
          <cell r="L16">
            <v>-0.20979100000000001</v>
          </cell>
        </row>
        <row r="17">
          <cell r="L17">
            <v>-0.23098399999999999</v>
          </cell>
        </row>
        <row r="18">
          <cell r="L18">
            <v>-0.25353900000000001</v>
          </cell>
        </row>
        <row r="19">
          <cell r="L19">
            <v>-0.28313300000000002</v>
          </cell>
        </row>
        <row r="20">
          <cell r="L20">
            <v>-0.30088799999999999</v>
          </cell>
        </row>
        <row r="21">
          <cell r="L21">
            <v>-0.29649700000000001</v>
          </cell>
        </row>
        <row r="22">
          <cell r="L22">
            <v>-0.31769900000000001</v>
          </cell>
        </row>
        <row r="23">
          <cell r="L23">
            <v>-0.326013</v>
          </cell>
        </row>
        <row r="24">
          <cell r="L24">
            <v>-0.32111400000000001</v>
          </cell>
        </row>
        <row r="25">
          <cell r="L25">
            <v>-0.31426300000000001</v>
          </cell>
        </row>
        <row r="26">
          <cell r="L26">
            <v>-0.32353500000000002</v>
          </cell>
        </row>
        <row r="27">
          <cell r="L27">
            <v>-0.320822</v>
          </cell>
        </row>
        <row r="28">
          <cell r="L28">
            <v>-0.32227600000000001</v>
          </cell>
        </row>
        <row r="29">
          <cell r="L29">
            <v>-0.318799</v>
          </cell>
        </row>
        <row r="30">
          <cell r="L30">
            <v>-0.31800099999999998</v>
          </cell>
        </row>
        <row r="31">
          <cell r="L31">
            <v>-0.32087900000000003</v>
          </cell>
        </row>
        <row r="32">
          <cell r="L32">
            <v>-0.32471</v>
          </cell>
        </row>
        <row r="33">
          <cell r="L33">
            <v>-0.34485199999999999</v>
          </cell>
        </row>
        <row r="34">
          <cell r="L34">
            <v>-0.35936499999999999</v>
          </cell>
        </row>
        <row r="35">
          <cell r="L35">
            <v>-0.365284</v>
          </cell>
        </row>
        <row r="36">
          <cell r="L36">
            <v>-0.374581</v>
          </cell>
        </row>
        <row r="37">
          <cell r="L37">
            <v>-0.377743</v>
          </cell>
        </row>
        <row r="38">
          <cell r="L38">
            <v>-0.36093199999999998</v>
          </cell>
        </row>
        <row r="39">
          <cell r="L39">
            <v>-0.39829500000000001</v>
          </cell>
        </row>
        <row r="40">
          <cell r="L40">
            <v>-0.31917800000000002</v>
          </cell>
        </row>
        <row r="41">
          <cell r="L41">
            <v>-0.34983300000000001</v>
          </cell>
        </row>
        <row r="42">
          <cell r="L42">
            <v>-0.37297999999999998</v>
          </cell>
        </row>
        <row r="43">
          <cell r="L43">
            <v>-0.406138</v>
          </cell>
        </row>
        <row r="44">
          <cell r="L44">
            <v>-0.43859500000000001</v>
          </cell>
        </row>
        <row r="45">
          <cell r="L45">
            <v>-0.446413</v>
          </cell>
        </row>
        <row r="46">
          <cell r="L46">
            <v>-0.45927000000000001</v>
          </cell>
        </row>
        <row r="47">
          <cell r="L47">
            <v>-0.46997299999999997</v>
          </cell>
        </row>
        <row r="48">
          <cell r="L48">
            <v>-0.46315400000000001</v>
          </cell>
        </row>
        <row r="49">
          <cell r="L49">
            <v>-0.46966000000000002</v>
          </cell>
        </row>
        <row r="50">
          <cell r="L50">
            <v>-0.48436600000000002</v>
          </cell>
        </row>
        <row r="51">
          <cell r="L51">
            <v>-0.490199</v>
          </cell>
        </row>
        <row r="52">
          <cell r="L52">
            <v>-0.494232</v>
          </cell>
        </row>
        <row r="53">
          <cell r="L53">
            <v>-0.49060799999999999</v>
          </cell>
        </row>
        <row r="54">
          <cell r="L54">
            <v>-0.445023</v>
          </cell>
        </row>
        <row r="55">
          <cell r="L55">
            <v>-0.50156900000000004</v>
          </cell>
        </row>
        <row r="56">
          <cell r="L56">
            <v>-0.49575900000000001</v>
          </cell>
        </row>
        <row r="57">
          <cell r="L57">
            <v>-0.50544800000000001</v>
          </cell>
        </row>
        <row r="58">
          <cell r="L58">
            <v>-0.53606699999999996</v>
          </cell>
        </row>
        <row r="59">
          <cell r="L59">
            <v>-0.53442699999999999</v>
          </cell>
        </row>
        <row r="60">
          <cell r="L60">
            <v>-0.44791399999999998</v>
          </cell>
        </row>
        <row r="61">
          <cell r="L61">
            <v>-0.44846399999999997</v>
          </cell>
        </row>
        <row r="62">
          <cell r="L62">
            <v>-0.46038299999999999</v>
          </cell>
        </row>
        <row r="63">
          <cell r="L63">
            <v>-0.46406900000000001</v>
          </cell>
        </row>
        <row r="64">
          <cell r="L64">
            <v>-0.45733000000000001</v>
          </cell>
        </row>
        <row r="65">
          <cell r="L65">
            <v>-0.46957599999999999</v>
          </cell>
        </row>
        <row r="66">
          <cell r="L66">
            <v>-0.47460999999999998</v>
          </cell>
        </row>
        <row r="67">
          <cell r="L67">
            <v>-0.46516299999999999</v>
          </cell>
        </row>
        <row r="68">
          <cell r="L68">
            <v>-0.46942299999999998</v>
          </cell>
        </row>
        <row r="69">
          <cell r="L69">
            <v>-0.48031200000000002</v>
          </cell>
        </row>
        <row r="70">
          <cell r="L70">
            <v>-0.488593</v>
          </cell>
        </row>
        <row r="71">
          <cell r="L71">
            <v>-0.49166900000000002</v>
          </cell>
        </row>
        <row r="72">
          <cell r="L72">
            <v>-0.49380800000000002</v>
          </cell>
        </row>
        <row r="73">
          <cell r="L73">
            <v>-0.43026599999999998</v>
          </cell>
        </row>
        <row r="74">
          <cell r="L74">
            <v>-0.48586699999999999</v>
          </cell>
        </row>
        <row r="75">
          <cell r="L75">
            <v>-0.36067700000000003</v>
          </cell>
        </row>
        <row r="76">
          <cell r="L76">
            <v>-0.39000499999999999</v>
          </cell>
        </row>
        <row r="77">
          <cell r="L77">
            <v>-0.40539500000000001</v>
          </cell>
        </row>
        <row r="78">
          <cell r="L78">
            <v>-0.42828100000000002</v>
          </cell>
        </row>
        <row r="79">
          <cell r="L79">
            <v>-0.42840099999999998</v>
          </cell>
        </row>
        <row r="80">
          <cell r="L80">
            <v>-0.45747399999999999</v>
          </cell>
        </row>
        <row r="81">
          <cell r="L81">
            <v>-0.482458</v>
          </cell>
        </row>
        <row r="82">
          <cell r="L82">
            <v>-0.46714600000000001</v>
          </cell>
        </row>
        <row r="83">
          <cell r="L83">
            <v>-0.47046399999999999</v>
          </cell>
        </row>
        <row r="84">
          <cell r="L84">
            <v>-0.48250199999999999</v>
          </cell>
        </row>
        <row r="85">
          <cell r="L85">
            <v>-0.47866500000000001</v>
          </cell>
        </row>
        <row r="86">
          <cell r="L86">
            <v>-0.48581200000000002</v>
          </cell>
        </row>
        <row r="87">
          <cell r="L87">
            <v>-0.46376400000000001</v>
          </cell>
        </row>
        <row r="88">
          <cell r="L88">
            <v>-0.50180400000000003</v>
          </cell>
        </row>
        <row r="89">
          <cell r="L89">
            <v>-0.50976100000000002</v>
          </cell>
        </row>
        <row r="90">
          <cell r="L90">
            <v>-0.51072899999999999</v>
          </cell>
        </row>
        <row r="91">
          <cell r="L91">
            <v>-0.52863199999999999</v>
          </cell>
        </row>
        <row r="92">
          <cell r="L92">
            <v>-0.527362</v>
          </cell>
        </row>
        <row r="93">
          <cell r="L93">
            <v>-0.53938399999999997</v>
          </cell>
        </row>
        <row r="94">
          <cell r="L94">
            <v>-0.55040900000000004</v>
          </cell>
        </row>
        <row r="95">
          <cell r="L95">
            <v>-0.50388500000000003</v>
          </cell>
        </row>
        <row r="96">
          <cell r="L96">
            <v>-0.51858599999999999</v>
          </cell>
        </row>
        <row r="97">
          <cell r="L97">
            <v>-0.51567600000000002</v>
          </cell>
        </row>
        <row r="98">
          <cell r="L98">
            <v>-0.52969699999999997</v>
          </cell>
        </row>
        <row r="99">
          <cell r="L99">
            <v>-0.52750200000000003</v>
          </cell>
        </row>
        <row r="100">
          <cell r="L100">
            <v>-0.53233399999999997</v>
          </cell>
        </row>
        <row r="101">
          <cell r="L101">
            <v>-0.54558399999999996</v>
          </cell>
        </row>
        <row r="102">
          <cell r="L102">
            <v>-0.54631700000000005</v>
          </cell>
        </row>
      </sheetData>
      <sheetData sheetId="5">
        <row r="2">
          <cell r="AA2">
            <v>1</v>
          </cell>
        </row>
        <row r="3">
          <cell r="AA3">
            <v>0.84</v>
          </cell>
        </row>
        <row r="4">
          <cell r="AA4">
            <v>0.98899999999999999</v>
          </cell>
        </row>
      </sheetData>
      <sheetData sheetId="6">
        <row r="2">
          <cell r="L2">
            <v>0</v>
          </cell>
        </row>
        <row r="3">
          <cell r="L3">
            <v>1.3600000000000001E-3</v>
          </cell>
        </row>
        <row r="4">
          <cell r="L4">
            <v>2.1789999999999999E-3</v>
          </cell>
          <cell r="O4">
            <v>2</v>
          </cell>
        </row>
        <row r="5">
          <cell r="L5">
            <v>-4.6025000000000003E-2</v>
          </cell>
          <cell r="O5">
            <v>0.96666700000000005</v>
          </cell>
        </row>
        <row r="6">
          <cell r="L6">
            <v>-5.3395999999999999E-2</v>
          </cell>
          <cell r="O6">
            <v>-0.14432600000000001</v>
          </cell>
        </row>
        <row r="7">
          <cell r="L7">
            <v>-7.9710000000000003E-2</v>
          </cell>
        </row>
        <row r="8">
          <cell r="L8">
            <v>-7.8761999999999999E-2</v>
          </cell>
        </row>
        <row r="9">
          <cell r="L9">
            <v>-7.6077000000000006E-2</v>
          </cell>
        </row>
        <row r="10">
          <cell r="L10">
            <v>-7.3809E-2</v>
          </cell>
        </row>
        <row r="11">
          <cell r="L11">
            <v>-7.4578000000000005E-2</v>
          </cell>
        </row>
        <row r="12">
          <cell r="L12">
            <v>-6.7867999999999998E-2</v>
          </cell>
        </row>
        <row r="13">
          <cell r="L13">
            <v>-6.7989999999999995E-2</v>
          </cell>
        </row>
        <row r="14">
          <cell r="L14">
            <v>-6.7058999999999994E-2</v>
          </cell>
        </row>
        <row r="15">
          <cell r="L15">
            <v>-9.4985E-2</v>
          </cell>
        </row>
        <row r="16">
          <cell r="L16">
            <v>-9.4437999999999994E-2</v>
          </cell>
        </row>
        <row r="17">
          <cell r="L17">
            <v>-8.6209999999999995E-2</v>
          </cell>
        </row>
        <row r="18">
          <cell r="L18">
            <v>-9.0708999999999998E-2</v>
          </cell>
        </row>
        <row r="19">
          <cell r="L19">
            <v>-0.106929</v>
          </cell>
        </row>
        <row r="20">
          <cell r="L20">
            <v>-0.111799</v>
          </cell>
        </row>
        <row r="21">
          <cell r="L21">
            <v>-0.119217</v>
          </cell>
        </row>
        <row r="22">
          <cell r="L22">
            <v>-0.15329799999999999</v>
          </cell>
        </row>
        <row r="23">
          <cell r="L23">
            <v>-0.15226500000000001</v>
          </cell>
        </row>
        <row r="24">
          <cell r="L24">
            <v>-0.145565</v>
          </cell>
        </row>
        <row r="25">
          <cell r="L25">
            <v>-0.144952</v>
          </cell>
        </row>
        <row r="26">
          <cell r="L26">
            <v>-0.144591</v>
          </cell>
        </row>
        <row r="27">
          <cell r="L27">
            <v>-0.13899900000000001</v>
          </cell>
        </row>
        <row r="28">
          <cell r="L28">
            <v>-0.1464</v>
          </cell>
        </row>
        <row r="29">
          <cell r="L29">
            <v>-0.14543800000000001</v>
          </cell>
        </row>
        <row r="30">
          <cell r="L30">
            <v>-0.142655</v>
          </cell>
        </row>
        <row r="31">
          <cell r="L31">
            <v>-0.14460899999999999</v>
          </cell>
        </row>
        <row r="32">
          <cell r="L32">
            <v>-0.14260800000000001</v>
          </cell>
        </row>
        <row r="33">
          <cell r="L33">
            <v>-0.13845099999999999</v>
          </cell>
        </row>
        <row r="34">
          <cell r="L34">
            <v>-0.125473</v>
          </cell>
        </row>
        <row r="35">
          <cell r="L35">
            <v>-0.13825200000000001</v>
          </cell>
        </row>
        <row r="36">
          <cell r="L36">
            <v>-0.14094100000000001</v>
          </cell>
        </row>
        <row r="37">
          <cell r="L37">
            <v>-0.173457</v>
          </cell>
        </row>
        <row r="38">
          <cell r="L38">
            <v>-0.18124499999999999</v>
          </cell>
        </row>
        <row r="39">
          <cell r="L39">
            <v>-0.183007</v>
          </cell>
        </row>
        <row r="40">
          <cell r="L40">
            <v>-0.170848</v>
          </cell>
        </row>
        <row r="41">
          <cell r="L41">
            <v>-0.168213</v>
          </cell>
        </row>
        <row r="42">
          <cell r="L42">
            <v>-0.16771</v>
          </cell>
        </row>
        <row r="43">
          <cell r="L43">
            <v>-0.16289500000000001</v>
          </cell>
        </row>
        <row r="44">
          <cell r="L44">
            <v>-0.166329</v>
          </cell>
        </row>
        <row r="45">
          <cell r="L45">
            <v>-0.16928699999999999</v>
          </cell>
        </row>
        <row r="46">
          <cell r="L46">
            <v>-0.17155599999999999</v>
          </cell>
        </row>
        <row r="47">
          <cell r="L47">
            <v>-0.18771299999999999</v>
          </cell>
        </row>
        <row r="48">
          <cell r="L48">
            <v>-0.19316900000000001</v>
          </cell>
        </row>
        <row r="49">
          <cell r="L49">
            <v>-0.188916</v>
          </cell>
        </row>
        <row r="50">
          <cell r="L50">
            <v>-0.17321800000000001</v>
          </cell>
        </row>
        <row r="51">
          <cell r="L51">
            <v>-0.16939599999999999</v>
          </cell>
        </row>
        <row r="52">
          <cell r="L52">
            <v>-0.16536200000000001</v>
          </cell>
        </row>
        <row r="53">
          <cell r="L53">
            <v>-0.15819</v>
          </cell>
        </row>
        <row r="54">
          <cell r="L54">
            <v>-0.15639800000000001</v>
          </cell>
        </row>
        <row r="55">
          <cell r="L55">
            <v>-0.154254</v>
          </cell>
        </row>
        <row r="56">
          <cell r="L56">
            <v>-0.14874999999999999</v>
          </cell>
        </row>
        <row r="57">
          <cell r="L57">
            <v>-0.144039</v>
          </cell>
        </row>
        <row r="58">
          <cell r="L58">
            <v>-0.141483</v>
          </cell>
        </row>
        <row r="59">
          <cell r="L59">
            <v>-0.139706</v>
          </cell>
        </row>
        <row r="60">
          <cell r="L60">
            <v>-0.13758799999999999</v>
          </cell>
        </row>
        <row r="61">
          <cell r="L61">
            <v>-0.13287599999999999</v>
          </cell>
        </row>
        <row r="62">
          <cell r="L62">
            <v>-0.14432600000000001</v>
          </cell>
        </row>
      </sheetData>
      <sheetData sheetId="7">
        <row r="2">
          <cell r="AA2">
            <v>1</v>
          </cell>
        </row>
        <row r="3">
          <cell r="AA3">
            <v>0.68333299999999997</v>
          </cell>
        </row>
        <row r="4">
          <cell r="AA4">
            <v>0.92500000000000004</v>
          </cell>
        </row>
      </sheetData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-7.2971999999999995E-2</v>
          </cell>
        </row>
        <row r="4">
          <cell r="L4">
            <v>-0.113084</v>
          </cell>
          <cell r="O4">
            <v>0</v>
          </cell>
        </row>
        <row r="5">
          <cell r="L5">
            <v>-0.16247400000000001</v>
          </cell>
          <cell r="O5">
            <v>1</v>
          </cell>
        </row>
        <row r="6">
          <cell r="L6">
            <v>-0.193882</v>
          </cell>
          <cell r="O6">
            <v>-0.64491200000000004</v>
          </cell>
        </row>
        <row r="7">
          <cell r="L7">
            <v>-0.20161599999999999</v>
          </cell>
        </row>
        <row r="8">
          <cell r="L8">
            <v>-0.207092</v>
          </cell>
        </row>
        <row r="9">
          <cell r="L9">
            <v>-0.21219299999999999</v>
          </cell>
        </row>
        <row r="10">
          <cell r="L10">
            <v>-0.218666</v>
          </cell>
        </row>
        <row r="11">
          <cell r="L11">
            <v>-0.236961</v>
          </cell>
        </row>
        <row r="12">
          <cell r="L12">
            <v>-0.266789</v>
          </cell>
        </row>
        <row r="13">
          <cell r="L13">
            <v>-0.28633900000000001</v>
          </cell>
        </row>
        <row r="14">
          <cell r="L14">
            <v>-0.29375099999999998</v>
          </cell>
        </row>
        <row r="15">
          <cell r="L15">
            <v>-0.29422199999999998</v>
          </cell>
        </row>
        <row r="16">
          <cell r="L16">
            <v>-0.297151</v>
          </cell>
        </row>
        <row r="17">
          <cell r="L17">
            <v>-0.30562</v>
          </cell>
        </row>
        <row r="18">
          <cell r="L18">
            <v>-0.31481599999999998</v>
          </cell>
        </row>
        <row r="19">
          <cell r="L19">
            <v>-0.32980199999999998</v>
          </cell>
        </row>
        <row r="20">
          <cell r="L20">
            <v>-0.34658600000000001</v>
          </cell>
        </row>
        <row r="21">
          <cell r="L21">
            <v>-0.34898800000000002</v>
          </cell>
        </row>
        <row r="22">
          <cell r="L22">
            <v>-0.35278500000000002</v>
          </cell>
        </row>
        <row r="23">
          <cell r="L23">
            <v>-0.35486600000000001</v>
          </cell>
        </row>
        <row r="24">
          <cell r="L24">
            <v>-0.35625400000000002</v>
          </cell>
        </row>
        <row r="25">
          <cell r="L25">
            <v>-0.35719200000000001</v>
          </cell>
        </row>
        <row r="26">
          <cell r="L26">
            <v>-0.36571100000000001</v>
          </cell>
        </row>
        <row r="27">
          <cell r="L27">
            <v>-0.37426700000000002</v>
          </cell>
        </row>
        <row r="28">
          <cell r="L28">
            <v>-0.374778</v>
          </cell>
        </row>
        <row r="29">
          <cell r="L29">
            <v>-0.37573400000000001</v>
          </cell>
        </row>
        <row r="30">
          <cell r="L30">
            <v>-0.37881100000000001</v>
          </cell>
        </row>
        <row r="31">
          <cell r="L31">
            <v>-0.379608</v>
          </cell>
        </row>
        <row r="32">
          <cell r="L32">
            <v>-0.381525</v>
          </cell>
        </row>
        <row r="33">
          <cell r="L33">
            <v>-0.38258199999999998</v>
          </cell>
        </row>
        <row r="34">
          <cell r="L34">
            <v>-0.392646</v>
          </cell>
        </row>
        <row r="35">
          <cell r="L35">
            <v>-0.39827800000000002</v>
          </cell>
        </row>
        <row r="36">
          <cell r="L36">
            <v>-0.40667799999999998</v>
          </cell>
        </row>
        <row r="37">
          <cell r="L37">
            <v>-0.41418300000000002</v>
          </cell>
        </row>
        <row r="38">
          <cell r="L38">
            <v>-0.41503800000000002</v>
          </cell>
        </row>
        <row r="39">
          <cell r="L39">
            <v>-0.41644999999999999</v>
          </cell>
        </row>
        <row r="40">
          <cell r="L40">
            <v>-0.42281200000000002</v>
          </cell>
        </row>
        <row r="41">
          <cell r="L41">
            <v>-0.43225200000000003</v>
          </cell>
        </row>
        <row r="42">
          <cell r="L42">
            <v>-0.43006899999999998</v>
          </cell>
        </row>
        <row r="43">
          <cell r="L43">
            <v>-0.44571899999999998</v>
          </cell>
        </row>
        <row r="44">
          <cell r="L44">
            <v>-0.44939000000000001</v>
          </cell>
        </row>
        <row r="45">
          <cell r="L45">
            <v>-0.44901400000000002</v>
          </cell>
        </row>
        <row r="46">
          <cell r="L46">
            <v>-0.45430700000000002</v>
          </cell>
        </row>
        <row r="47">
          <cell r="L47">
            <v>-0.45498499999999997</v>
          </cell>
        </row>
        <row r="48">
          <cell r="L48">
            <v>-0.45854200000000001</v>
          </cell>
        </row>
        <row r="49">
          <cell r="L49">
            <v>-0.46533200000000002</v>
          </cell>
        </row>
        <row r="50">
          <cell r="L50">
            <v>-0.47117999999999999</v>
          </cell>
        </row>
        <row r="51">
          <cell r="L51">
            <v>-0.47297299999999998</v>
          </cell>
        </row>
        <row r="52">
          <cell r="L52">
            <v>-0.47410999999999998</v>
          </cell>
        </row>
        <row r="53">
          <cell r="L53">
            <v>-0.474325</v>
          </cell>
        </row>
        <row r="54">
          <cell r="L54">
            <v>-0.477379</v>
          </cell>
        </row>
        <row r="55">
          <cell r="L55">
            <v>-0.48341899999999999</v>
          </cell>
        </row>
        <row r="56">
          <cell r="L56">
            <v>-0.48319499999999999</v>
          </cell>
        </row>
        <row r="57">
          <cell r="L57">
            <v>-0.480462</v>
          </cell>
        </row>
        <row r="58">
          <cell r="L58">
            <v>-0.49348700000000001</v>
          </cell>
        </row>
        <row r="59">
          <cell r="L59">
            <v>-0.49435699999999999</v>
          </cell>
        </row>
        <row r="60">
          <cell r="L60">
            <v>-0.494973</v>
          </cell>
        </row>
        <row r="61">
          <cell r="L61">
            <v>-0.49460700000000002</v>
          </cell>
        </row>
        <row r="62">
          <cell r="L62">
            <v>-0.50112900000000005</v>
          </cell>
        </row>
        <row r="63">
          <cell r="L63">
            <v>-0.50348300000000001</v>
          </cell>
        </row>
        <row r="64">
          <cell r="L64">
            <v>-0.50292700000000001</v>
          </cell>
        </row>
        <row r="65">
          <cell r="L65">
            <v>-0.51039999999999996</v>
          </cell>
        </row>
        <row r="66">
          <cell r="L66">
            <v>-0.51872600000000002</v>
          </cell>
        </row>
        <row r="67">
          <cell r="L67">
            <v>-0.52269900000000002</v>
          </cell>
        </row>
        <row r="68">
          <cell r="L68">
            <v>-0.52481999999999995</v>
          </cell>
        </row>
        <row r="69">
          <cell r="L69">
            <v>-0.52707800000000005</v>
          </cell>
        </row>
        <row r="70">
          <cell r="L70">
            <v>-0.53236700000000003</v>
          </cell>
        </row>
        <row r="71">
          <cell r="L71">
            <v>-0.53104499999999999</v>
          </cell>
        </row>
        <row r="72">
          <cell r="L72">
            <v>-0.53114300000000003</v>
          </cell>
        </row>
        <row r="73">
          <cell r="L73">
            <v>-0.542686</v>
          </cell>
        </row>
        <row r="74">
          <cell r="L74">
            <v>-0.54362500000000002</v>
          </cell>
        </row>
        <row r="75">
          <cell r="L75">
            <v>-0.54421699999999995</v>
          </cell>
        </row>
        <row r="76">
          <cell r="L76">
            <v>-0.53554299999999999</v>
          </cell>
        </row>
        <row r="77">
          <cell r="L77">
            <v>-0.56361600000000001</v>
          </cell>
        </row>
        <row r="78">
          <cell r="L78">
            <v>-0.565527</v>
          </cell>
        </row>
        <row r="79">
          <cell r="L79">
            <v>-0.56144499999999997</v>
          </cell>
        </row>
        <row r="80">
          <cell r="L80">
            <v>-0.57044899999999998</v>
          </cell>
        </row>
        <row r="81">
          <cell r="L81">
            <v>-0.57787299999999997</v>
          </cell>
        </row>
        <row r="82">
          <cell r="L82">
            <v>-0.58107900000000001</v>
          </cell>
        </row>
        <row r="83">
          <cell r="L83">
            <v>-0.58047000000000004</v>
          </cell>
        </row>
        <row r="84">
          <cell r="L84">
            <v>-0.57948200000000005</v>
          </cell>
        </row>
        <row r="85">
          <cell r="L85">
            <v>-0.58505799999999997</v>
          </cell>
        </row>
        <row r="86">
          <cell r="L86">
            <v>-0.59004900000000005</v>
          </cell>
        </row>
        <row r="87">
          <cell r="L87">
            <v>-0.58795500000000001</v>
          </cell>
        </row>
        <row r="88">
          <cell r="L88">
            <v>-0.58878699999999995</v>
          </cell>
        </row>
        <row r="89">
          <cell r="L89">
            <v>-0.595549</v>
          </cell>
        </row>
        <row r="90">
          <cell r="L90">
            <v>-0.60117200000000004</v>
          </cell>
        </row>
        <row r="91">
          <cell r="L91">
            <v>-0.59613499999999997</v>
          </cell>
        </row>
        <row r="92">
          <cell r="L92">
            <v>-0.61109400000000003</v>
          </cell>
        </row>
        <row r="93">
          <cell r="L93">
            <v>-0.60726199999999997</v>
          </cell>
        </row>
        <row r="94">
          <cell r="L94">
            <v>-0.61734599999999995</v>
          </cell>
        </row>
        <row r="95">
          <cell r="L95">
            <v>-0.61893900000000002</v>
          </cell>
        </row>
        <row r="96">
          <cell r="L96">
            <v>-0.61611099999999996</v>
          </cell>
        </row>
        <row r="97">
          <cell r="L97">
            <v>-0.62438499999999997</v>
          </cell>
        </row>
        <row r="98">
          <cell r="L98">
            <v>-0.63692499999999996</v>
          </cell>
        </row>
        <row r="99">
          <cell r="L99">
            <v>-0.64032900000000004</v>
          </cell>
        </row>
        <row r="100">
          <cell r="L100">
            <v>-0.63558000000000003</v>
          </cell>
        </row>
        <row r="101">
          <cell r="L101">
            <v>-0.647115</v>
          </cell>
        </row>
        <row r="102">
          <cell r="L102">
            <v>-0.64491200000000004</v>
          </cell>
        </row>
      </sheetData>
      <sheetData sheetId="1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2">
        <row r="2">
          <cell r="L2">
            <v>0</v>
          </cell>
        </row>
        <row r="3">
          <cell r="L3">
            <v>-4.6600000000000001E-3</v>
          </cell>
        </row>
        <row r="4">
          <cell r="L4">
            <v>-5.9839999999999997E-3</v>
          </cell>
          <cell r="O4">
            <v>0</v>
          </cell>
        </row>
        <row r="5">
          <cell r="L5">
            <v>-1.0423E-2</v>
          </cell>
          <cell r="O5">
            <v>1</v>
          </cell>
        </row>
        <row r="6">
          <cell r="L6">
            <v>-1.1502999999999999E-2</v>
          </cell>
          <cell r="O6">
            <v>-0.25800200000000001</v>
          </cell>
        </row>
        <row r="7">
          <cell r="L7">
            <v>-1.2598E-2</v>
          </cell>
        </row>
        <row r="8">
          <cell r="L8">
            <v>-1.5357000000000001E-2</v>
          </cell>
        </row>
        <row r="9">
          <cell r="L9">
            <v>-2.0351999999999999E-2</v>
          </cell>
        </row>
        <row r="10">
          <cell r="L10">
            <v>-2.1142000000000001E-2</v>
          </cell>
        </row>
        <row r="11">
          <cell r="L11">
            <v>-3.7073000000000002E-2</v>
          </cell>
        </row>
        <row r="12">
          <cell r="L12">
            <v>-3.9098000000000001E-2</v>
          </cell>
        </row>
        <row r="13">
          <cell r="L13">
            <v>-3.9738999999999997E-2</v>
          </cell>
        </row>
        <row r="14">
          <cell r="L14">
            <v>-4.2784000000000003E-2</v>
          </cell>
        </row>
        <row r="15">
          <cell r="L15">
            <v>-4.7010999999999997E-2</v>
          </cell>
        </row>
        <row r="16">
          <cell r="L16">
            <v>-4.7921999999999999E-2</v>
          </cell>
        </row>
        <row r="17">
          <cell r="L17">
            <v>-7.6006000000000004E-2</v>
          </cell>
        </row>
        <row r="18">
          <cell r="L18">
            <v>-9.7245999999999999E-2</v>
          </cell>
        </row>
        <row r="19">
          <cell r="L19">
            <v>-0.110886</v>
          </cell>
        </row>
        <row r="20">
          <cell r="L20">
            <v>-0.114941</v>
          </cell>
        </row>
        <row r="21">
          <cell r="L21">
            <v>-0.119146</v>
          </cell>
        </row>
        <row r="22">
          <cell r="L22">
            <v>-0.121254</v>
          </cell>
        </row>
        <row r="23">
          <cell r="L23">
            <v>-0.12239800000000001</v>
          </cell>
        </row>
        <row r="24">
          <cell r="L24">
            <v>-0.12282899999999999</v>
          </cell>
        </row>
        <row r="25">
          <cell r="L25">
            <v>-0.125336</v>
          </cell>
        </row>
        <row r="26">
          <cell r="L26">
            <v>-0.13066900000000001</v>
          </cell>
        </row>
        <row r="27">
          <cell r="L27">
            <v>-0.132853</v>
          </cell>
        </row>
        <row r="28">
          <cell r="L28">
            <v>-0.139457</v>
          </cell>
        </row>
        <row r="29">
          <cell r="L29">
            <v>-0.14329700000000001</v>
          </cell>
        </row>
        <row r="30">
          <cell r="L30">
            <v>-0.144982</v>
          </cell>
        </row>
        <row r="31">
          <cell r="L31">
            <v>-0.14580499999999999</v>
          </cell>
        </row>
        <row r="32">
          <cell r="L32">
            <v>-0.14848900000000001</v>
          </cell>
        </row>
        <row r="33">
          <cell r="L33">
            <v>-0.15153</v>
          </cell>
        </row>
        <row r="34">
          <cell r="L34">
            <v>-0.15498700000000001</v>
          </cell>
        </row>
        <row r="35">
          <cell r="L35">
            <v>-0.17829500000000001</v>
          </cell>
        </row>
        <row r="36">
          <cell r="L36">
            <v>-0.19603599999999999</v>
          </cell>
        </row>
        <row r="37">
          <cell r="L37">
            <v>-0.19785800000000001</v>
          </cell>
        </row>
        <row r="38">
          <cell r="L38">
            <v>-0.20180600000000001</v>
          </cell>
        </row>
        <row r="39">
          <cell r="L39">
            <v>-0.20718700000000001</v>
          </cell>
        </row>
        <row r="40">
          <cell r="L40">
            <v>-0.210536</v>
          </cell>
        </row>
        <row r="41">
          <cell r="L41">
            <v>-0.21115800000000001</v>
          </cell>
        </row>
        <row r="42">
          <cell r="L42">
            <v>-0.212897</v>
          </cell>
        </row>
        <row r="43">
          <cell r="L43">
            <v>-0.21531400000000001</v>
          </cell>
        </row>
        <row r="44">
          <cell r="L44">
            <v>-0.22176999999999999</v>
          </cell>
        </row>
        <row r="45">
          <cell r="L45">
            <v>-0.22966900000000001</v>
          </cell>
        </row>
        <row r="46">
          <cell r="L46">
            <v>-0.231544</v>
          </cell>
        </row>
        <row r="47">
          <cell r="L47">
            <v>-0.23371500000000001</v>
          </cell>
        </row>
        <row r="48">
          <cell r="L48">
            <v>-0.23647699999999999</v>
          </cell>
        </row>
        <row r="49">
          <cell r="L49">
            <v>-0.23785999999999999</v>
          </cell>
        </row>
        <row r="50">
          <cell r="L50">
            <v>-0.238873</v>
          </cell>
        </row>
        <row r="51">
          <cell r="L51">
            <v>-0.24183499999999999</v>
          </cell>
        </row>
        <row r="52">
          <cell r="L52">
            <v>-0.245064</v>
          </cell>
        </row>
        <row r="53">
          <cell r="L53">
            <v>-0.246813</v>
          </cell>
        </row>
        <row r="54">
          <cell r="L54">
            <v>-0.246918</v>
          </cell>
        </row>
        <row r="55">
          <cell r="L55">
            <v>-0.247253</v>
          </cell>
        </row>
        <row r="56">
          <cell r="L56">
            <v>-0.24834700000000001</v>
          </cell>
        </row>
        <row r="57">
          <cell r="L57">
            <v>-0.24954100000000001</v>
          </cell>
        </row>
        <row r="58">
          <cell r="L58">
            <v>-0.250666</v>
          </cell>
        </row>
        <row r="59">
          <cell r="L59">
            <v>-0.25274799999999997</v>
          </cell>
        </row>
        <row r="60">
          <cell r="L60">
            <v>-0.25512800000000002</v>
          </cell>
        </row>
        <row r="61">
          <cell r="L61">
            <v>-0.25620399999999999</v>
          </cell>
        </row>
        <row r="62">
          <cell r="L62">
            <v>-0.25800200000000001</v>
          </cell>
        </row>
      </sheetData>
      <sheetData sheetId="3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4">
        <row r="2">
          <cell r="L2">
            <v>0</v>
          </cell>
        </row>
        <row r="3">
          <cell r="L3">
            <v>0</v>
          </cell>
        </row>
        <row r="4">
          <cell r="L4">
            <v>-1.8009000000000001E-2</v>
          </cell>
          <cell r="O4">
            <v>0</v>
          </cell>
        </row>
        <row r="5">
          <cell r="L5">
            <v>-0.13525899999999999</v>
          </cell>
          <cell r="O5">
            <v>1</v>
          </cell>
        </row>
        <row r="6">
          <cell r="L6">
            <v>-0.16104099999999999</v>
          </cell>
          <cell r="O6">
            <v>-0.91516299999999995</v>
          </cell>
        </row>
        <row r="7">
          <cell r="L7">
            <v>-0.168965</v>
          </cell>
        </row>
        <row r="8">
          <cell r="L8">
            <v>-0.17733099999999999</v>
          </cell>
        </row>
        <row r="9">
          <cell r="L9">
            <v>-0.19097</v>
          </cell>
        </row>
        <row r="10">
          <cell r="L10">
            <v>-0.19428599999999999</v>
          </cell>
        </row>
        <row r="11">
          <cell r="L11">
            <v>-0.20729</v>
          </cell>
        </row>
        <row r="12">
          <cell r="L12">
            <v>-0.29347299999999998</v>
          </cell>
        </row>
        <row r="13">
          <cell r="L13">
            <v>-0.34630100000000003</v>
          </cell>
        </row>
        <row r="14">
          <cell r="L14">
            <v>-0.35424800000000001</v>
          </cell>
        </row>
        <row r="15">
          <cell r="L15">
            <v>-0.35560399999999998</v>
          </cell>
        </row>
        <row r="16">
          <cell r="L16">
            <v>-0.36507400000000001</v>
          </cell>
        </row>
        <row r="17">
          <cell r="L17">
            <v>-0.37881500000000001</v>
          </cell>
        </row>
        <row r="18">
          <cell r="L18">
            <v>-0.39791300000000002</v>
          </cell>
        </row>
        <row r="19">
          <cell r="L19">
            <v>-0.429921</v>
          </cell>
        </row>
        <row r="20">
          <cell r="L20">
            <v>-0.45526</v>
          </cell>
        </row>
        <row r="21">
          <cell r="L21">
            <v>-0.45780700000000002</v>
          </cell>
        </row>
        <row r="22">
          <cell r="L22">
            <v>-0.45935500000000001</v>
          </cell>
        </row>
        <row r="23">
          <cell r="L23">
            <v>-0.46277200000000002</v>
          </cell>
        </row>
        <row r="24">
          <cell r="L24">
            <v>-0.46503100000000003</v>
          </cell>
        </row>
        <row r="25">
          <cell r="L25">
            <v>-0.47089300000000001</v>
          </cell>
        </row>
        <row r="26">
          <cell r="L26">
            <v>-0.48467700000000002</v>
          </cell>
        </row>
        <row r="27">
          <cell r="L27">
            <v>-0.49332199999999998</v>
          </cell>
        </row>
        <row r="28">
          <cell r="L28">
            <v>-0.49385499999999999</v>
          </cell>
        </row>
        <row r="29">
          <cell r="L29">
            <v>-0.49511100000000002</v>
          </cell>
        </row>
        <row r="30">
          <cell r="L30">
            <v>-0.49888900000000003</v>
          </cell>
        </row>
        <row r="31">
          <cell r="L31">
            <v>-0.50471699999999997</v>
          </cell>
        </row>
        <row r="32">
          <cell r="L32">
            <v>-0.507579</v>
          </cell>
        </row>
        <row r="33">
          <cell r="L33">
            <v>-0.51539100000000004</v>
          </cell>
        </row>
        <row r="34">
          <cell r="L34">
            <v>-0.52995599999999998</v>
          </cell>
        </row>
        <row r="35">
          <cell r="L35">
            <v>-0.53806600000000004</v>
          </cell>
        </row>
        <row r="36">
          <cell r="L36">
            <v>-0.54793499999999995</v>
          </cell>
        </row>
        <row r="37">
          <cell r="L37">
            <v>-0.55931799999999998</v>
          </cell>
        </row>
        <row r="38">
          <cell r="L38">
            <v>-0.56135000000000002</v>
          </cell>
        </row>
        <row r="39">
          <cell r="L39">
            <v>-0.56518500000000005</v>
          </cell>
        </row>
        <row r="40">
          <cell r="L40">
            <v>-0.57203700000000002</v>
          </cell>
        </row>
        <row r="41">
          <cell r="L41">
            <v>-0.58968600000000004</v>
          </cell>
        </row>
        <row r="42">
          <cell r="L42">
            <v>-0.60023400000000005</v>
          </cell>
        </row>
        <row r="43">
          <cell r="L43">
            <v>-0.62029400000000001</v>
          </cell>
        </row>
        <row r="44">
          <cell r="L44">
            <v>-0.62496200000000002</v>
          </cell>
        </row>
        <row r="45">
          <cell r="L45">
            <v>-0.62587700000000002</v>
          </cell>
        </row>
        <row r="46">
          <cell r="L46">
            <v>-0.62612699999999999</v>
          </cell>
        </row>
        <row r="47">
          <cell r="L47">
            <v>-0.63060099999999997</v>
          </cell>
        </row>
        <row r="48">
          <cell r="L48">
            <v>-0.63245099999999999</v>
          </cell>
        </row>
        <row r="49">
          <cell r="L49">
            <v>-0.63872600000000002</v>
          </cell>
        </row>
        <row r="50">
          <cell r="L50">
            <v>-0.65365600000000001</v>
          </cell>
        </row>
        <row r="51">
          <cell r="L51">
            <v>-0.656057</v>
          </cell>
        </row>
        <row r="52">
          <cell r="L52">
            <v>-0.66080099999999997</v>
          </cell>
        </row>
        <row r="53">
          <cell r="L53">
            <v>-0.66207700000000003</v>
          </cell>
        </row>
        <row r="54">
          <cell r="L54">
            <v>-0.66661300000000001</v>
          </cell>
        </row>
        <row r="55">
          <cell r="L55">
            <v>-0.67633900000000002</v>
          </cell>
        </row>
        <row r="56">
          <cell r="L56">
            <v>-0.67625800000000003</v>
          </cell>
        </row>
        <row r="57">
          <cell r="L57">
            <v>-0.67431600000000003</v>
          </cell>
        </row>
        <row r="58">
          <cell r="L58">
            <v>-0.69751799999999997</v>
          </cell>
        </row>
        <row r="59">
          <cell r="L59">
            <v>-0.70415899999999998</v>
          </cell>
        </row>
        <row r="60">
          <cell r="L60">
            <v>-0.70573600000000003</v>
          </cell>
        </row>
        <row r="61">
          <cell r="L61">
            <v>-0.70694000000000001</v>
          </cell>
        </row>
        <row r="62">
          <cell r="L62">
            <v>-0.71557400000000004</v>
          </cell>
        </row>
        <row r="63">
          <cell r="L63">
            <v>-0.718144</v>
          </cell>
        </row>
        <row r="64">
          <cell r="L64">
            <v>-0.72244200000000003</v>
          </cell>
        </row>
        <row r="65">
          <cell r="L65">
            <v>-0.724217</v>
          </cell>
        </row>
        <row r="66">
          <cell r="L66">
            <v>-0.73489400000000005</v>
          </cell>
        </row>
        <row r="67">
          <cell r="L67">
            <v>-0.76285999999999998</v>
          </cell>
        </row>
        <row r="68">
          <cell r="L68">
            <v>-0.77117400000000003</v>
          </cell>
        </row>
        <row r="69">
          <cell r="L69">
            <v>-0.77307400000000004</v>
          </cell>
        </row>
        <row r="70">
          <cell r="L70">
            <v>-0.77986900000000003</v>
          </cell>
        </row>
        <row r="71">
          <cell r="L71">
            <v>-0.77954500000000004</v>
          </cell>
        </row>
        <row r="72">
          <cell r="L72">
            <v>-0.77705000000000002</v>
          </cell>
        </row>
        <row r="73">
          <cell r="L73">
            <v>-0.79009300000000005</v>
          </cell>
        </row>
        <row r="74">
          <cell r="L74">
            <v>-0.79177299999999995</v>
          </cell>
        </row>
        <row r="75">
          <cell r="L75">
            <v>-0.792319</v>
          </cell>
        </row>
        <row r="76">
          <cell r="L76">
            <v>-0.79396199999999995</v>
          </cell>
        </row>
        <row r="77">
          <cell r="L77">
            <v>-0.79803299999999999</v>
          </cell>
        </row>
        <row r="78">
          <cell r="L78">
            <v>-0.800122</v>
          </cell>
        </row>
        <row r="79">
          <cell r="L79">
            <v>-0.79260399999999998</v>
          </cell>
        </row>
        <row r="80">
          <cell r="L80">
            <v>-0.81621200000000005</v>
          </cell>
        </row>
        <row r="81">
          <cell r="L81">
            <v>-0.82610700000000004</v>
          </cell>
        </row>
        <row r="82">
          <cell r="L82">
            <v>-0.82288499999999998</v>
          </cell>
        </row>
        <row r="83">
          <cell r="L83">
            <v>-0.83368500000000001</v>
          </cell>
        </row>
        <row r="84">
          <cell r="L84">
            <v>-0.83218400000000003</v>
          </cell>
        </row>
        <row r="85">
          <cell r="L85">
            <v>-0.83844700000000005</v>
          </cell>
        </row>
        <row r="86">
          <cell r="L86">
            <v>-0.84558999999999995</v>
          </cell>
        </row>
        <row r="87">
          <cell r="L87">
            <v>-0.84591499999999997</v>
          </cell>
        </row>
        <row r="88">
          <cell r="L88">
            <v>-0.84774700000000003</v>
          </cell>
        </row>
        <row r="89">
          <cell r="L89">
            <v>-0.85247600000000001</v>
          </cell>
        </row>
        <row r="90">
          <cell r="L90">
            <v>-0.85761900000000002</v>
          </cell>
        </row>
        <row r="91">
          <cell r="L91">
            <v>-0.86119299999999999</v>
          </cell>
        </row>
        <row r="92">
          <cell r="L92">
            <v>-0.87098299999999995</v>
          </cell>
        </row>
        <row r="93">
          <cell r="L93">
            <v>-0.86532799999999999</v>
          </cell>
        </row>
        <row r="94">
          <cell r="L94">
            <v>-0.87881799999999999</v>
          </cell>
        </row>
        <row r="95">
          <cell r="L95">
            <v>-0.88364200000000004</v>
          </cell>
        </row>
        <row r="96">
          <cell r="L96">
            <v>-0.875305</v>
          </cell>
        </row>
        <row r="97">
          <cell r="L97">
            <v>-0.88373900000000005</v>
          </cell>
        </row>
        <row r="98">
          <cell r="L98">
            <v>-0.90153899999999998</v>
          </cell>
        </row>
        <row r="99">
          <cell r="L99">
            <v>-0.90561000000000003</v>
          </cell>
        </row>
        <row r="100">
          <cell r="L100">
            <v>-0.89309700000000003</v>
          </cell>
        </row>
        <row r="101">
          <cell r="L101">
            <v>-0.91797399999999996</v>
          </cell>
        </row>
        <row r="102">
          <cell r="L102">
            <v>-0.91516299999999995</v>
          </cell>
        </row>
      </sheetData>
      <sheetData sheetId="5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6">
        <row r="2">
          <cell r="L2">
            <v>0</v>
          </cell>
        </row>
        <row r="3">
          <cell r="L3">
            <v>-7.8879999999999992E-3</v>
          </cell>
        </row>
        <row r="4">
          <cell r="L4">
            <v>-1.1604E-2</v>
          </cell>
          <cell r="O4">
            <v>0</v>
          </cell>
        </row>
        <row r="5">
          <cell r="L5">
            <v>-2.0471E-2</v>
          </cell>
          <cell r="O5">
            <v>1</v>
          </cell>
        </row>
        <row r="6">
          <cell r="L6">
            <v>-2.2873999999999999E-2</v>
          </cell>
          <cell r="O6">
            <v>-0.41546899999999998</v>
          </cell>
        </row>
        <row r="7">
          <cell r="L7">
            <v>-2.9302999999999999E-2</v>
          </cell>
        </row>
        <row r="8">
          <cell r="L8">
            <v>-3.4251999999999998E-2</v>
          </cell>
        </row>
        <row r="9">
          <cell r="L9">
            <v>-4.2308999999999999E-2</v>
          </cell>
        </row>
        <row r="10">
          <cell r="L10">
            <v>-4.7989999999999998E-2</v>
          </cell>
        </row>
        <row r="11">
          <cell r="L11">
            <v>-7.5964000000000004E-2</v>
          </cell>
        </row>
        <row r="12">
          <cell r="L12">
            <v>-7.979E-2</v>
          </cell>
        </row>
        <row r="13">
          <cell r="L13">
            <v>-7.9920000000000005E-2</v>
          </cell>
        </row>
        <row r="14">
          <cell r="L14">
            <v>-8.0893000000000007E-2</v>
          </cell>
        </row>
        <row r="15">
          <cell r="L15">
            <v>-8.6301000000000003E-2</v>
          </cell>
        </row>
        <row r="16">
          <cell r="L16">
            <v>-9.7370999999999999E-2</v>
          </cell>
        </row>
        <row r="17">
          <cell r="L17">
            <v>-0.11755400000000001</v>
          </cell>
        </row>
        <row r="18">
          <cell r="L18">
            <v>-0.14114199999999999</v>
          </cell>
        </row>
        <row r="19">
          <cell r="L19">
            <v>-0.16322300000000001</v>
          </cell>
        </row>
        <row r="20">
          <cell r="L20">
            <v>-0.17177899999999999</v>
          </cell>
        </row>
        <row r="21">
          <cell r="L21">
            <v>-0.189549</v>
          </cell>
        </row>
        <row r="22">
          <cell r="L22">
            <v>-0.195131</v>
          </cell>
        </row>
        <row r="23">
          <cell r="L23">
            <v>-0.19702700000000001</v>
          </cell>
        </row>
        <row r="24">
          <cell r="L24">
            <v>-0.197547</v>
          </cell>
        </row>
        <row r="25">
          <cell r="L25">
            <v>-0.197794</v>
          </cell>
        </row>
        <row r="26">
          <cell r="L26">
            <v>-0.20988699999999999</v>
          </cell>
        </row>
        <row r="27">
          <cell r="L27">
            <v>-0.21371899999999999</v>
          </cell>
        </row>
        <row r="28">
          <cell r="L28">
            <v>-0.21443699999999999</v>
          </cell>
        </row>
        <row r="29">
          <cell r="L29">
            <v>-0.215783</v>
          </cell>
        </row>
        <row r="30">
          <cell r="L30">
            <v>-0.21943399999999999</v>
          </cell>
        </row>
        <row r="31">
          <cell r="L31">
            <v>-0.22095600000000001</v>
          </cell>
        </row>
        <row r="32">
          <cell r="L32">
            <v>-0.222692</v>
          </cell>
        </row>
        <row r="33">
          <cell r="L33">
            <v>-0.227164</v>
          </cell>
        </row>
        <row r="34">
          <cell r="L34">
            <v>-0.235841</v>
          </cell>
        </row>
        <row r="35">
          <cell r="L35">
            <v>-0.28648600000000002</v>
          </cell>
        </row>
        <row r="36">
          <cell r="L36">
            <v>-0.31484299999999998</v>
          </cell>
        </row>
        <row r="37">
          <cell r="L37">
            <v>-0.31833</v>
          </cell>
        </row>
        <row r="38">
          <cell r="L38">
            <v>-0.32130199999999998</v>
          </cell>
        </row>
        <row r="39">
          <cell r="L39">
            <v>-0.329428</v>
          </cell>
        </row>
        <row r="40">
          <cell r="L40">
            <v>-0.33568100000000001</v>
          </cell>
        </row>
        <row r="41">
          <cell r="L41">
            <v>-0.33891300000000002</v>
          </cell>
        </row>
        <row r="42">
          <cell r="L42">
            <v>-0.34255200000000002</v>
          </cell>
        </row>
        <row r="43">
          <cell r="L43">
            <v>-0.34707300000000002</v>
          </cell>
        </row>
        <row r="44">
          <cell r="L44">
            <v>-0.35329700000000003</v>
          </cell>
        </row>
        <row r="45">
          <cell r="L45">
            <v>-0.358153</v>
          </cell>
        </row>
        <row r="46">
          <cell r="L46">
            <v>-0.36092200000000002</v>
          </cell>
        </row>
        <row r="47">
          <cell r="L47">
            <v>-0.36284</v>
          </cell>
        </row>
        <row r="48">
          <cell r="L48">
            <v>-0.36816300000000002</v>
          </cell>
        </row>
        <row r="49">
          <cell r="L49">
            <v>-0.37228699999999998</v>
          </cell>
        </row>
        <row r="50">
          <cell r="L50">
            <v>-0.37517899999999998</v>
          </cell>
        </row>
        <row r="51">
          <cell r="L51">
            <v>-0.38084200000000001</v>
          </cell>
        </row>
        <row r="52">
          <cell r="L52">
            <v>-0.38783400000000001</v>
          </cell>
        </row>
        <row r="53">
          <cell r="L53">
            <v>-0.39255699999999999</v>
          </cell>
        </row>
        <row r="54">
          <cell r="L54">
            <v>-0.39318199999999998</v>
          </cell>
        </row>
        <row r="55">
          <cell r="L55">
            <v>-0.39453700000000003</v>
          </cell>
        </row>
        <row r="56">
          <cell r="L56">
            <v>-0.39701399999999998</v>
          </cell>
        </row>
        <row r="57">
          <cell r="L57">
            <v>-0.39860899999999999</v>
          </cell>
        </row>
        <row r="58">
          <cell r="L58">
            <v>-0.40081600000000001</v>
          </cell>
        </row>
        <row r="59">
          <cell r="L59">
            <v>-0.40521400000000002</v>
          </cell>
        </row>
        <row r="60">
          <cell r="L60">
            <v>-0.40993200000000002</v>
          </cell>
        </row>
        <row r="61">
          <cell r="L61">
            <v>-0.41210599999999997</v>
          </cell>
        </row>
        <row r="62">
          <cell r="L62">
            <v>-0.41546899999999998</v>
          </cell>
        </row>
      </sheetData>
      <sheetData sheetId="7">
        <row r="2">
          <cell r="AA2">
            <v>1</v>
          </cell>
        </row>
        <row r="3">
          <cell r="AA3">
            <v>1</v>
          </cell>
        </row>
        <row r="4">
          <cell r="AA4">
            <v>1</v>
          </cell>
        </row>
      </sheetData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-9.3179999999999999E-3</v>
          </cell>
        </row>
        <row r="4">
          <cell r="L4">
            <v>-1.0853E-2</v>
          </cell>
          <cell r="O4">
            <v>50</v>
          </cell>
        </row>
        <row r="5">
          <cell r="L5">
            <v>-1.2588E-2</v>
          </cell>
          <cell r="O5">
            <v>0.5</v>
          </cell>
        </row>
        <row r="6">
          <cell r="L6">
            <v>-1.7526E-2</v>
          </cell>
          <cell r="O6">
            <v>0.162436</v>
          </cell>
        </row>
        <row r="7">
          <cell r="L7">
            <v>-2.1080999999999999E-2</v>
          </cell>
        </row>
        <row r="8">
          <cell r="L8">
            <v>-6.9220000000000002E-3</v>
          </cell>
        </row>
        <row r="9">
          <cell r="L9">
            <v>-1.5785E-2</v>
          </cell>
        </row>
        <row r="10">
          <cell r="L10">
            <v>-1.9980000000000001E-2</v>
          </cell>
        </row>
        <row r="11">
          <cell r="L11">
            <v>-2.1066000000000001E-2</v>
          </cell>
        </row>
        <row r="12">
          <cell r="L12">
            <v>-3.9449999999999999E-2</v>
          </cell>
        </row>
        <row r="13">
          <cell r="L13">
            <v>-4.6678999999999998E-2</v>
          </cell>
        </row>
        <row r="14">
          <cell r="L14">
            <v>-4.6378999999999997E-2</v>
          </cell>
        </row>
        <row r="15">
          <cell r="L15">
            <v>-3.9671999999999999E-2</v>
          </cell>
        </row>
        <row r="16">
          <cell r="L16">
            <v>-5.2588999999999997E-2</v>
          </cell>
        </row>
        <row r="17">
          <cell r="L17">
            <v>-2.9354000000000002E-2</v>
          </cell>
        </row>
        <row r="18">
          <cell r="L18">
            <v>-4.7882000000000001E-2</v>
          </cell>
        </row>
        <row r="19">
          <cell r="L19">
            <v>-4.598E-2</v>
          </cell>
        </row>
        <row r="20">
          <cell r="L20">
            <v>-4.7808000000000003E-2</v>
          </cell>
        </row>
        <row r="21">
          <cell r="L21">
            <v>-9.9950000000000004E-3</v>
          </cell>
        </row>
        <row r="22">
          <cell r="L22">
            <v>-1.9546000000000001E-2</v>
          </cell>
        </row>
        <row r="23">
          <cell r="L23">
            <v>-1.6983999999999999E-2</v>
          </cell>
        </row>
        <row r="24">
          <cell r="L24">
            <v>-1.0315E-2</v>
          </cell>
        </row>
        <row r="25">
          <cell r="L25">
            <v>-2.0976000000000002E-2</v>
          </cell>
        </row>
        <row r="26">
          <cell r="L26">
            <v>-2.0001000000000001E-2</v>
          </cell>
        </row>
        <row r="27">
          <cell r="L27">
            <v>-1.5453E-2</v>
          </cell>
        </row>
        <row r="28">
          <cell r="L28">
            <v>-6.1479999999999998E-3</v>
          </cell>
        </row>
        <row r="29">
          <cell r="L29">
            <v>-3.323E-3</v>
          </cell>
        </row>
        <row r="30">
          <cell r="L30">
            <v>-4.5000000000000003E-5</v>
          </cell>
        </row>
        <row r="31">
          <cell r="L31">
            <v>6.1390000000000004E-3</v>
          </cell>
        </row>
        <row r="32">
          <cell r="L32">
            <v>8.2279999999999992E-3</v>
          </cell>
        </row>
        <row r="33">
          <cell r="L33">
            <v>-8.6899999999999998E-4</v>
          </cell>
        </row>
        <row r="34">
          <cell r="L34">
            <v>-6.5259999999999997E-3</v>
          </cell>
        </row>
        <row r="35">
          <cell r="L35">
            <v>-1.1679999999999999E-2</v>
          </cell>
        </row>
        <row r="36">
          <cell r="L36">
            <v>-1.3129E-2</v>
          </cell>
        </row>
        <row r="37">
          <cell r="L37">
            <v>-2.3768999999999998E-2</v>
          </cell>
        </row>
        <row r="38">
          <cell r="L38">
            <v>-2.8302999999999998E-2</v>
          </cell>
        </row>
        <row r="39">
          <cell r="L39">
            <v>-2.7129E-2</v>
          </cell>
        </row>
        <row r="40">
          <cell r="L40">
            <v>-2.7827999999999999E-2</v>
          </cell>
        </row>
        <row r="41">
          <cell r="L41">
            <v>-2.6610999999999999E-2</v>
          </cell>
        </row>
        <row r="42">
          <cell r="L42">
            <v>-2.7775000000000001E-2</v>
          </cell>
        </row>
        <row r="43">
          <cell r="L43">
            <v>-3.2689999999999997E-2</v>
          </cell>
        </row>
        <row r="44">
          <cell r="L44">
            <v>-3.3514000000000002E-2</v>
          </cell>
        </row>
        <row r="45">
          <cell r="L45">
            <v>-3.4667999999999997E-2</v>
          </cell>
        </row>
        <row r="46">
          <cell r="L46">
            <v>-3.5410999999999998E-2</v>
          </cell>
        </row>
        <row r="47">
          <cell r="L47">
            <v>-4.1318000000000001E-2</v>
          </cell>
        </row>
        <row r="48">
          <cell r="L48">
            <v>-4.0874000000000001E-2</v>
          </cell>
        </row>
        <row r="49">
          <cell r="L49">
            <v>-4.2936000000000002E-2</v>
          </cell>
        </row>
        <row r="50">
          <cell r="L50">
            <v>-4.0176999999999997E-2</v>
          </cell>
        </row>
        <row r="51">
          <cell r="L51">
            <v>-2.7643999999999998E-2</v>
          </cell>
        </row>
        <row r="52">
          <cell r="L52">
            <v>-3.0033000000000001E-2</v>
          </cell>
        </row>
        <row r="53">
          <cell r="L53">
            <v>-3.0138000000000002E-2</v>
          </cell>
        </row>
        <row r="54">
          <cell r="L54">
            <v>-3.3142999999999999E-2</v>
          </cell>
        </row>
        <row r="55">
          <cell r="L55">
            <v>2.2374999999999999E-2</v>
          </cell>
        </row>
        <row r="56">
          <cell r="L56">
            <v>2.5929000000000001E-2</v>
          </cell>
        </row>
        <row r="57">
          <cell r="L57">
            <v>1.7069999999999998E-2</v>
          </cell>
        </row>
        <row r="58">
          <cell r="L58">
            <v>1.5061E-2</v>
          </cell>
        </row>
        <row r="59">
          <cell r="L59">
            <v>4.2895999999999997E-2</v>
          </cell>
        </row>
        <row r="60">
          <cell r="L60">
            <v>4.9503999999999999E-2</v>
          </cell>
        </row>
        <row r="61">
          <cell r="L61">
            <v>5.1455000000000001E-2</v>
          </cell>
        </row>
        <row r="62">
          <cell r="L62">
            <v>5.8935000000000001E-2</v>
          </cell>
        </row>
        <row r="63">
          <cell r="L63">
            <v>6.0699000000000003E-2</v>
          </cell>
        </row>
        <row r="64">
          <cell r="L64">
            <v>6.1060000000000003E-2</v>
          </cell>
        </row>
        <row r="65">
          <cell r="L65">
            <v>6.2562000000000006E-2</v>
          </cell>
        </row>
        <row r="66">
          <cell r="L66">
            <v>5.9361999999999998E-2</v>
          </cell>
        </row>
        <row r="67">
          <cell r="L67">
            <v>6.0379000000000002E-2</v>
          </cell>
        </row>
        <row r="68">
          <cell r="L68">
            <v>5.5715000000000001E-2</v>
          </cell>
        </row>
        <row r="69">
          <cell r="L69">
            <v>5.4317999999999998E-2</v>
          </cell>
        </row>
        <row r="70">
          <cell r="L70">
            <v>4.7593000000000003E-2</v>
          </cell>
        </row>
        <row r="71">
          <cell r="L71">
            <v>5.5515000000000002E-2</v>
          </cell>
        </row>
        <row r="72">
          <cell r="L72">
            <v>6.1539000000000003E-2</v>
          </cell>
        </row>
        <row r="73">
          <cell r="L73">
            <v>7.4592000000000006E-2</v>
          </cell>
        </row>
        <row r="74">
          <cell r="L74">
            <v>7.5323000000000001E-2</v>
          </cell>
        </row>
        <row r="75">
          <cell r="L75">
            <v>7.6046000000000002E-2</v>
          </cell>
        </row>
        <row r="76">
          <cell r="L76">
            <v>0.111319</v>
          </cell>
        </row>
        <row r="77">
          <cell r="L77">
            <v>9.5822000000000004E-2</v>
          </cell>
        </row>
        <row r="78">
          <cell r="L78">
            <v>9.8323999999999995E-2</v>
          </cell>
        </row>
        <row r="79">
          <cell r="L79">
            <v>9.3106999999999995E-2</v>
          </cell>
        </row>
        <row r="80">
          <cell r="L80">
            <v>8.8272000000000003E-2</v>
          </cell>
        </row>
        <row r="81">
          <cell r="L81">
            <v>8.9530999999999999E-2</v>
          </cell>
        </row>
        <row r="82">
          <cell r="L82">
            <v>0.10573399999999999</v>
          </cell>
        </row>
        <row r="83">
          <cell r="L83">
            <v>0.109475</v>
          </cell>
        </row>
        <row r="84">
          <cell r="L84">
            <v>9.9884000000000001E-2</v>
          </cell>
        </row>
        <row r="85">
          <cell r="L85">
            <v>9.7781999999999994E-2</v>
          </cell>
        </row>
        <row r="86">
          <cell r="L86">
            <v>0.106085</v>
          </cell>
        </row>
        <row r="87">
          <cell r="L87">
            <v>0.104334</v>
          </cell>
        </row>
        <row r="88">
          <cell r="L88">
            <v>0.107295</v>
          </cell>
        </row>
        <row r="89">
          <cell r="L89">
            <v>0.111553</v>
          </cell>
        </row>
        <row r="90">
          <cell r="L90">
            <v>0.103343</v>
          </cell>
        </row>
        <row r="91">
          <cell r="L91">
            <v>0.122047</v>
          </cell>
        </row>
        <row r="92">
          <cell r="L92">
            <v>0.125917</v>
          </cell>
        </row>
        <row r="93">
          <cell r="L93">
            <v>0.122428</v>
          </cell>
        </row>
        <row r="94">
          <cell r="L94">
            <v>0.128557</v>
          </cell>
        </row>
        <row r="95">
          <cell r="L95">
            <v>0.13376399999999999</v>
          </cell>
        </row>
        <row r="96">
          <cell r="L96">
            <v>0.137429</v>
          </cell>
        </row>
        <row r="97">
          <cell r="L97">
            <v>0.141043</v>
          </cell>
        </row>
        <row r="98">
          <cell r="L98">
            <v>0.144069</v>
          </cell>
        </row>
        <row r="99">
          <cell r="L99">
            <v>0.14454700000000001</v>
          </cell>
        </row>
        <row r="100">
          <cell r="L100">
            <v>0.14119399999999999</v>
          </cell>
        </row>
        <row r="101">
          <cell r="L101">
            <v>0.16031799999999999</v>
          </cell>
        </row>
        <row r="102">
          <cell r="L102">
            <v>0.162436</v>
          </cell>
        </row>
      </sheetData>
      <sheetData sheetId="1">
        <row r="2">
          <cell r="AA2">
            <v>0.74</v>
          </cell>
        </row>
        <row r="3">
          <cell r="AA3">
            <v>0</v>
          </cell>
        </row>
        <row r="4">
          <cell r="AA4">
            <v>0.309</v>
          </cell>
        </row>
      </sheetData>
      <sheetData sheetId="2">
        <row r="2">
          <cell r="L2">
            <v>0</v>
          </cell>
        </row>
        <row r="3">
          <cell r="L3">
            <v>-1.495E-3</v>
          </cell>
        </row>
        <row r="4">
          <cell r="L4">
            <v>-2.6719999999999999E-3</v>
          </cell>
          <cell r="O4">
            <v>36</v>
          </cell>
        </row>
        <row r="5">
          <cell r="L5">
            <v>-1.1479999999999999E-3</v>
          </cell>
          <cell r="O5">
            <v>0.4</v>
          </cell>
        </row>
        <row r="6">
          <cell r="L6">
            <v>3.5300000000000002E-4</v>
          </cell>
          <cell r="O6">
            <v>9.6419000000000005E-2</v>
          </cell>
        </row>
        <row r="7">
          <cell r="L7">
            <v>1.0549999999999999E-3</v>
          </cell>
        </row>
        <row r="8">
          <cell r="L8">
            <v>6.9099999999999999E-4</v>
          </cell>
        </row>
        <row r="9">
          <cell r="L9">
            <v>4.7790000000000003E-3</v>
          </cell>
        </row>
        <row r="10">
          <cell r="L10">
            <v>8.9390000000000008E-3</v>
          </cell>
        </row>
        <row r="11">
          <cell r="L11">
            <v>6.5839999999999996E-3</v>
          </cell>
        </row>
        <row r="12">
          <cell r="L12">
            <v>6.8139999999999997E-3</v>
          </cell>
        </row>
        <row r="13">
          <cell r="L13">
            <v>-2.5652999999999999E-2</v>
          </cell>
        </row>
        <row r="14">
          <cell r="L14">
            <v>-2.6804000000000001E-2</v>
          </cell>
        </row>
        <row r="15">
          <cell r="L15">
            <v>-2.6481999999999999E-2</v>
          </cell>
        </row>
        <row r="16">
          <cell r="L16">
            <v>-2.8708000000000001E-2</v>
          </cell>
        </row>
        <row r="17">
          <cell r="L17">
            <v>-2.7289999999999998E-2</v>
          </cell>
        </row>
        <row r="18">
          <cell r="L18">
            <v>-2.5940000000000001E-2</v>
          </cell>
        </row>
        <row r="19">
          <cell r="L19">
            <v>-2.0539000000000002E-2</v>
          </cell>
        </row>
        <row r="20">
          <cell r="L20">
            <v>-1.9852000000000002E-2</v>
          </cell>
        </row>
        <row r="21">
          <cell r="L21">
            <v>-1.5192000000000001E-2</v>
          </cell>
        </row>
        <row r="22">
          <cell r="L22">
            <v>-1.5396E-2</v>
          </cell>
        </row>
        <row r="23">
          <cell r="L23">
            <v>-1.6372000000000001E-2</v>
          </cell>
        </row>
        <row r="24">
          <cell r="L24">
            <v>-1.6806000000000001E-2</v>
          </cell>
        </row>
        <row r="25">
          <cell r="L25">
            <v>-1.3311E-2</v>
          </cell>
        </row>
        <row r="26">
          <cell r="L26">
            <v>-1.6924000000000002E-2</v>
          </cell>
        </row>
        <row r="27">
          <cell r="L27">
            <v>-1.5675000000000001E-2</v>
          </cell>
        </row>
        <row r="28">
          <cell r="L28">
            <v>-1.5442000000000001E-2</v>
          </cell>
        </row>
        <row r="29">
          <cell r="L29">
            <v>-1.8315000000000001E-2</v>
          </cell>
        </row>
        <row r="30">
          <cell r="L30">
            <v>-2.1115999999999999E-2</v>
          </cell>
        </row>
        <row r="31">
          <cell r="L31">
            <v>-2.5978999999999999E-2</v>
          </cell>
        </row>
        <row r="32">
          <cell r="L32">
            <v>-2.8634E-2</v>
          </cell>
        </row>
        <row r="33">
          <cell r="L33">
            <v>-1.9130000000000001E-2</v>
          </cell>
        </row>
        <row r="34">
          <cell r="L34">
            <v>2.9799999999999998E-4</v>
          </cell>
        </row>
        <row r="35">
          <cell r="L35">
            <v>4.6699999999999997E-3</v>
          </cell>
        </row>
        <row r="36">
          <cell r="L36">
            <v>3.5509999999999999E-3</v>
          </cell>
        </row>
        <row r="37">
          <cell r="L37">
            <v>3.7429999999999998E-3</v>
          </cell>
        </row>
        <row r="38">
          <cell r="L38">
            <v>1.5058999999999999E-2</v>
          </cell>
        </row>
        <row r="39">
          <cell r="L39">
            <v>1.2654E-2</v>
          </cell>
        </row>
        <row r="40">
          <cell r="L40">
            <v>1.3336000000000001E-2</v>
          </cell>
        </row>
        <row r="41">
          <cell r="L41">
            <v>1.8072000000000001E-2</v>
          </cell>
        </row>
        <row r="42">
          <cell r="L42">
            <v>1.8776000000000001E-2</v>
          </cell>
        </row>
        <row r="43">
          <cell r="L43">
            <v>1.9113999999999999E-2</v>
          </cell>
        </row>
        <row r="44">
          <cell r="L44">
            <v>1.6187E-2</v>
          </cell>
        </row>
        <row r="45">
          <cell r="L45">
            <v>1.6871000000000001E-2</v>
          </cell>
        </row>
        <row r="46">
          <cell r="L46">
            <v>1.7909999999999999E-2</v>
          </cell>
        </row>
        <row r="47">
          <cell r="L47">
            <v>1.6452000000000001E-2</v>
          </cell>
        </row>
        <row r="48">
          <cell r="L48">
            <v>2.1552999999999999E-2</v>
          </cell>
        </row>
        <row r="49">
          <cell r="L49">
            <v>4.7943E-2</v>
          </cell>
        </row>
        <row r="50">
          <cell r="L50">
            <v>5.9479999999999998E-2</v>
          </cell>
        </row>
        <row r="51">
          <cell r="L51">
            <v>6.9582000000000005E-2</v>
          </cell>
        </row>
        <row r="52">
          <cell r="L52">
            <v>7.7757999999999994E-2</v>
          </cell>
        </row>
        <row r="53">
          <cell r="L53">
            <v>8.6024000000000003E-2</v>
          </cell>
        </row>
        <row r="54">
          <cell r="L54">
            <v>8.6398000000000003E-2</v>
          </cell>
        </row>
        <row r="55">
          <cell r="L55">
            <v>8.9302000000000006E-2</v>
          </cell>
        </row>
        <row r="56">
          <cell r="L56">
            <v>9.1867000000000004E-2</v>
          </cell>
        </row>
        <row r="57">
          <cell r="L57">
            <v>9.2376E-2</v>
          </cell>
        </row>
        <row r="58">
          <cell r="L58">
            <v>9.2766000000000001E-2</v>
          </cell>
        </row>
        <row r="59">
          <cell r="L59">
            <v>8.7731000000000003E-2</v>
          </cell>
        </row>
        <row r="60">
          <cell r="L60">
            <v>9.5506999999999995E-2</v>
          </cell>
        </row>
        <row r="61">
          <cell r="L61">
            <v>9.6909999999999996E-2</v>
          </cell>
        </row>
        <row r="62">
          <cell r="L62">
            <v>9.6419000000000005E-2</v>
          </cell>
        </row>
      </sheetData>
      <sheetData sheetId="3">
        <row r="2">
          <cell r="AA2">
            <v>0.55000000000000004</v>
          </cell>
        </row>
        <row r="3">
          <cell r="AA3">
            <v>0</v>
          </cell>
        </row>
        <row r="4">
          <cell r="AA4">
            <v>0.185</v>
          </cell>
        </row>
      </sheetData>
      <sheetData sheetId="4">
        <row r="2">
          <cell r="L2">
            <v>0</v>
          </cell>
        </row>
        <row r="3">
          <cell r="L3">
            <v>-1.5734000000000001E-2</v>
          </cell>
        </row>
        <row r="4">
          <cell r="L4">
            <v>-1.3063E-2</v>
          </cell>
          <cell r="O4">
            <v>0</v>
          </cell>
        </row>
        <row r="5">
          <cell r="L5">
            <v>-1.3554999999999999E-2</v>
          </cell>
          <cell r="O5">
            <v>1</v>
          </cell>
        </row>
        <row r="6">
          <cell r="L6">
            <v>-3.3798000000000002E-2</v>
          </cell>
          <cell r="O6">
            <v>-0.44068400000000002</v>
          </cell>
        </row>
        <row r="7">
          <cell r="L7">
            <v>-4.8267999999999998E-2</v>
          </cell>
        </row>
        <row r="8">
          <cell r="L8">
            <v>-9.5452999999999996E-2</v>
          </cell>
        </row>
        <row r="9">
          <cell r="L9">
            <v>-8.5568000000000005E-2</v>
          </cell>
        </row>
        <row r="10">
          <cell r="L10">
            <v>-7.5643000000000002E-2</v>
          </cell>
        </row>
        <row r="11">
          <cell r="L11">
            <v>-8.6717000000000002E-2</v>
          </cell>
        </row>
        <row r="12">
          <cell r="L12">
            <v>-0.120589</v>
          </cell>
        </row>
        <row r="13">
          <cell r="L13">
            <v>-0.14333499999999999</v>
          </cell>
        </row>
        <row r="14">
          <cell r="L14">
            <v>-0.14863699999999999</v>
          </cell>
        </row>
        <row r="15">
          <cell r="L15">
            <v>-0.148203</v>
          </cell>
        </row>
        <row r="16">
          <cell r="L16">
            <v>-0.162276</v>
          </cell>
        </row>
        <row r="17">
          <cell r="L17">
            <v>-0.189833</v>
          </cell>
        </row>
        <row r="18">
          <cell r="L18">
            <v>-0.22738800000000001</v>
          </cell>
        </row>
        <row r="19">
          <cell r="L19">
            <v>-0.23896600000000001</v>
          </cell>
        </row>
        <row r="20">
          <cell r="L20">
            <v>-0.24496799999999999</v>
          </cell>
        </row>
        <row r="21">
          <cell r="L21">
            <v>-0.23341600000000001</v>
          </cell>
        </row>
        <row r="22">
          <cell r="L22">
            <v>-0.25357299999999999</v>
          </cell>
        </row>
        <row r="23">
          <cell r="L23">
            <v>-0.25907200000000002</v>
          </cell>
        </row>
        <row r="24">
          <cell r="L24">
            <v>-0.25227899999999998</v>
          </cell>
        </row>
        <row r="25">
          <cell r="L25">
            <v>-0.27203100000000002</v>
          </cell>
        </row>
        <row r="26">
          <cell r="L26">
            <v>-0.27281100000000003</v>
          </cell>
        </row>
        <row r="27">
          <cell r="L27">
            <v>-0.27393299999999998</v>
          </cell>
        </row>
        <row r="28">
          <cell r="L28">
            <v>-0.26982600000000001</v>
          </cell>
        </row>
        <row r="29">
          <cell r="L29">
            <v>-0.26701900000000001</v>
          </cell>
        </row>
        <row r="30">
          <cell r="L30">
            <v>-0.27003899999999997</v>
          </cell>
        </row>
        <row r="31">
          <cell r="L31">
            <v>-0.27214100000000002</v>
          </cell>
        </row>
        <row r="32">
          <cell r="L32">
            <v>-0.27265200000000001</v>
          </cell>
        </row>
        <row r="33">
          <cell r="L33">
            <v>-0.28332499999999999</v>
          </cell>
        </row>
        <row r="34">
          <cell r="L34">
            <v>-0.28884300000000002</v>
          </cell>
        </row>
        <row r="35">
          <cell r="L35">
            <v>-0.28975200000000001</v>
          </cell>
        </row>
        <row r="36">
          <cell r="L36">
            <v>-0.29418</v>
          </cell>
        </row>
        <row r="37">
          <cell r="L37">
            <v>-0.319102</v>
          </cell>
        </row>
        <row r="38">
          <cell r="L38">
            <v>-0.33630399999999999</v>
          </cell>
        </row>
        <row r="39">
          <cell r="L39">
            <v>-0.336092</v>
          </cell>
        </row>
        <row r="40">
          <cell r="L40">
            <v>-0.34945199999999998</v>
          </cell>
        </row>
        <row r="41">
          <cell r="L41">
            <v>-0.35616500000000001</v>
          </cell>
        </row>
        <row r="42">
          <cell r="L42">
            <v>-0.36142800000000003</v>
          </cell>
        </row>
        <row r="43">
          <cell r="L43">
            <v>-0.35291699999999998</v>
          </cell>
        </row>
        <row r="44">
          <cell r="L44">
            <v>-0.37003799999999998</v>
          </cell>
        </row>
        <row r="45">
          <cell r="L45">
            <v>-0.37053399999999997</v>
          </cell>
        </row>
        <row r="46">
          <cell r="L46">
            <v>-0.37006499999999998</v>
          </cell>
        </row>
        <row r="47">
          <cell r="L47">
            <v>-0.37837100000000001</v>
          </cell>
        </row>
        <row r="48">
          <cell r="L48">
            <v>-0.376747</v>
          </cell>
        </row>
        <row r="49">
          <cell r="L49">
            <v>-0.38352000000000003</v>
          </cell>
        </row>
        <row r="50">
          <cell r="L50">
            <v>-0.38162699999999999</v>
          </cell>
        </row>
        <row r="51">
          <cell r="L51">
            <v>-0.38076399999999999</v>
          </cell>
        </row>
        <row r="52">
          <cell r="L52">
            <v>-0.39067600000000002</v>
          </cell>
        </row>
        <row r="53">
          <cell r="L53">
            <v>-0.39542100000000002</v>
          </cell>
        </row>
        <row r="54">
          <cell r="L54">
            <v>-0.40198499999999998</v>
          </cell>
        </row>
        <row r="55">
          <cell r="L55">
            <v>-0.31186000000000003</v>
          </cell>
        </row>
        <row r="56">
          <cell r="L56">
            <v>-0.357846</v>
          </cell>
        </row>
        <row r="57">
          <cell r="L57">
            <v>-0.36921700000000002</v>
          </cell>
        </row>
        <row r="58">
          <cell r="L58">
            <v>-0.371166</v>
          </cell>
        </row>
        <row r="59">
          <cell r="L59">
            <v>-0.35242000000000001</v>
          </cell>
        </row>
        <row r="60">
          <cell r="L60">
            <v>-0.36480899999999999</v>
          </cell>
        </row>
        <row r="61">
          <cell r="L61">
            <v>-0.35788700000000001</v>
          </cell>
        </row>
        <row r="62">
          <cell r="L62">
            <v>-0.36755199999999999</v>
          </cell>
        </row>
        <row r="63">
          <cell r="L63">
            <v>-0.370091</v>
          </cell>
        </row>
        <row r="64">
          <cell r="L64">
            <v>-0.37435400000000002</v>
          </cell>
        </row>
        <row r="65">
          <cell r="L65">
            <v>-0.39008999999999999</v>
          </cell>
        </row>
        <row r="66">
          <cell r="L66">
            <v>-0.39465800000000001</v>
          </cell>
        </row>
        <row r="67">
          <cell r="L67">
            <v>-0.39640599999999998</v>
          </cell>
        </row>
        <row r="68">
          <cell r="L68">
            <v>-0.40073700000000001</v>
          </cell>
        </row>
        <row r="69">
          <cell r="L69">
            <v>-0.40597899999999998</v>
          </cell>
        </row>
        <row r="70">
          <cell r="L70">
            <v>-0.40537000000000001</v>
          </cell>
        </row>
        <row r="71">
          <cell r="L71">
            <v>-0.41119800000000001</v>
          </cell>
        </row>
        <row r="72">
          <cell r="L72">
            <v>-0.40496799999999999</v>
          </cell>
        </row>
        <row r="73">
          <cell r="L73">
            <v>-0.406694</v>
          </cell>
        </row>
        <row r="74">
          <cell r="L74">
            <v>-0.40088800000000002</v>
          </cell>
        </row>
        <row r="75">
          <cell r="L75">
            <v>-0.416018</v>
          </cell>
        </row>
        <row r="76">
          <cell r="L76">
            <v>-0.43066599999999999</v>
          </cell>
        </row>
        <row r="77">
          <cell r="L77">
            <v>-0.44941500000000001</v>
          </cell>
        </row>
        <row r="78">
          <cell r="L78">
            <v>-0.45130700000000001</v>
          </cell>
        </row>
        <row r="79">
          <cell r="L79">
            <v>-0.46677800000000003</v>
          </cell>
        </row>
        <row r="80">
          <cell r="L80">
            <v>-0.473715</v>
          </cell>
        </row>
        <row r="81">
          <cell r="L81">
            <v>-0.48229499999999997</v>
          </cell>
        </row>
        <row r="82">
          <cell r="L82">
            <v>-0.41634100000000002</v>
          </cell>
        </row>
        <row r="83">
          <cell r="L83">
            <v>-0.42707200000000001</v>
          </cell>
        </row>
        <row r="84">
          <cell r="L84">
            <v>-0.44168499999999999</v>
          </cell>
        </row>
        <row r="85">
          <cell r="L85">
            <v>-0.44497799999999998</v>
          </cell>
        </row>
        <row r="86">
          <cell r="L86">
            <v>-0.4531</v>
          </cell>
        </row>
        <row r="87">
          <cell r="L87">
            <v>-0.457565</v>
          </cell>
        </row>
        <row r="88">
          <cell r="L88">
            <v>-0.44041599999999997</v>
          </cell>
        </row>
        <row r="89">
          <cell r="L89">
            <v>-0.43694699999999997</v>
          </cell>
        </row>
        <row r="90">
          <cell r="L90">
            <v>-0.426425</v>
          </cell>
        </row>
        <row r="91">
          <cell r="L91">
            <v>-0.430309</v>
          </cell>
        </row>
        <row r="92">
          <cell r="L92">
            <v>-0.43513099999999999</v>
          </cell>
        </row>
        <row r="93">
          <cell r="L93">
            <v>-0.42313800000000001</v>
          </cell>
        </row>
        <row r="94">
          <cell r="L94">
            <v>-0.42731400000000003</v>
          </cell>
        </row>
        <row r="95">
          <cell r="L95">
            <v>-0.42382900000000001</v>
          </cell>
        </row>
        <row r="96">
          <cell r="L96">
            <v>-0.43321700000000002</v>
          </cell>
        </row>
        <row r="97">
          <cell r="L97">
            <v>-0.43373299999999998</v>
          </cell>
        </row>
        <row r="98">
          <cell r="L98">
            <v>-0.43235600000000002</v>
          </cell>
        </row>
        <row r="99">
          <cell r="L99">
            <v>-0.43615799999999999</v>
          </cell>
        </row>
        <row r="100">
          <cell r="L100">
            <v>-0.42712299999999997</v>
          </cell>
        </row>
        <row r="101">
          <cell r="L101">
            <v>-0.43299100000000001</v>
          </cell>
        </row>
        <row r="102">
          <cell r="L102">
            <v>-0.44068400000000002</v>
          </cell>
        </row>
      </sheetData>
      <sheetData sheetId="5">
        <row r="2">
          <cell r="AA2">
            <v>1</v>
          </cell>
        </row>
        <row r="3">
          <cell r="AA3">
            <v>0.96</v>
          </cell>
        </row>
        <row r="4">
          <cell r="AA4">
            <v>0.997</v>
          </cell>
        </row>
      </sheetData>
      <sheetData sheetId="6">
        <row r="2">
          <cell r="L2">
            <v>0</v>
          </cell>
        </row>
        <row r="3">
          <cell r="L3">
            <v>-7.2189999999999997E-3</v>
          </cell>
        </row>
        <row r="4">
          <cell r="L4">
            <v>-5.8269999999999997E-3</v>
          </cell>
          <cell r="O4">
            <v>0</v>
          </cell>
        </row>
        <row r="5">
          <cell r="L5">
            <v>-8.43E-3</v>
          </cell>
          <cell r="O5">
            <v>1</v>
          </cell>
        </row>
        <row r="6">
          <cell r="L6">
            <v>-2.2259999999999999E-2</v>
          </cell>
          <cell r="O6">
            <v>-0.17890400000000001</v>
          </cell>
        </row>
        <row r="7">
          <cell r="L7">
            <v>-3.2001000000000002E-2</v>
          </cell>
        </row>
        <row r="8">
          <cell r="L8">
            <v>-3.3612000000000003E-2</v>
          </cell>
        </row>
        <row r="9">
          <cell r="L9">
            <v>-3.6899000000000001E-2</v>
          </cell>
        </row>
        <row r="10">
          <cell r="L10">
            <v>-3.4890999999999998E-2</v>
          </cell>
        </row>
        <row r="11">
          <cell r="L11">
            <v>-3.7919000000000001E-2</v>
          </cell>
        </row>
        <row r="12">
          <cell r="L12">
            <v>-4.3111999999999998E-2</v>
          </cell>
        </row>
        <row r="13">
          <cell r="L13">
            <v>-5.6356999999999997E-2</v>
          </cell>
        </row>
        <row r="14">
          <cell r="L14">
            <v>-6.7514000000000005E-2</v>
          </cell>
        </row>
        <row r="15">
          <cell r="L15">
            <v>-7.0569000000000007E-2</v>
          </cell>
        </row>
        <row r="16">
          <cell r="L16">
            <v>-7.7058000000000001E-2</v>
          </cell>
        </row>
        <row r="17">
          <cell r="L17">
            <v>-7.7331999999999998E-2</v>
          </cell>
        </row>
        <row r="18">
          <cell r="L18">
            <v>-7.9989000000000005E-2</v>
          </cell>
        </row>
        <row r="19">
          <cell r="L19">
            <v>-8.4690000000000001E-2</v>
          </cell>
        </row>
        <row r="20">
          <cell r="L20">
            <v>-8.5593000000000002E-2</v>
          </cell>
        </row>
        <row r="21">
          <cell r="L21">
            <v>-9.1720999999999997E-2</v>
          </cell>
        </row>
        <row r="22">
          <cell r="L22">
            <v>-9.6692E-2</v>
          </cell>
        </row>
        <row r="23">
          <cell r="L23">
            <v>-0.108691</v>
          </cell>
        </row>
        <row r="24">
          <cell r="L24">
            <v>-0.113274</v>
          </cell>
        </row>
        <row r="25">
          <cell r="L25">
            <v>-0.111166</v>
          </cell>
        </row>
        <row r="26">
          <cell r="L26">
            <v>-0.11551400000000001</v>
          </cell>
        </row>
        <row r="27">
          <cell r="L27">
            <v>-0.11304500000000001</v>
          </cell>
        </row>
        <row r="28">
          <cell r="L28">
            <v>-0.11397400000000001</v>
          </cell>
        </row>
        <row r="29">
          <cell r="L29">
            <v>-0.121244</v>
          </cell>
        </row>
        <row r="30">
          <cell r="L30">
            <v>-0.14388699999999999</v>
          </cell>
        </row>
        <row r="31">
          <cell r="L31">
            <v>-0.150584</v>
          </cell>
        </row>
        <row r="32">
          <cell r="L32">
            <v>-0.155172</v>
          </cell>
        </row>
        <row r="33">
          <cell r="L33">
            <v>-0.145731</v>
          </cell>
        </row>
        <row r="34">
          <cell r="L34">
            <v>-0.13223599999999999</v>
          </cell>
        </row>
        <row r="35">
          <cell r="L35">
            <v>-0.13333900000000001</v>
          </cell>
        </row>
        <row r="36">
          <cell r="L36">
            <v>-0.13767599999999999</v>
          </cell>
        </row>
        <row r="37">
          <cell r="L37">
            <v>-0.14336299999999999</v>
          </cell>
        </row>
        <row r="38">
          <cell r="L38">
            <v>-0.15054300000000001</v>
          </cell>
        </row>
        <row r="39">
          <cell r="L39">
            <v>-0.159526</v>
          </cell>
        </row>
        <row r="40">
          <cell r="L40">
            <v>-0.163993</v>
          </cell>
        </row>
        <row r="41">
          <cell r="L41">
            <v>-0.15911400000000001</v>
          </cell>
        </row>
        <row r="42">
          <cell r="L42">
            <v>-0.16500400000000001</v>
          </cell>
        </row>
        <row r="43">
          <cell r="L43">
            <v>-0.16710800000000001</v>
          </cell>
        </row>
        <row r="44">
          <cell r="L44">
            <v>-0.178982</v>
          </cell>
        </row>
        <row r="45">
          <cell r="L45">
            <v>-0.18194199999999999</v>
          </cell>
        </row>
        <row r="46">
          <cell r="L46">
            <v>-0.188053</v>
          </cell>
        </row>
        <row r="47">
          <cell r="L47">
            <v>-0.193605</v>
          </cell>
        </row>
        <row r="48">
          <cell r="L48">
            <v>-0.19383700000000001</v>
          </cell>
        </row>
        <row r="49">
          <cell r="L49">
            <v>-0.16966100000000001</v>
          </cell>
        </row>
        <row r="50">
          <cell r="L50">
            <v>-0.16001599999999999</v>
          </cell>
        </row>
        <row r="51">
          <cell r="L51">
            <v>-0.166495</v>
          </cell>
        </row>
        <row r="52">
          <cell r="L52">
            <v>-0.173738</v>
          </cell>
        </row>
        <row r="53">
          <cell r="L53">
            <v>-0.17608399999999999</v>
          </cell>
        </row>
        <row r="54">
          <cell r="L54">
            <v>-0.17602000000000001</v>
          </cell>
        </row>
        <row r="55">
          <cell r="L55">
            <v>-0.16924</v>
          </cell>
        </row>
        <row r="56">
          <cell r="L56">
            <v>-0.16928000000000001</v>
          </cell>
        </row>
        <row r="57">
          <cell r="L57">
            <v>-0.170852</v>
          </cell>
        </row>
        <row r="58">
          <cell r="L58">
            <v>-0.1729</v>
          </cell>
        </row>
        <row r="59">
          <cell r="L59">
            <v>-0.171263</v>
          </cell>
        </row>
        <row r="60">
          <cell r="L60">
            <v>-0.17676</v>
          </cell>
        </row>
        <row r="61">
          <cell r="L61">
            <v>-0.17849899999999999</v>
          </cell>
        </row>
        <row r="62">
          <cell r="L62">
            <v>-0.17890400000000001</v>
          </cell>
        </row>
      </sheetData>
      <sheetData sheetId="7">
        <row r="2">
          <cell r="AA2">
            <v>1</v>
          </cell>
        </row>
        <row r="3">
          <cell r="AA3">
            <v>0.95</v>
          </cell>
        </row>
        <row r="4">
          <cell r="AA4">
            <v>0.99333300000000002</v>
          </cell>
        </row>
      </sheetData>
      <sheetData sheetId="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-5.2490000000000002E-3</v>
          </cell>
        </row>
        <row r="4">
          <cell r="L4">
            <v>7.1599999999999997E-3</v>
          </cell>
          <cell r="O4">
            <v>99</v>
          </cell>
        </row>
        <row r="5">
          <cell r="L5">
            <v>1.5192000000000001E-2</v>
          </cell>
          <cell r="O5">
            <v>0.01</v>
          </cell>
        </row>
        <row r="6">
          <cell r="L6">
            <v>2.8309000000000001E-2</v>
          </cell>
          <cell r="O6">
            <v>0.63500100000000004</v>
          </cell>
        </row>
        <row r="7">
          <cell r="L7">
            <v>3.5070999999999998E-2</v>
          </cell>
        </row>
        <row r="8">
          <cell r="L8">
            <v>4.9421E-2</v>
          </cell>
        </row>
        <row r="9">
          <cell r="L9">
            <v>8.0213000000000007E-2</v>
          </cell>
        </row>
        <row r="10">
          <cell r="L10">
            <v>8.4445000000000006E-2</v>
          </cell>
        </row>
        <row r="11">
          <cell r="L11">
            <v>0.100092</v>
          </cell>
        </row>
        <row r="12">
          <cell r="L12">
            <v>6.5850000000000006E-2</v>
          </cell>
        </row>
        <row r="13">
          <cell r="L13">
            <v>5.7867000000000002E-2</v>
          </cell>
        </row>
        <row r="14">
          <cell r="L14">
            <v>6.1587000000000003E-2</v>
          </cell>
        </row>
        <row r="15">
          <cell r="L15">
            <v>7.1028999999999995E-2</v>
          </cell>
        </row>
        <row r="16">
          <cell r="L16">
            <v>6.7166000000000003E-2</v>
          </cell>
        </row>
        <row r="17">
          <cell r="L17">
            <v>7.9406000000000004E-2</v>
          </cell>
        </row>
        <row r="18">
          <cell r="L18">
            <v>6.2477999999999999E-2</v>
          </cell>
        </row>
        <row r="19">
          <cell r="L19">
            <v>7.3012999999999995E-2</v>
          </cell>
        </row>
        <row r="20">
          <cell r="L20">
            <v>7.9757999999999996E-2</v>
          </cell>
        </row>
        <row r="21">
          <cell r="L21">
            <v>0.105588</v>
          </cell>
        </row>
        <row r="22">
          <cell r="L22">
            <v>9.4738000000000003E-2</v>
          </cell>
        </row>
        <row r="23">
          <cell r="L23">
            <v>0.102505</v>
          </cell>
        </row>
        <row r="24">
          <cell r="L24">
            <v>0.11047999999999999</v>
          </cell>
        </row>
        <row r="25">
          <cell r="L25">
            <v>9.8691000000000001E-2</v>
          </cell>
        </row>
        <row r="26">
          <cell r="L26">
            <v>0.10564999999999999</v>
          </cell>
        </row>
        <row r="27">
          <cell r="L27">
            <v>0.111945</v>
          </cell>
        </row>
        <row r="28">
          <cell r="L28">
            <v>0.115171</v>
          </cell>
        </row>
        <row r="29">
          <cell r="L29">
            <v>0.117871</v>
          </cell>
        </row>
        <row r="30">
          <cell r="L30">
            <v>0.120675</v>
          </cell>
        </row>
        <row r="31">
          <cell r="L31">
            <v>0.12311900000000001</v>
          </cell>
        </row>
        <row r="32">
          <cell r="L32">
            <v>0.127057</v>
          </cell>
        </row>
        <row r="33">
          <cell r="L33">
            <v>0.113438</v>
          </cell>
        </row>
        <row r="34">
          <cell r="L34">
            <v>0.117108</v>
          </cell>
        </row>
        <row r="35">
          <cell r="L35">
            <v>0.1245</v>
          </cell>
        </row>
        <row r="36">
          <cell r="L36">
            <v>0.12596099999999999</v>
          </cell>
        </row>
        <row r="37">
          <cell r="L37">
            <v>0.121764</v>
          </cell>
        </row>
        <row r="38">
          <cell r="L38">
            <v>0.128524</v>
          </cell>
        </row>
        <row r="39">
          <cell r="L39">
            <v>0.12557599999999999</v>
          </cell>
        </row>
        <row r="40">
          <cell r="L40">
            <v>0.128887</v>
          </cell>
        </row>
        <row r="41">
          <cell r="L41">
            <v>0.13667099999999999</v>
          </cell>
        </row>
        <row r="42">
          <cell r="L42">
            <v>0.13573499999999999</v>
          </cell>
        </row>
        <row r="43">
          <cell r="L43">
            <v>0.19484899999999999</v>
          </cell>
        </row>
        <row r="44">
          <cell r="L44">
            <v>0.203815</v>
          </cell>
        </row>
        <row r="45">
          <cell r="L45">
            <v>0.200625</v>
          </cell>
        </row>
        <row r="46">
          <cell r="L46">
            <v>0.206012</v>
          </cell>
        </row>
        <row r="47">
          <cell r="L47">
            <v>0.20074800000000001</v>
          </cell>
        </row>
        <row r="48">
          <cell r="L48">
            <v>0.20503299999999999</v>
          </cell>
        </row>
        <row r="49">
          <cell r="L49">
            <v>0.202769</v>
          </cell>
        </row>
        <row r="50">
          <cell r="L50">
            <v>0.208699</v>
          </cell>
        </row>
        <row r="51">
          <cell r="L51">
            <v>0.21421899999999999</v>
          </cell>
        </row>
        <row r="52">
          <cell r="L52">
            <v>0.21872</v>
          </cell>
        </row>
        <row r="53">
          <cell r="L53">
            <v>0.225801</v>
          </cell>
        </row>
        <row r="54">
          <cell r="L54">
            <v>0.30847400000000003</v>
          </cell>
        </row>
        <row r="55">
          <cell r="L55">
            <v>0.28419699999999998</v>
          </cell>
        </row>
        <row r="56">
          <cell r="L56">
            <v>0.33141500000000002</v>
          </cell>
        </row>
        <row r="57">
          <cell r="L57">
            <v>0.31403799999999998</v>
          </cell>
        </row>
        <row r="58">
          <cell r="L58">
            <v>0.32128899999999999</v>
          </cell>
        </row>
        <row r="59">
          <cell r="L59">
            <v>0.32102700000000001</v>
          </cell>
        </row>
        <row r="60">
          <cell r="L60">
            <v>0.330374</v>
          </cell>
        </row>
        <row r="61">
          <cell r="L61">
            <v>0.34197100000000002</v>
          </cell>
        </row>
        <row r="62">
          <cell r="L62">
            <v>0.3468</v>
          </cell>
        </row>
        <row r="63">
          <cell r="L63">
            <v>0.36074800000000001</v>
          </cell>
        </row>
        <row r="64">
          <cell r="L64">
            <v>0.36591699999999999</v>
          </cell>
        </row>
        <row r="65">
          <cell r="L65">
            <v>0.37637999999999999</v>
          </cell>
        </row>
        <row r="66">
          <cell r="L66">
            <v>0.37632500000000002</v>
          </cell>
        </row>
        <row r="67">
          <cell r="L67">
            <v>0.38875399999999999</v>
          </cell>
        </row>
        <row r="68">
          <cell r="L68">
            <v>0.37870900000000002</v>
          </cell>
        </row>
        <row r="69">
          <cell r="L69">
            <v>0.40211599999999997</v>
          </cell>
        </row>
        <row r="70">
          <cell r="L70">
            <v>0.40451700000000002</v>
          </cell>
        </row>
        <row r="71">
          <cell r="L71">
            <v>0.416018</v>
          </cell>
        </row>
        <row r="72">
          <cell r="L72">
            <v>0.42566500000000002</v>
          </cell>
        </row>
        <row r="73">
          <cell r="L73">
            <v>0.42970199999999997</v>
          </cell>
        </row>
        <row r="74">
          <cell r="L74">
            <v>0.44411499999999998</v>
          </cell>
        </row>
        <row r="75">
          <cell r="L75">
            <v>0.44234299999999999</v>
          </cell>
        </row>
        <row r="76">
          <cell r="L76">
            <v>0.49212099999999998</v>
          </cell>
        </row>
        <row r="77">
          <cell r="L77">
            <v>0.47420699999999999</v>
          </cell>
        </row>
        <row r="78">
          <cell r="L78">
            <v>0.50737100000000002</v>
          </cell>
        </row>
        <row r="79">
          <cell r="L79">
            <v>0.48810199999999998</v>
          </cell>
        </row>
        <row r="80">
          <cell r="L80">
            <v>0.49603999999999998</v>
          </cell>
        </row>
        <row r="81">
          <cell r="L81">
            <v>0.53128600000000004</v>
          </cell>
        </row>
        <row r="82">
          <cell r="L82">
            <v>0.54409399999999997</v>
          </cell>
        </row>
        <row r="83">
          <cell r="L83">
            <v>0.54697300000000004</v>
          </cell>
        </row>
        <row r="84">
          <cell r="L84">
            <v>0.544516</v>
          </cell>
        </row>
        <row r="85">
          <cell r="L85">
            <v>0.55118400000000001</v>
          </cell>
        </row>
        <row r="86">
          <cell r="L86">
            <v>0.55884400000000001</v>
          </cell>
        </row>
        <row r="87">
          <cell r="L87">
            <v>0.55345999999999995</v>
          </cell>
        </row>
        <row r="88">
          <cell r="L88">
            <v>0.56017700000000004</v>
          </cell>
        </row>
        <row r="89">
          <cell r="L89">
            <v>0.568025</v>
          </cell>
        </row>
        <row r="90">
          <cell r="L90">
            <v>0.57296899999999995</v>
          </cell>
        </row>
        <row r="91">
          <cell r="L91">
            <v>0.58307299999999995</v>
          </cell>
        </row>
        <row r="92">
          <cell r="L92">
            <v>0.59253900000000004</v>
          </cell>
        </row>
        <row r="93">
          <cell r="L93">
            <v>0.59165100000000004</v>
          </cell>
        </row>
        <row r="94">
          <cell r="L94">
            <v>0.60252499999999998</v>
          </cell>
        </row>
        <row r="95">
          <cell r="L95">
            <v>0.60724100000000003</v>
          </cell>
        </row>
        <row r="96">
          <cell r="L96">
            <v>0.62207400000000002</v>
          </cell>
        </row>
        <row r="97">
          <cell r="L97">
            <v>0.63089300000000004</v>
          </cell>
        </row>
        <row r="98">
          <cell r="L98">
            <v>0.63802499999999995</v>
          </cell>
        </row>
        <row r="99">
          <cell r="L99">
            <v>0.63839599999999996</v>
          </cell>
        </row>
        <row r="100">
          <cell r="L100">
            <v>0.63594600000000001</v>
          </cell>
        </row>
        <row r="101">
          <cell r="L101">
            <v>0.64354900000000004</v>
          </cell>
        </row>
        <row r="102">
          <cell r="L102">
            <v>0.63500100000000004</v>
          </cell>
        </row>
      </sheetData>
      <sheetData sheetId="1">
        <row r="2">
          <cell r="AA2">
            <v>0.11</v>
          </cell>
        </row>
        <row r="3">
          <cell r="AA3">
            <v>0</v>
          </cell>
        </row>
        <row r="4">
          <cell r="AA4">
            <v>2.1333000000000001E-2</v>
          </cell>
        </row>
      </sheetData>
      <sheetData sheetId="2">
        <row r="2">
          <cell r="L2">
            <v>0</v>
          </cell>
        </row>
        <row r="3">
          <cell r="L3">
            <v>1.9449999999999999E-3</v>
          </cell>
        </row>
        <row r="4">
          <cell r="L4">
            <v>2.1440000000000001E-3</v>
          </cell>
          <cell r="O4">
            <v>60</v>
          </cell>
        </row>
        <row r="5">
          <cell r="L5">
            <v>4.3940000000000003E-3</v>
          </cell>
          <cell r="O5">
            <v>0</v>
          </cell>
        </row>
        <row r="6">
          <cell r="L6">
            <v>2.2399999999999998E-3</v>
          </cell>
          <cell r="O6">
            <v>0.42116999999999999</v>
          </cell>
        </row>
        <row r="7">
          <cell r="L7">
            <v>6.7019999999999996E-3</v>
          </cell>
        </row>
        <row r="8">
          <cell r="L8">
            <v>1.1735000000000001E-2</v>
          </cell>
        </row>
        <row r="9">
          <cell r="L9">
            <v>2.7451E-2</v>
          </cell>
        </row>
        <row r="10">
          <cell r="L10">
            <v>3.2015000000000002E-2</v>
          </cell>
        </row>
        <row r="11">
          <cell r="L11">
            <v>3.1175999999999999E-2</v>
          </cell>
        </row>
        <row r="12">
          <cell r="L12">
            <v>3.2273000000000003E-2</v>
          </cell>
        </row>
        <row r="13">
          <cell r="L13">
            <v>3.4784000000000002E-2</v>
          </cell>
        </row>
        <row r="14">
          <cell r="L14">
            <v>3.9548E-2</v>
          </cell>
        </row>
        <row r="15">
          <cell r="L15">
            <v>4.7010999999999997E-2</v>
          </cell>
        </row>
        <row r="16">
          <cell r="L16">
            <v>4.8541000000000001E-2</v>
          </cell>
        </row>
        <row r="17">
          <cell r="L17">
            <v>8.5813E-2</v>
          </cell>
        </row>
        <row r="18">
          <cell r="L18">
            <v>9.7591999999999998E-2</v>
          </cell>
        </row>
        <row r="19">
          <cell r="L19">
            <v>0.10303</v>
          </cell>
        </row>
        <row r="20">
          <cell r="L20">
            <v>0.11613800000000001</v>
          </cell>
        </row>
        <row r="21">
          <cell r="L21">
            <v>0.121431</v>
          </cell>
        </row>
        <row r="22">
          <cell r="L22">
            <v>0.14605000000000001</v>
          </cell>
        </row>
        <row r="23">
          <cell r="L23">
            <v>0.15310299999999999</v>
          </cell>
        </row>
        <row r="24">
          <cell r="L24">
            <v>0.15758900000000001</v>
          </cell>
        </row>
        <row r="25">
          <cell r="L25">
            <v>0.16983699999999999</v>
          </cell>
        </row>
        <row r="26">
          <cell r="L26">
            <v>0.17802499999999999</v>
          </cell>
        </row>
        <row r="27">
          <cell r="L27">
            <v>0.18258099999999999</v>
          </cell>
        </row>
        <row r="28">
          <cell r="L28">
            <v>0.18820799999999999</v>
          </cell>
        </row>
        <row r="29">
          <cell r="L29">
            <v>0.202094</v>
          </cell>
        </row>
        <row r="30">
          <cell r="L30">
            <v>0.204761</v>
          </cell>
        </row>
        <row r="31">
          <cell r="L31">
            <v>0.20827799999999999</v>
          </cell>
        </row>
        <row r="32">
          <cell r="L32">
            <v>0.21335699999999999</v>
          </cell>
        </row>
        <row r="33">
          <cell r="L33">
            <v>0.218667</v>
          </cell>
        </row>
        <row r="34">
          <cell r="L34">
            <v>0.23479700000000001</v>
          </cell>
        </row>
        <row r="35">
          <cell r="L35">
            <v>0.24238899999999999</v>
          </cell>
        </row>
        <row r="36">
          <cell r="L36">
            <v>0.23803099999999999</v>
          </cell>
        </row>
        <row r="37">
          <cell r="L37">
            <v>0.25052799999999997</v>
          </cell>
        </row>
        <row r="38">
          <cell r="L38">
            <v>0.26857599999999998</v>
          </cell>
        </row>
        <row r="39">
          <cell r="L39">
            <v>0.27857300000000002</v>
          </cell>
        </row>
        <row r="40">
          <cell r="L40">
            <v>0.290408</v>
          </cell>
        </row>
        <row r="41">
          <cell r="L41">
            <v>0.29247499999999998</v>
          </cell>
        </row>
        <row r="42">
          <cell r="L42">
            <v>0.30130200000000001</v>
          </cell>
        </row>
        <row r="43">
          <cell r="L43">
            <v>0.30486600000000003</v>
          </cell>
        </row>
        <row r="44">
          <cell r="L44">
            <v>0.293655</v>
          </cell>
        </row>
        <row r="45">
          <cell r="L45">
            <v>0.30556800000000001</v>
          </cell>
        </row>
        <row r="46">
          <cell r="L46">
            <v>0.31105100000000002</v>
          </cell>
        </row>
        <row r="47">
          <cell r="L47">
            <v>0.318602</v>
          </cell>
        </row>
        <row r="48">
          <cell r="L48">
            <v>0.31409700000000002</v>
          </cell>
        </row>
        <row r="49">
          <cell r="L49">
            <v>0.32858300000000001</v>
          </cell>
        </row>
        <row r="50">
          <cell r="L50">
            <v>0.35207500000000003</v>
          </cell>
        </row>
        <row r="51">
          <cell r="L51">
            <v>0.361321</v>
          </cell>
        </row>
        <row r="52">
          <cell r="L52">
            <v>0.379021</v>
          </cell>
        </row>
        <row r="53">
          <cell r="L53">
            <v>0.39266299999999998</v>
          </cell>
        </row>
        <row r="54">
          <cell r="L54">
            <v>0.4002</v>
          </cell>
        </row>
        <row r="55">
          <cell r="L55">
            <v>0.39915800000000001</v>
          </cell>
        </row>
        <row r="56">
          <cell r="L56">
            <v>0.39275900000000002</v>
          </cell>
        </row>
        <row r="57">
          <cell r="L57">
            <v>0.39822999999999997</v>
          </cell>
        </row>
        <row r="58">
          <cell r="L58">
            <v>0.40564499999999998</v>
          </cell>
        </row>
        <row r="59">
          <cell r="L59">
            <v>0.40190100000000001</v>
          </cell>
        </row>
        <row r="60">
          <cell r="L60">
            <v>0.40599499999999999</v>
          </cell>
        </row>
        <row r="61">
          <cell r="L61">
            <v>0.415765</v>
          </cell>
        </row>
        <row r="62">
          <cell r="L62">
            <v>0.42116999999999999</v>
          </cell>
        </row>
      </sheetData>
      <sheetData sheetId="3">
        <row r="2">
          <cell r="AA2">
            <v>6.6667000000000004E-2</v>
          </cell>
        </row>
        <row r="3">
          <cell r="AA3">
            <v>0</v>
          </cell>
        </row>
        <row r="4">
          <cell r="AA4">
            <v>1.6667000000000001E-2</v>
          </cell>
        </row>
      </sheetData>
      <sheetData sheetId="4">
        <row r="2">
          <cell r="L2">
            <v>0</v>
          </cell>
        </row>
        <row r="3">
          <cell r="L3">
            <v>-2.0303999999999999E-2</v>
          </cell>
        </row>
        <row r="4">
          <cell r="L4">
            <v>-1.3058999999999999E-2</v>
          </cell>
          <cell r="O4">
            <v>33</v>
          </cell>
        </row>
        <row r="5">
          <cell r="L5">
            <v>-4.6649999999999999E-3</v>
          </cell>
          <cell r="O5">
            <v>0.67</v>
          </cell>
        </row>
        <row r="6">
          <cell r="L6">
            <v>-5.5659999999999998E-3</v>
          </cell>
          <cell r="O6">
            <v>6.9775000000000004E-2</v>
          </cell>
        </row>
        <row r="7">
          <cell r="L7">
            <v>9.3069999999999993E-3</v>
          </cell>
        </row>
        <row r="8">
          <cell r="L8">
            <v>5.2310000000000004E-3</v>
          </cell>
        </row>
        <row r="9">
          <cell r="L9">
            <v>8.2410000000000001E-3</v>
          </cell>
        </row>
        <row r="10">
          <cell r="L10">
            <v>2.9402999999999999E-2</v>
          </cell>
        </row>
        <row r="11">
          <cell r="L11">
            <v>1.6726999999999999E-2</v>
          </cell>
        </row>
        <row r="12">
          <cell r="L12">
            <v>7.3889999999999997E-3</v>
          </cell>
        </row>
        <row r="13">
          <cell r="L13">
            <v>6.6909999999999999E-3</v>
          </cell>
        </row>
        <row r="14">
          <cell r="L14">
            <v>1.0485E-2</v>
          </cell>
        </row>
        <row r="15">
          <cell r="L15">
            <v>1.8696999999999998E-2</v>
          </cell>
        </row>
        <row r="16">
          <cell r="L16">
            <v>9.5849999999999998E-3</v>
          </cell>
        </row>
        <row r="17">
          <cell r="L17">
            <v>-2.6930000000000001E-3</v>
          </cell>
        </row>
        <row r="18">
          <cell r="L18">
            <v>-2.1205999999999999E-2</v>
          </cell>
        </row>
        <row r="19">
          <cell r="L19">
            <v>-2.9763000000000001E-2</v>
          </cell>
        </row>
        <row r="20">
          <cell r="L20">
            <v>-3.0703999999999999E-2</v>
          </cell>
        </row>
        <row r="21">
          <cell r="L21">
            <v>-2.134E-3</v>
          </cell>
        </row>
        <row r="22">
          <cell r="L22">
            <v>-1.9303000000000001E-2</v>
          </cell>
        </row>
        <row r="23">
          <cell r="L23">
            <v>-2.4183E-2</v>
          </cell>
        </row>
        <row r="24">
          <cell r="L24">
            <v>-2.3046000000000001E-2</v>
          </cell>
        </row>
        <row r="25">
          <cell r="L25">
            <v>-5.8039E-2</v>
          </cell>
        </row>
        <row r="26">
          <cell r="L26">
            <v>-5.8484000000000001E-2</v>
          </cell>
        </row>
        <row r="27">
          <cell r="L27">
            <v>-5.3749999999999999E-2</v>
          </cell>
        </row>
        <row r="28">
          <cell r="L28">
            <v>-4.8759999999999998E-2</v>
          </cell>
        </row>
        <row r="29">
          <cell r="L29">
            <v>-4.6587999999999997E-2</v>
          </cell>
        </row>
        <row r="30">
          <cell r="L30">
            <v>-4.7965000000000001E-2</v>
          </cell>
        </row>
        <row r="31">
          <cell r="L31">
            <v>-6.0118999999999999E-2</v>
          </cell>
        </row>
        <row r="32">
          <cell r="L32">
            <v>-6.3903000000000001E-2</v>
          </cell>
        </row>
        <row r="33">
          <cell r="L33">
            <v>-6.8384E-2</v>
          </cell>
        </row>
        <row r="34">
          <cell r="L34">
            <v>-8.9385000000000006E-2</v>
          </cell>
        </row>
        <row r="35">
          <cell r="L35">
            <v>-7.2875999999999996E-2</v>
          </cell>
        </row>
        <row r="36">
          <cell r="L36">
            <v>-7.3363999999999999E-2</v>
          </cell>
        </row>
        <row r="37">
          <cell r="L37">
            <v>-9.5570000000000002E-2</v>
          </cell>
        </row>
        <row r="38">
          <cell r="L38">
            <v>-0.101383</v>
          </cell>
        </row>
        <row r="39">
          <cell r="L39">
            <v>-8.2279000000000005E-2</v>
          </cell>
        </row>
        <row r="40">
          <cell r="L40">
            <v>-8.4191000000000002E-2</v>
          </cell>
        </row>
        <row r="41">
          <cell r="L41">
            <v>-8.8909000000000002E-2</v>
          </cell>
        </row>
        <row r="42">
          <cell r="L42">
            <v>-0.10782</v>
          </cell>
        </row>
        <row r="43">
          <cell r="L43">
            <v>-0.101594</v>
          </cell>
        </row>
        <row r="44">
          <cell r="L44">
            <v>-0.124485</v>
          </cell>
        </row>
        <row r="45">
          <cell r="L45">
            <v>-0.108751</v>
          </cell>
        </row>
        <row r="46">
          <cell r="L46">
            <v>-0.107922</v>
          </cell>
        </row>
        <row r="47">
          <cell r="L47">
            <v>-0.120559</v>
          </cell>
        </row>
        <row r="48">
          <cell r="L48">
            <v>-0.114122</v>
          </cell>
        </row>
        <row r="49">
          <cell r="L49">
            <v>-0.121337</v>
          </cell>
        </row>
        <row r="50">
          <cell r="L50">
            <v>-0.119409</v>
          </cell>
        </row>
        <row r="51">
          <cell r="L51">
            <v>-0.108686</v>
          </cell>
        </row>
        <row r="52">
          <cell r="L52">
            <v>-0.114054</v>
          </cell>
        </row>
        <row r="53">
          <cell r="L53">
            <v>-0.12651100000000001</v>
          </cell>
        </row>
        <row r="54">
          <cell r="L54">
            <v>-0.134438</v>
          </cell>
        </row>
        <row r="55">
          <cell r="L55">
            <v>-8.6398000000000003E-2</v>
          </cell>
        </row>
        <row r="56">
          <cell r="L56">
            <v>-0.100436</v>
          </cell>
        </row>
        <row r="57">
          <cell r="L57">
            <v>-0.115412</v>
          </cell>
        </row>
        <row r="58">
          <cell r="L58">
            <v>-0.117686</v>
          </cell>
        </row>
        <row r="59">
          <cell r="L59">
            <v>-0.107598</v>
          </cell>
        </row>
        <row r="60">
          <cell r="L60">
            <v>-0.106504</v>
          </cell>
        </row>
        <row r="61">
          <cell r="L61">
            <v>-9.2794000000000001E-2</v>
          </cell>
        </row>
        <row r="62">
          <cell r="L62">
            <v>-6.5976000000000007E-2</v>
          </cell>
        </row>
        <row r="63">
          <cell r="L63">
            <v>-5.2629000000000002E-2</v>
          </cell>
        </row>
        <row r="64">
          <cell r="L64">
            <v>-6.0479999999999999E-2</v>
          </cell>
        </row>
        <row r="65">
          <cell r="L65">
            <v>-6.2746999999999997E-2</v>
          </cell>
        </row>
        <row r="66">
          <cell r="L66">
            <v>-7.8989000000000004E-2</v>
          </cell>
        </row>
        <row r="67">
          <cell r="L67">
            <v>-7.6716000000000006E-2</v>
          </cell>
        </row>
        <row r="68">
          <cell r="L68">
            <v>-7.2704000000000005E-2</v>
          </cell>
        </row>
        <row r="69">
          <cell r="L69">
            <v>-7.5568999999999997E-2</v>
          </cell>
        </row>
        <row r="70">
          <cell r="L70">
            <v>-5.7995999999999999E-2</v>
          </cell>
        </row>
        <row r="71">
          <cell r="L71">
            <v>-6.0617999999999998E-2</v>
          </cell>
        </row>
        <row r="72">
          <cell r="L72">
            <v>-5.9741000000000002E-2</v>
          </cell>
        </row>
        <row r="73">
          <cell r="L73">
            <v>-4.3645000000000003E-2</v>
          </cell>
        </row>
        <row r="74">
          <cell r="L74">
            <v>-4.1007000000000002E-2</v>
          </cell>
        </row>
        <row r="75">
          <cell r="L75">
            <v>-4.2762000000000001E-2</v>
          </cell>
        </row>
        <row r="76">
          <cell r="L76">
            <v>-4.4399000000000001E-2</v>
          </cell>
        </row>
        <row r="77">
          <cell r="L77">
            <v>-3.3730999999999997E-2</v>
          </cell>
        </row>
        <row r="78">
          <cell r="L78">
            <v>-3.2643999999999999E-2</v>
          </cell>
        </row>
        <row r="79">
          <cell r="L79">
            <v>-4.5187999999999999E-2</v>
          </cell>
        </row>
        <row r="80">
          <cell r="L80">
            <v>6.6904000000000005E-2</v>
          </cell>
        </row>
        <row r="81">
          <cell r="L81">
            <v>7.4081999999999995E-2</v>
          </cell>
        </row>
        <row r="82">
          <cell r="L82">
            <v>9.2656000000000002E-2</v>
          </cell>
        </row>
        <row r="83">
          <cell r="L83">
            <v>9.8668000000000006E-2</v>
          </cell>
        </row>
        <row r="84">
          <cell r="L84">
            <v>8.1077999999999997E-2</v>
          </cell>
        </row>
        <row r="85">
          <cell r="L85">
            <v>8.2649E-2</v>
          </cell>
        </row>
        <row r="86">
          <cell r="L86">
            <v>8.1383999999999998E-2</v>
          </cell>
        </row>
        <row r="87">
          <cell r="L87">
            <v>6.7173999999999998E-2</v>
          </cell>
        </row>
        <row r="88">
          <cell r="L88">
            <v>6.7695000000000005E-2</v>
          </cell>
        </row>
        <row r="89">
          <cell r="L89">
            <v>6.9697999999999996E-2</v>
          </cell>
        </row>
        <row r="90">
          <cell r="L90">
            <v>7.8076000000000007E-2</v>
          </cell>
        </row>
        <row r="91">
          <cell r="L91">
            <v>8.0380999999999994E-2</v>
          </cell>
        </row>
        <row r="92">
          <cell r="L92">
            <v>6.1731000000000001E-2</v>
          </cell>
        </row>
        <row r="93">
          <cell r="L93">
            <v>5.5640000000000002E-2</v>
          </cell>
        </row>
        <row r="94">
          <cell r="L94">
            <v>5.3870000000000001E-2</v>
          </cell>
        </row>
        <row r="95">
          <cell r="L95">
            <v>7.0969000000000004E-2</v>
          </cell>
        </row>
        <row r="96">
          <cell r="L96">
            <v>7.2206999999999993E-2</v>
          </cell>
        </row>
        <row r="97">
          <cell r="L97">
            <v>6.7349000000000006E-2</v>
          </cell>
        </row>
        <row r="98">
          <cell r="L98">
            <v>6.6743999999999998E-2</v>
          </cell>
        </row>
        <row r="99">
          <cell r="L99">
            <v>7.3735999999999996E-2</v>
          </cell>
        </row>
        <row r="100">
          <cell r="L100">
            <v>7.7481999999999995E-2</v>
          </cell>
        </row>
        <row r="101">
          <cell r="L101">
            <v>7.4167999999999998E-2</v>
          </cell>
        </row>
        <row r="102">
          <cell r="L102">
            <v>6.9775000000000004E-2</v>
          </cell>
        </row>
      </sheetData>
      <sheetData sheetId="5">
        <row r="2">
          <cell r="AA2">
            <v>0.96</v>
          </cell>
        </row>
        <row r="3">
          <cell r="AA3">
            <v>0.06</v>
          </cell>
        </row>
        <row r="4">
          <cell r="AA4">
            <v>0.60199999999999998</v>
          </cell>
        </row>
      </sheetData>
      <sheetData sheetId="6">
        <row r="2">
          <cell r="L2">
            <v>0</v>
          </cell>
        </row>
        <row r="3">
          <cell r="L3">
            <v>-1.472E-3</v>
          </cell>
        </row>
        <row r="4">
          <cell r="L4">
            <v>-1.3780000000000001E-3</v>
          </cell>
          <cell r="O4">
            <v>52</v>
          </cell>
        </row>
        <row r="5">
          <cell r="L5">
            <v>1.853E-3</v>
          </cell>
          <cell r="O5">
            <v>0.13333300000000001</v>
          </cell>
        </row>
        <row r="6">
          <cell r="L6">
            <v>-3.2959999999999999E-3</v>
          </cell>
          <cell r="O6">
            <v>0.215975</v>
          </cell>
        </row>
        <row r="7">
          <cell r="L7">
            <v>-3.0560000000000001E-3</v>
          </cell>
        </row>
        <row r="8">
          <cell r="L8">
            <v>-1.0532E-2</v>
          </cell>
        </row>
        <row r="9">
          <cell r="L9">
            <v>-9.665E-3</v>
          </cell>
        </row>
        <row r="10">
          <cell r="L10">
            <v>-4.4749999999999998E-3</v>
          </cell>
        </row>
        <row r="11">
          <cell r="L11">
            <v>7.6969999999999998E-3</v>
          </cell>
        </row>
        <row r="12">
          <cell r="L12">
            <v>1.5893999999999998E-2</v>
          </cell>
        </row>
        <row r="13">
          <cell r="L13">
            <v>1.4033E-2</v>
          </cell>
        </row>
        <row r="14">
          <cell r="L14">
            <v>1.0581E-2</v>
          </cell>
        </row>
        <row r="15">
          <cell r="L15">
            <v>1.0969E-2</v>
          </cell>
        </row>
        <row r="16">
          <cell r="L16">
            <v>0</v>
          </cell>
        </row>
        <row r="17">
          <cell r="L17">
            <v>1.0536E-2</v>
          </cell>
        </row>
        <row r="18">
          <cell r="L18">
            <v>2.1277999999999998E-2</v>
          </cell>
        </row>
        <row r="19">
          <cell r="L19">
            <v>4.6861E-2</v>
          </cell>
        </row>
        <row r="20">
          <cell r="L20">
            <v>5.2589999999999998E-2</v>
          </cell>
        </row>
        <row r="21">
          <cell r="L21">
            <v>6.5235000000000001E-2</v>
          </cell>
        </row>
        <row r="22">
          <cell r="L22">
            <v>6.6442000000000001E-2</v>
          </cell>
        </row>
        <row r="23">
          <cell r="L23">
            <v>6.4312999999999995E-2</v>
          </cell>
        </row>
        <row r="24">
          <cell r="L24">
            <v>6.9587999999999997E-2</v>
          </cell>
        </row>
        <row r="25">
          <cell r="L25">
            <v>8.2907999999999996E-2</v>
          </cell>
        </row>
        <row r="26">
          <cell r="L26">
            <v>8.6197999999999997E-2</v>
          </cell>
        </row>
        <row r="27">
          <cell r="L27">
            <v>6.9441000000000003E-2</v>
          </cell>
        </row>
        <row r="28">
          <cell r="L28">
            <v>6.9395999999999999E-2</v>
          </cell>
        </row>
        <row r="29">
          <cell r="L29">
            <v>6.9236000000000006E-2</v>
          </cell>
        </row>
        <row r="30">
          <cell r="L30">
            <v>6.7687999999999998E-2</v>
          </cell>
        </row>
        <row r="31">
          <cell r="L31">
            <v>6.8999000000000005E-2</v>
          </cell>
        </row>
        <row r="32">
          <cell r="L32">
            <v>6.7761000000000002E-2</v>
          </cell>
        </row>
        <row r="33">
          <cell r="L33">
            <v>7.1275000000000005E-2</v>
          </cell>
        </row>
        <row r="34">
          <cell r="L34">
            <v>7.0657999999999999E-2</v>
          </cell>
        </row>
        <row r="35">
          <cell r="L35">
            <v>7.7148999999999995E-2</v>
          </cell>
        </row>
        <row r="36">
          <cell r="L36">
            <v>8.6301000000000003E-2</v>
          </cell>
        </row>
        <row r="37">
          <cell r="L37">
            <v>9.6214999999999995E-2</v>
          </cell>
        </row>
        <row r="38">
          <cell r="L38">
            <v>0.117894</v>
          </cell>
        </row>
        <row r="39">
          <cell r="L39">
            <v>0.13295899999999999</v>
          </cell>
        </row>
        <row r="40">
          <cell r="L40">
            <v>0.14346300000000001</v>
          </cell>
        </row>
        <row r="41">
          <cell r="L41">
            <v>0.15639</v>
          </cell>
        </row>
        <row r="42">
          <cell r="L42">
            <v>0.15718599999999999</v>
          </cell>
        </row>
        <row r="43">
          <cell r="L43">
            <v>0.15993299999999999</v>
          </cell>
        </row>
        <row r="44">
          <cell r="L44">
            <v>0.169795</v>
          </cell>
        </row>
        <row r="45">
          <cell r="L45">
            <v>0.165879</v>
          </cell>
        </row>
        <row r="46">
          <cell r="L46">
            <v>0.16811000000000001</v>
          </cell>
        </row>
        <row r="47">
          <cell r="L47">
            <v>0.16908200000000001</v>
          </cell>
        </row>
        <row r="48">
          <cell r="L48">
            <v>0.17610000000000001</v>
          </cell>
        </row>
        <row r="49">
          <cell r="L49">
            <v>0.17097200000000001</v>
          </cell>
        </row>
        <row r="50">
          <cell r="L50">
            <v>0.19316</v>
          </cell>
        </row>
        <row r="51">
          <cell r="L51">
            <v>0.21457699999999999</v>
          </cell>
        </row>
        <row r="52">
          <cell r="L52">
            <v>0.221882</v>
          </cell>
        </row>
        <row r="53">
          <cell r="L53">
            <v>0.22846</v>
          </cell>
        </row>
        <row r="54">
          <cell r="L54">
            <v>0.22062399999999999</v>
          </cell>
        </row>
        <row r="55">
          <cell r="L55">
            <v>0.22093099999999999</v>
          </cell>
        </row>
        <row r="56">
          <cell r="L56">
            <v>0.21768199999999999</v>
          </cell>
        </row>
        <row r="57">
          <cell r="L57">
            <v>0.22333700000000001</v>
          </cell>
        </row>
        <row r="58">
          <cell r="L58">
            <v>0.221831</v>
          </cell>
        </row>
        <row r="59">
          <cell r="L59">
            <v>0.22576299999999999</v>
          </cell>
        </row>
        <row r="60">
          <cell r="L60">
            <v>0.21896499999999999</v>
          </cell>
        </row>
        <row r="61">
          <cell r="L61">
            <v>0.205315</v>
          </cell>
        </row>
        <row r="62">
          <cell r="L62">
            <v>0.215975</v>
          </cell>
        </row>
      </sheetData>
      <sheetData sheetId="7">
        <row r="2">
          <cell r="AA2">
            <v>0.41666700000000001</v>
          </cell>
        </row>
        <row r="3">
          <cell r="AA3">
            <v>0</v>
          </cell>
        </row>
        <row r="4">
          <cell r="AA4">
            <v>0.124167</v>
          </cell>
        </row>
      </sheetData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-2.4510000000000001E-3</v>
          </cell>
        </row>
        <row r="4">
          <cell r="L4">
            <v>1.1884E-2</v>
          </cell>
          <cell r="O4">
            <v>99</v>
          </cell>
        </row>
        <row r="5">
          <cell r="L5">
            <v>2.2433999999999999E-2</v>
          </cell>
          <cell r="O5">
            <v>0.01</v>
          </cell>
        </row>
        <row r="6">
          <cell r="L6">
            <v>2.8645E-2</v>
          </cell>
          <cell r="O6">
            <v>1.184159</v>
          </cell>
        </row>
        <row r="7">
          <cell r="L7">
            <v>2.8160999999999999E-2</v>
          </cell>
        </row>
        <row r="8">
          <cell r="L8">
            <v>5.3718000000000002E-2</v>
          </cell>
        </row>
        <row r="9">
          <cell r="L9">
            <v>7.1142999999999998E-2</v>
          </cell>
        </row>
        <row r="10">
          <cell r="L10">
            <v>0.107639</v>
          </cell>
        </row>
        <row r="11">
          <cell r="L11">
            <v>0.10738300000000001</v>
          </cell>
        </row>
        <row r="12">
          <cell r="L12">
            <v>9.6988000000000005E-2</v>
          </cell>
        </row>
        <row r="13">
          <cell r="L13">
            <v>0.10176200000000001</v>
          </cell>
        </row>
        <row r="14">
          <cell r="L14">
            <v>0.113991</v>
          </cell>
        </row>
        <row r="15">
          <cell r="L15">
            <v>0.12338499999999999</v>
          </cell>
        </row>
        <row r="16">
          <cell r="L16">
            <v>0.13576199999999999</v>
          </cell>
        </row>
        <row r="17">
          <cell r="L17">
            <v>0.14128399999999999</v>
          </cell>
        </row>
        <row r="18">
          <cell r="L18">
            <v>0.13669500000000001</v>
          </cell>
        </row>
        <row r="19">
          <cell r="L19">
            <v>0.154807</v>
          </cell>
        </row>
        <row r="20">
          <cell r="L20">
            <v>0.15759300000000001</v>
          </cell>
        </row>
        <row r="21">
          <cell r="L21">
            <v>0.207429</v>
          </cell>
        </row>
        <row r="22">
          <cell r="L22">
            <v>0.21809500000000001</v>
          </cell>
        </row>
        <row r="23">
          <cell r="L23">
            <v>0.23571700000000001</v>
          </cell>
        </row>
        <row r="24">
          <cell r="L24">
            <v>0.239872</v>
          </cell>
        </row>
        <row r="25">
          <cell r="L25">
            <v>0.23655000000000001</v>
          </cell>
        </row>
        <row r="26">
          <cell r="L26">
            <v>0.245362</v>
          </cell>
        </row>
        <row r="27">
          <cell r="L27">
            <v>0.25524799999999997</v>
          </cell>
        </row>
        <row r="28">
          <cell r="L28">
            <v>0.26035799999999998</v>
          </cell>
        </row>
        <row r="29">
          <cell r="L29">
            <v>0.26405899999999999</v>
          </cell>
        </row>
        <row r="30">
          <cell r="L30">
            <v>0.269015</v>
          </cell>
        </row>
        <row r="31">
          <cell r="L31">
            <v>0.26631199999999999</v>
          </cell>
        </row>
        <row r="32">
          <cell r="L32">
            <v>0.27022499999999999</v>
          </cell>
        </row>
        <row r="33">
          <cell r="L33">
            <v>0.23195199999999999</v>
          </cell>
        </row>
        <row r="34">
          <cell r="L34">
            <v>0.26221</v>
          </cell>
        </row>
        <row r="35">
          <cell r="L35">
            <v>0.28851199999999999</v>
          </cell>
        </row>
        <row r="36">
          <cell r="L36">
            <v>0.301709</v>
          </cell>
        </row>
        <row r="37">
          <cell r="L37">
            <v>0.30737900000000001</v>
          </cell>
        </row>
        <row r="38">
          <cell r="L38">
            <v>0.32834600000000003</v>
          </cell>
        </row>
        <row r="39">
          <cell r="L39">
            <v>0.35467199999999999</v>
          </cell>
        </row>
        <row r="40">
          <cell r="L40">
            <v>0.35590699999999997</v>
          </cell>
        </row>
        <row r="41">
          <cell r="L41">
            <v>0.36472599999999999</v>
          </cell>
        </row>
        <row r="42">
          <cell r="L42">
            <v>0.35811599999999999</v>
          </cell>
        </row>
        <row r="43">
          <cell r="L43">
            <v>0.41824099999999997</v>
          </cell>
        </row>
        <row r="44">
          <cell r="L44">
            <v>0.52417100000000005</v>
          </cell>
        </row>
        <row r="45">
          <cell r="L45">
            <v>0.54527300000000001</v>
          </cell>
        </row>
        <row r="46">
          <cell r="L46">
            <v>0.56424399999999997</v>
          </cell>
        </row>
        <row r="47">
          <cell r="L47">
            <v>0.57348200000000005</v>
          </cell>
        </row>
        <row r="48">
          <cell r="L48">
            <v>0.568963</v>
          </cell>
        </row>
        <row r="49">
          <cell r="L49">
            <v>0.54309099999999999</v>
          </cell>
        </row>
        <row r="50">
          <cell r="L50">
            <v>0.60112699999999997</v>
          </cell>
        </row>
        <row r="51">
          <cell r="L51">
            <v>0.61368199999999995</v>
          </cell>
        </row>
        <row r="52">
          <cell r="L52">
            <v>0.628081</v>
          </cell>
        </row>
        <row r="53">
          <cell r="L53">
            <v>0.61524699999999999</v>
          </cell>
        </row>
        <row r="54">
          <cell r="L54">
            <v>0.62869200000000003</v>
          </cell>
        </row>
        <row r="55">
          <cell r="L55">
            <v>0.64075099999999996</v>
          </cell>
        </row>
        <row r="56">
          <cell r="L56">
            <v>0.70641600000000004</v>
          </cell>
        </row>
        <row r="57">
          <cell r="L57">
            <v>0.69401599999999997</v>
          </cell>
        </row>
        <row r="58">
          <cell r="L58">
            <v>0.76440699999999995</v>
          </cell>
        </row>
        <row r="59">
          <cell r="L59">
            <v>0.75295800000000002</v>
          </cell>
        </row>
        <row r="60">
          <cell r="L60">
            <v>0.792076</v>
          </cell>
        </row>
        <row r="61">
          <cell r="L61">
            <v>0.77905000000000002</v>
          </cell>
        </row>
        <row r="62">
          <cell r="L62">
            <v>0.79566000000000003</v>
          </cell>
        </row>
        <row r="63">
          <cell r="L63">
            <v>0.83451600000000004</v>
          </cell>
        </row>
        <row r="64">
          <cell r="L64">
            <v>0.80309399999999997</v>
          </cell>
        </row>
        <row r="65">
          <cell r="L65">
            <v>0.85183900000000001</v>
          </cell>
        </row>
        <row r="66">
          <cell r="L66">
            <v>0.83539200000000002</v>
          </cell>
        </row>
        <row r="67">
          <cell r="L67">
            <v>0.83699699999999999</v>
          </cell>
        </row>
        <row r="68">
          <cell r="L68">
            <v>0.85359700000000005</v>
          </cell>
        </row>
        <row r="69">
          <cell r="L69">
            <v>0.77638200000000002</v>
          </cell>
        </row>
        <row r="70">
          <cell r="L70">
            <v>0.84915099999999999</v>
          </cell>
        </row>
        <row r="71">
          <cell r="L71">
            <v>0.86057700000000004</v>
          </cell>
        </row>
        <row r="72">
          <cell r="L72">
            <v>0.88351100000000005</v>
          </cell>
        </row>
        <row r="73">
          <cell r="L73">
            <v>0.84964399999999995</v>
          </cell>
        </row>
        <row r="74">
          <cell r="L74">
            <v>0.86213700000000004</v>
          </cell>
        </row>
        <row r="75">
          <cell r="L75">
            <v>0.84266300000000005</v>
          </cell>
        </row>
        <row r="76">
          <cell r="L76">
            <v>0.82652199999999998</v>
          </cell>
        </row>
        <row r="77">
          <cell r="L77">
            <v>0.86860800000000005</v>
          </cell>
        </row>
        <row r="78">
          <cell r="L78">
            <v>0.91643600000000003</v>
          </cell>
        </row>
        <row r="79">
          <cell r="L79">
            <v>0.90746400000000005</v>
          </cell>
        </row>
        <row r="80">
          <cell r="L80">
            <v>0.91834300000000002</v>
          </cell>
        </row>
        <row r="81">
          <cell r="L81">
            <v>0.96022799999999997</v>
          </cell>
        </row>
        <row r="82">
          <cell r="L82">
            <v>0.87646500000000005</v>
          </cell>
        </row>
        <row r="83">
          <cell r="L83">
            <v>0.96570500000000004</v>
          </cell>
        </row>
        <row r="84">
          <cell r="L84">
            <v>0.97822100000000001</v>
          </cell>
        </row>
        <row r="85">
          <cell r="L85">
            <v>0.98761299999999996</v>
          </cell>
        </row>
        <row r="86">
          <cell r="L86">
            <v>0.96814299999999998</v>
          </cell>
        </row>
        <row r="87">
          <cell r="L87">
            <v>0.98411499999999996</v>
          </cell>
        </row>
        <row r="88">
          <cell r="L88">
            <v>1.036805</v>
          </cell>
        </row>
        <row r="89">
          <cell r="L89">
            <v>1.0459830000000001</v>
          </cell>
        </row>
        <row r="90">
          <cell r="L90">
            <v>1.0277620000000001</v>
          </cell>
        </row>
        <row r="91">
          <cell r="L91">
            <v>1.0671550000000001</v>
          </cell>
        </row>
        <row r="92">
          <cell r="L92">
            <v>1.102125</v>
          </cell>
        </row>
        <row r="93">
          <cell r="L93">
            <v>1.09918</v>
          </cell>
        </row>
        <row r="94">
          <cell r="L94">
            <v>1.113081</v>
          </cell>
        </row>
        <row r="95">
          <cell r="L95">
            <v>1.1096710000000001</v>
          </cell>
        </row>
        <row r="96">
          <cell r="L96">
            <v>1.1525879999999999</v>
          </cell>
        </row>
        <row r="97">
          <cell r="L97">
            <v>1.1414569999999999</v>
          </cell>
        </row>
        <row r="98">
          <cell r="L98">
            <v>1.154752</v>
          </cell>
        </row>
        <row r="99">
          <cell r="L99">
            <v>1.1572480000000001</v>
          </cell>
        </row>
        <row r="100">
          <cell r="L100">
            <v>1.146768</v>
          </cell>
        </row>
        <row r="101">
          <cell r="L101">
            <v>1.146579</v>
          </cell>
        </row>
        <row r="102">
          <cell r="L102">
            <v>1.184159</v>
          </cell>
        </row>
      </sheetData>
      <sheetData sheetId="1">
        <row r="2">
          <cell r="AA2">
            <v>0.04</v>
          </cell>
        </row>
        <row r="3">
          <cell r="AA3">
            <v>0</v>
          </cell>
        </row>
        <row r="4">
          <cell r="AA4">
            <v>1.1332999999999999E-2</v>
          </cell>
        </row>
      </sheetData>
      <sheetData sheetId="2">
        <row r="2">
          <cell r="L2">
            <v>0</v>
          </cell>
        </row>
        <row r="3">
          <cell r="L3">
            <v>4.1799999999999997E-3</v>
          </cell>
        </row>
        <row r="4">
          <cell r="L4">
            <v>1.4801999999999999E-2</v>
          </cell>
          <cell r="O4">
            <v>60</v>
          </cell>
        </row>
        <row r="5">
          <cell r="L5">
            <v>1.3573E-2</v>
          </cell>
          <cell r="O5">
            <v>0</v>
          </cell>
        </row>
        <row r="6">
          <cell r="L6">
            <v>1.8563E-2</v>
          </cell>
          <cell r="O6">
            <v>0.60755499999999996</v>
          </cell>
        </row>
        <row r="7">
          <cell r="L7">
            <v>2.5566999999999999E-2</v>
          </cell>
        </row>
        <row r="8">
          <cell r="L8">
            <v>2.8908E-2</v>
          </cell>
        </row>
        <row r="9">
          <cell r="L9">
            <v>3.7224E-2</v>
          </cell>
        </row>
        <row r="10">
          <cell r="L10">
            <v>4.8515999999999997E-2</v>
          </cell>
        </row>
        <row r="11">
          <cell r="L11">
            <v>6.5047999999999995E-2</v>
          </cell>
        </row>
        <row r="12">
          <cell r="L12">
            <v>7.5636999999999996E-2</v>
          </cell>
        </row>
        <row r="13">
          <cell r="L13">
            <v>7.0250000000000007E-2</v>
          </cell>
        </row>
        <row r="14">
          <cell r="L14">
            <v>9.0315999999999994E-2</v>
          </cell>
        </row>
        <row r="15">
          <cell r="L15">
            <v>9.3588000000000005E-2</v>
          </cell>
        </row>
        <row r="16">
          <cell r="L16">
            <v>9.7489999999999993E-2</v>
          </cell>
        </row>
        <row r="17">
          <cell r="L17">
            <v>0.11698799999999999</v>
          </cell>
        </row>
        <row r="18">
          <cell r="L18">
            <v>0.15542900000000001</v>
          </cell>
        </row>
        <row r="19">
          <cell r="L19">
            <v>0.16450799999999999</v>
          </cell>
        </row>
        <row r="20">
          <cell r="L20">
            <v>0.183809</v>
          </cell>
        </row>
        <row r="21">
          <cell r="L21">
            <v>0.17698700000000001</v>
          </cell>
        </row>
        <row r="22">
          <cell r="L22">
            <v>0.20260300000000001</v>
          </cell>
        </row>
        <row r="23">
          <cell r="L23">
            <v>0.211426</v>
          </cell>
        </row>
        <row r="24">
          <cell r="L24">
            <v>0.21424499999999999</v>
          </cell>
        </row>
        <row r="25">
          <cell r="L25">
            <v>0.221058</v>
          </cell>
        </row>
        <row r="26">
          <cell r="L26">
            <v>0.22803100000000001</v>
          </cell>
        </row>
        <row r="27">
          <cell r="L27">
            <v>0.230237</v>
          </cell>
        </row>
        <row r="28">
          <cell r="L28">
            <v>0.23192599999999999</v>
          </cell>
        </row>
        <row r="29">
          <cell r="L29">
            <v>0.26610400000000001</v>
          </cell>
        </row>
        <row r="30">
          <cell r="L30">
            <v>0.31089</v>
          </cell>
        </row>
        <row r="31">
          <cell r="L31">
            <v>0.32564500000000002</v>
          </cell>
        </row>
        <row r="32">
          <cell r="L32">
            <v>0.33793499999999999</v>
          </cell>
        </row>
        <row r="33">
          <cell r="L33">
            <v>0.35170499999999999</v>
          </cell>
        </row>
        <row r="34">
          <cell r="L34">
            <v>0.35990800000000001</v>
          </cell>
        </row>
        <row r="35">
          <cell r="L35">
            <v>0.37298900000000001</v>
          </cell>
        </row>
        <row r="36">
          <cell r="L36">
            <v>0.39083200000000001</v>
          </cell>
        </row>
        <row r="37">
          <cell r="L37">
            <v>0.393513</v>
          </cell>
        </row>
        <row r="38">
          <cell r="L38">
            <v>0.387212</v>
          </cell>
        </row>
        <row r="39">
          <cell r="L39">
            <v>0.407337</v>
          </cell>
        </row>
        <row r="40">
          <cell r="L40">
            <v>0.417406</v>
          </cell>
        </row>
        <row r="41">
          <cell r="L41">
            <v>0.41992400000000002</v>
          </cell>
        </row>
        <row r="42">
          <cell r="L42">
            <v>0.44295000000000001</v>
          </cell>
        </row>
        <row r="43">
          <cell r="L43">
            <v>0.44706600000000002</v>
          </cell>
        </row>
        <row r="44">
          <cell r="L44">
            <v>0.44170199999999998</v>
          </cell>
        </row>
        <row r="45">
          <cell r="L45">
            <v>0.45934000000000003</v>
          </cell>
        </row>
        <row r="46">
          <cell r="L46">
            <v>0.473744</v>
          </cell>
        </row>
        <row r="47">
          <cell r="L47">
            <v>0.479933</v>
          </cell>
        </row>
        <row r="48">
          <cell r="L48">
            <v>0.48541800000000002</v>
          </cell>
        </row>
        <row r="49">
          <cell r="L49">
            <v>0.49768899999999999</v>
          </cell>
        </row>
        <row r="50">
          <cell r="L50">
            <v>0.52771599999999996</v>
          </cell>
        </row>
        <row r="51">
          <cell r="L51">
            <v>0.53380000000000005</v>
          </cell>
        </row>
        <row r="52">
          <cell r="L52">
            <v>0.53507899999999997</v>
          </cell>
        </row>
        <row r="53">
          <cell r="L53">
            <v>0.53901200000000005</v>
          </cell>
        </row>
        <row r="54">
          <cell r="L54">
            <v>0.55836200000000002</v>
          </cell>
        </row>
        <row r="55">
          <cell r="L55">
            <v>0.55698099999999995</v>
          </cell>
        </row>
        <row r="56">
          <cell r="L56">
            <v>0.56467400000000001</v>
          </cell>
        </row>
        <row r="57">
          <cell r="L57">
            <v>0.59224600000000005</v>
          </cell>
        </row>
        <row r="58">
          <cell r="L58">
            <v>0.59868299999999997</v>
          </cell>
        </row>
        <row r="59">
          <cell r="L59">
            <v>0.60612500000000002</v>
          </cell>
        </row>
        <row r="60">
          <cell r="L60">
            <v>0.59301800000000005</v>
          </cell>
        </row>
        <row r="61">
          <cell r="L61">
            <v>0.516293</v>
          </cell>
        </row>
        <row r="62">
          <cell r="L62">
            <v>0.60755499999999996</v>
          </cell>
        </row>
      </sheetData>
      <sheetData sheetId="3">
        <row r="2">
          <cell r="AA2">
            <v>3.3333000000000002E-2</v>
          </cell>
        </row>
        <row r="3">
          <cell r="AA3">
            <v>0</v>
          </cell>
        </row>
        <row r="4">
          <cell r="AA4">
            <v>5.8329999999999996E-3</v>
          </cell>
        </row>
      </sheetData>
      <sheetData sheetId="4">
        <row r="2">
          <cell r="L2">
            <v>0</v>
          </cell>
        </row>
        <row r="3">
          <cell r="L3">
            <v>-1.7461000000000001E-2</v>
          </cell>
        </row>
        <row r="4">
          <cell r="L4">
            <v>-1.6254000000000001E-2</v>
          </cell>
          <cell r="O4">
            <v>57</v>
          </cell>
        </row>
        <row r="5">
          <cell r="L5">
            <v>-1.5629000000000001E-2</v>
          </cell>
          <cell r="O5">
            <v>0.43</v>
          </cell>
        </row>
        <row r="6">
          <cell r="L6">
            <v>-1.9143E-2</v>
          </cell>
          <cell r="O6">
            <v>0.52893100000000004</v>
          </cell>
        </row>
        <row r="7">
          <cell r="L7">
            <v>-9.1489999999999991E-3</v>
          </cell>
        </row>
        <row r="8">
          <cell r="L8">
            <v>-3.0322999999999999E-2</v>
          </cell>
        </row>
        <row r="9">
          <cell r="L9">
            <v>-3.3508000000000003E-2</v>
          </cell>
        </row>
        <row r="10">
          <cell r="L10">
            <v>-8.5389999999999997E-3</v>
          </cell>
        </row>
        <row r="11">
          <cell r="L11">
            <v>2.1235E-2</v>
          </cell>
        </row>
        <row r="12">
          <cell r="L12">
            <v>-7.5783000000000003E-2</v>
          </cell>
        </row>
        <row r="13">
          <cell r="L13">
            <v>-9.0785000000000005E-2</v>
          </cell>
        </row>
        <row r="14">
          <cell r="L14">
            <v>-9.3296000000000004E-2</v>
          </cell>
        </row>
        <row r="15">
          <cell r="L15">
            <v>-8.8250999999999996E-2</v>
          </cell>
        </row>
        <row r="16">
          <cell r="L16">
            <v>-8.1772999999999998E-2</v>
          </cell>
        </row>
        <row r="17">
          <cell r="L17">
            <v>-7.7538999999999997E-2</v>
          </cell>
        </row>
        <row r="18">
          <cell r="L18">
            <v>-0.112231</v>
          </cell>
        </row>
        <row r="19">
          <cell r="L19">
            <v>-0.11808399999999999</v>
          </cell>
        </row>
        <row r="20">
          <cell r="L20">
            <v>-0.120674</v>
          </cell>
        </row>
        <row r="21">
          <cell r="L21">
            <v>-0.10580000000000001</v>
          </cell>
        </row>
        <row r="22">
          <cell r="L22">
            <v>-0.12191200000000001</v>
          </cell>
        </row>
        <row r="23">
          <cell r="L23">
            <v>-0.123206</v>
          </cell>
        </row>
        <row r="24">
          <cell r="L24">
            <v>-0.12420100000000001</v>
          </cell>
        </row>
        <row r="25">
          <cell r="L25">
            <v>-0.124513</v>
          </cell>
        </row>
        <row r="26">
          <cell r="L26">
            <v>-0.13206300000000001</v>
          </cell>
        </row>
        <row r="27">
          <cell r="L27">
            <v>-0.12217799999999999</v>
          </cell>
        </row>
        <row r="28">
          <cell r="L28">
            <v>-0.116713</v>
          </cell>
        </row>
        <row r="29">
          <cell r="L29">
            <v>-0.10473300000000001</v>
          </cell>
        </row>
        <row r="30">
          <cell r="L30">
            <v>-0.117046</v>
          </cell>
        </row>
        <row r="31">
          <cell r="L31">
            <v>-0.11419700000000001</v>
          </cell>
        </row>
        <row r="32">
          <cell r="L32">
            <v>-0.12238400000000001</v>
          </cell>
        </row>
        <row r="33">
          <cell r="L33">
            <v>-0.119424</v>
          </cell>
        </row>
        <row r="34">
          <cell r="L34">
            <v>-0.15615299999999999</v>
          </cell>
        </row>
        <row r="35">
          <cell r="L35">
            <v>-0.100022</v>
          </cell>
        </row>
        <row r="36">
          <cell r="L36">
            <v>-8.4437999999999999E-2</v>
          </cell>
        </row>
        <row r="37">
          <cell r="L37">
            <v>-5.0687999999999997E-2</v>
          </cell>
        </row>
        <row r="38">
          <cell r="L38">
            <v>-4.5097999999999999E-2</v>
          </cell>
        </row>
        <row r="39">
          <cell r="L39">
            <v>-4.2321999999999999E-2</v>
          </cell>
        </row>
        <row r="40">
          <cell r="L40">
            <v>-4.8152E-2</v>
          </cell>
        </row>
        <row r="41">
          <cell r="L41">
            <v>-3.6124999999999997E-2</v>
          </cell>
        </row>
        <row r="42">
          <cell r="L42">
            <v>-3.6865000000000002E-2</v>
          </cell>
        </row>
        <row r="43">
          <cell r="L43">
            <v>-3.2221E-2</v>
          </cell>
        </row>
        <row r="44">
          <cell r="L44">
            <v>-4.1451000000000002E-2</v>
          </cell>
        </row>
        <row r="45">
          <cell r="L45">
            <v>-4.9444000000000002E-2</v>
          </cell>
        </row>
        <row r="46">
          <cell r="L46">
            <v>-4.7035E-2</v>
          </cell>
        </row>
        <row r="47">
          <cell r="L47">
            <v>0.13907</v>
          </cell>
        </row>
        <row r="48">
          <cell r="L48">
            <v>0.15722800000000001</v>
          </cell>
        </row>
        <row r="49">
          <cell r="L49">
            <v>0.15982299999999999</v>
          </cell>
        </row>
        <row r="50">
          <cell r="L50">
            <v>0.188275</v>
          </cell>
        </row>
        <row r="51">
          <cell r="L51">
            <v>0.197606</v>
          </cell>
        </row>
        <row r="52">
          <cell r="L52">
            <v>0.19880200000000001</v>
          </cell>
        </row>
        <row r="53">
          <cell r="L53">
            <v>0.201657</v>
          </cell>
        </row>
        <row r="54">
          <cell r="L54">
            <v>0.201792</v>
          </cell>
        </row>
        <row r="55">
          <cell r="L55">
            <v>0.20293800000000001</v>
          </cell>
        </row>
        <row r="56">
          <cell r="L56">
            <v>0.25480399999999997</v>
          </cell>
        </row>
        <row r="57">
          <cell r="L57">
            <v>0.23674500000000001</v>
          </cell>
        </row>
        <row r="58">
          <cell r="L58">
            <v>0.24781</v>
          </cell>
        </row>
        <row r="59">
          <cell r="L59">
            <v>0.211752</v>
          </cell>
        </row>
        <row r="60">
          <cell r="L60">
            <v>0.22250300000000001</v>
          </cell>
        </row>
        <row r="61">
          <cell r="L61">
            <v>0.22415599999999999</v>
          </cell>
        </row>
        <row r="62">
          <cell r="L62">
            <v>0.22976199999999999</v>
          </cell>
        </row>
        <row r="63">
          <cell r="L63">
            <v>0.26876100000000003</v>
          </cell>
        </row>
        <row r="64">
          <cell r="L64">
            <v>0.25625999999999999</v>
          </cell>
        </row>
        <row r="65">
          <cell r="L65">
            <v>0.26375199999999999</v>
          </cell>
        </row>
        <row r="66">
          <cell r="L66">
            <v>0.26654299999999997</v>
          </cell>
        </row>
        <row r="67">
          <cell r="L67">
            <v>0.28671799999999997</v>
          </cell>
        </row>
        <row r="68">
          <cell r="L68">
            <v>0.28758400000000001</v>
          </cell>
        </row>
        <row r="69">
          <cell r="L69">
            <v>0.26672699999999999</v>
          </cell>
        </row>
        <row r="70">
          <cell r="L70">
            <v>0.302259</v>
          </cell>
        </row>
        <row r="71">
          <cell r="L71">
            <v>0.31739000000000001</v>
          </cell>
        </row>
        <row r="72">
          <cell r="L72">
            <v>0.33816499999999999</v>
          </cell>
        </row>
        <row r="73">
          <cell r="L73">
            <v>0.38055899999999998</v>
          </cell>
        </row>
        <row r="74">
          <cell r="L74">
            <v>0.393405</v>
          </cell>
        </row>
        <row r="75">
          <cell r="L75">
            <v>0.40965000000000001</v>
          </cell>
        </row>
        <row r="76">
          <cell r="L76">
            <v>0.43297099999999999</v>
          </cell>
        </row>
        <row r="77">
          <cell r="L77">
            <v>0.39329199999999997</v>
          </cell>
        </row>
        <row r="78">
          <cell r="L78">
            <v>0.40436499999999997</v>
          </cell>
        </row>
        <row r="79">
          <cell r="L79">
            <v>0.390125</v>
          </cell>
        </row>
        <row r="80">
          <cell r="L80">
            <v>0.44877299999999998</v>
          </cell>
        </row>
        <row r="81">
          <cell r="L81">
            <v>0.400061</v>
          </cell>
        </row>
        <row r="82">
          <cell r="L82">
            <v>0.40539199999999997</v>
          </cell>
        </row>
        <row r="83">
          <cell r="L83">
            <v>0.44343300000000002</v>
          </cell>
        </row>
        <row r="84">
          <cell r="L84">
            <v>0.432869</v>
          </cell>
        </row>
        <row r="85">
          <cell r="L85">
            <v>0.436527</v>
          </cell>
        </row>
        <row r="86">
          <cell r="L86">
            <v>0.43865599999999999</v>
          </cell>
        </row>
        <row r="87">
          <cell r="L87">
            <v>0.44558700000000001</v>
          </cell>
        </row>
        <row r="88">
          <cell r="L88">
            <v>0.471773</v>
          </cell>
        </row>
        <row r="89">
          <cell r="L89">
            <v>0.47105000000000002</v>
          </cell>
        </row>
        <row r="90">
          <cell r="L90">
            <v>0.46653800000000001</v>
          </cell>
        </row>
        <row r="91">
          <cell r="L91">
            <v>0.49166199999999999</v>
          </cell>
        </row>
        <row r="92">
          <cell r="L92">
            <v>0.48333999999999999</v>
          </cell>
        </row>
        <row r="93">
          <cell r="L93">
            <v>0.48881799999999997</v>
          </cell>
        </row>
        <row r="94">
          <cell r="L94">
            <v>0.494002</v>
          </cell>
        </row>
        <row r="95">
          <cell r="L95">
            <v>0.50376699999999996</v>
          </cell>
        </row>
        <row r="96">
          <cell r="L96">
            <v>0.51885899999999996</v>
          </cell>
        </row>
        <row r="97">
          <cell r="L97">
            <v>0.50477300000000003</v>
          </cell>
        </row>
        <row r="98">
          <cell r="L98">
            <v>0.511243</v>
          </cell>
        </row>
        <row r="99">
          <cell r="L99">
            <v>0.51937199999999994</v>
          </cell>
        </row>
        <row r="100">
          <cell r="L100">
            <v>0.50888100000000003</v>
          </cell>
        </row>
        <row r="101">
          <cell r="L101">
            <v>0.51676999999999995</v>
          </cell>
        </row>
        <row r="102">
          <cell r="L102">
            <v>0.52893100000000004</v>
          </cell>
        </row>
      </sheetData>
      <sheetData sheetId="5">
        <row r="2">
          <cell r="AA2">
            <v>0.66</v>
          </cell>
        </row>
        <row r="3">
          <cell r="AA3">
            <v>7.0000000000000007E-2</v>
          </cell>
        </row>
        <row r="4">
          <cell r="AA4">
            <v>0.29866700000000002</v>
          </cell>
        </row>
      </sheetData>
      <sheetData sheetId="6">
        <row r="2">
          <cell r="L2">
            <v>0</v>
          </cell>
        </row>
        <row r="3">
          <cell r="L3">
            <v>1.954E-3</v>
          </cell>
        </row>
        <row r="4">
          <cell r="L4">
            <v>8.52E-4</v>
          </cell>
          <cell r="O4">
            <v>60</v>
          </cell>
        </row>
        <row r="5">
          <cell r="L5">
            <v>1.142E-3</v>
          </cell>
          <cell r="O5">
            <v>0</v>
          </cell>
        </row>
        <row r="6">
          <cell r="L6">
            <v>3.3010000000000001E-3</v>
          </cell>
          <cell r="O6">
            <v>0.33307300000000001</v>
          </cell>
        </row>
        <row r="7">
          <cell r="L7">
            <v>6.0179999999999999E-3</v>
          </cell>
        </row>
        <row r="8">
          <cell r="L8">
            <v>1.1386E-2</v>
          </cell>
        </row>
        <row r="9">
          <cell r="L9">
            <v>2.2515E-2</v>
          </cell>
        </row>
        <row r="10">
          <cell r="L10">
            <v>3.2867E-2</v>
          </cell>
        </row>
        <row r="11">
          <cell r="L11">
            <v>3.7731000000000001E-2</v>
          </cell>
        </row>
        <row r="12">
          <cell r="L12">
            <v>4.2949000000000001E-2</v>
          </cell>
        </row>
        <row r="13">
          <cell r="L13">
            <v>1.8955E-2</v>
          </cell>
        </row>
        <row r="14">
          <cell r="L14">
            <v>3.9188000000000001E-2</v>
          </cell>
        </row>
        <row r="15">
          <cell r="L15">
            <v>4.3491000000000002E-2</v>
          </cell>
        </row>
        <row r="16">
          <cell r="L16">
            <v>4.6142000000000002E-2</v>
          </cell>
        </row>
        <row r="17">
          <cell r="L17">
            <v>4.0176000000000003E-2</v>
          </cell>
        </row>
        <row r="18">
          <cell r="L18">
            <v>4.5802000000000002E-2</v>
          </cell>
        </row>
        <row r="19">
          <cell r="L19">
            <v>4.2417999999999997E-2</v>
          </cell>
        </row>
        <row r="20">
          <cell r="L20">
            <v>4.6328000000000001E-2</v>
          </cell>
        </row>
        <row r="21">
          <cell r="L21">
            <v>4.9984000000000001E-2</v>
          </cell>
        </row>
        <row r="22">
          <cell r="L22">
            <v>0.106978</v>
          </cell>
        </row>
        <row r="23">
          <cell r="L23">
            <v>0.10056900000000001</v>
          </cell>
        </row>
        <row r="24">
          <cell r="L24">
            <v>0.10403999999999999</v>
          </cell>
        </row>
        <row r="25">
          <cell r="L25">
            <v>9.9866999999999997E-2</v>
          </cell>
        </row>
        <row r="26">
          <cell r="L26">
            <v>0.100303</v>
          </cell>
        </row>
        <row r="27">
          <cell r="L27">
            <v>0.112958</v>
          </cell>
        </row>
        <row r="28">
          <cell r="L28">
            <v>0.113561</v>
          </cell>
        </row>
        <row r="29">
          <cell r="L29">
            <v>0.11665</v>
          </cell>
        </row>
        <row r="30">
          <cell r="L30">
            <v>0.129966</v>
          </cell>
        </row>
        <row r="31">
          <cell r="L31">
            <v>0.13144700000000001</v>
          </cell>
        </row>
        <row r="32">
          <cell r="L32">
            <v>0.13269700000000001</v>
          </cell>
        </row>
        <row r="33">
          <cell r="L33">
            <v>0.14937</v>
          </cell>
        </row>
        <row r="34">
          <cell r="L34">
            <v>0.14369799999999999</v>
          </cell>
        </row>
        <row r="35">
          <cell r="L35">
            <v>0.160192</v>
          </cell>
        </row>
        <row r="36">
          <cell r="L36">
            <v>0.15279999999999999</v>
          </cell>
        </row>
        <row r="37">
          <cell r="L37">
            <v>0.15626599999999999</v>
          </cell>
        </row>
        <row r="38">
          <cell r="L38">
            <v>0.17281099999999999</v>
          </cell>
        </row>
        <row r="39">
          <cell r="L39">
            <v>0.21596299999999999</v>
          </cell>
        </row>
        <row r="40">
          <cell r="L40">
            <v>0.23371400000000001</v>
          </cell>
        </row>
        <row r="41">
          <cell r="L41">
            <v>0.236238</v>
          </cell>
        </row>
        <row r="42">
          <cell r="L42">
            <v>0.251249</v>
          </cell>
        </row>
        <row r="43">
          <cell r="L43">
            <v>0.25251499999999999</v>
          </cell>
        </row>
        <row r="44">
          <cell r="L44">
            <v>0.23177300000000001</v>
          </cell>
        </row>
        <row r="45">
          <cell r="L45">
            <v>0.246671</v>
          </cell>
        </row>
        <row r="46">
          <cell r="L46">
            <v>0.27138400000000001</v>
          </cell>
        </row>
        <row r="47">
          <cell r="L47">
            <v>0.272901</v>
          </cell>
        </row>
        <row r="48">
          <cell r="L48">
            <v>0.27885900000000002</v>
          </cell>
        </row>
        <row r="49">
          <cell r="L49">
            <v>0.27673999999999999</v>
          </cell>
        </row>
        <row r="50">
          <cell r="L50">
            <v>0.29402499999999998</v>
          </cell>
        </row>
        <row r="51">
          <cell r="L51">
            <v>0.30153000000000002</v>
          </cell>
        </row>
        <row r="52">
          <cell r="L52">
            <v>0.29933799999999999</v>
          </cell>
        </row>
        <row r="53">
          <cell r="L53">
            <v>0.306954</v>
          </cell>
        </row>
        <row r="54">
          <cell r="L54">
            <v>0.30890600000000001</v>
          </cell>
        </row>
        <row r="55">
          <cell r="L55">
            <v>0.31252999999999997</v>
          </cell>
        </row>
        <row r="56">
          <cell r="L56">
            <v>0.32294800000000001</v>
          </cell>
        </row>
        <row r="57">
          <cell r="L57">
            <v>0.33123900000000001</v>
          </cell>
        </row>
        <row r="58">
          <cell r="L58">
            <v>0.33818199999999998</v>
          </cell>
        </row>
        <row r="59">
          <cell r="L59">
            <v>0.29375499999999999</v>
          </cell>
        </row>
        <row r="60">
          <cell r="L60">
            <v>0.32080199999999998</v>
          </cell>
        </row>
        <row r="61">
          <cell r="L61">
            <v>0.31722800000000001</v>
          </cell>
        </row>
        <row r="62">
          <cell r="L62">
            <v>0.33307300000000001</v>
          </cell>
        </row>
      </sheetData>
      <sheetData sheetId="7">
        <row r="2">
          <cell r="AA2">
            <v>0.26666699999999999</v>
          </cell>
        </row>
        <row r="3">
          <cell r="AA3">
            <v>0</v>
          </cell>
        </row>
        <row r="4">
          <cell r="AA4">
            <v>6.3333E-2</v>
          </cell>
        </row>
      </sheetData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t4omini_single_100"/>
      <sheetName val="gpt4omini_shuffle_100"/>
      <sheetName val="gpt4omini_single_60"/>
      <sheetName val="gpt4omini_shuffle_60"/>
      <sheetName val="gpt4omini_single_100_2"/>
      <sheetName val="gpt4omini_shuffle_100_2"/>
      <sheetName val="gpt4omini_single_60_2"/>
      <sheetName val="gpt4omini_shuffle_60_2"/>
      <sheetName val="final_results"/>
    </sheetNames>
    <sheetDataSet>
      <sheetData sheetId="0">
        <row r="2">
          <cell r="L2">
            <v>0</v>
          </cell>
        </row>
        <row r="3">
          <cell r="L3">
            <v>-7.352E-3</v>
          </cell>
        </row>
        <row r="4">
          <cell r="L4">
            <v>-4.7809999999999997E-3</v>
          </cell>
          <cell r="O4">
            <v>97</v>
          </cell>
        </row>
        <row r="5">
          <cell r="L5">
            <v>2.1440000000000001E-3</v>
          </cell>
          <cell r="O5">
            <v>0.03</v>
          </cell>
        </row>
        <row r="6">
          <cell r="L6">
            <v>-4.7410000000000004E-3</v>
          </cell>
          <cell r="O6">
            <v>0.82058500000000001</v>
          </cell>
        </row>
        <row r="7">
          <cell r="L7">
            <v>9.4339999999999997E-3</v>
          </cell>
        </row>
        <row r="8">
          <cell r="L8">
            <v>2.7786999999999999E-2</v>
          </cell>
        </row>
        <row r="9">
          <cell r="L9">
            <v>2.3047999999999999E-2</v>
          </cell>
        </row>
        <row r="10">
          <cell r="L10">
            <v>3.3715000000000002E-2</v>
          </cell>
        </row>
        <row r="11">
          <cell r="L11">
            <v>6.1335000000000001E-2</v>
          </cell>
        </row>
        <row r="12">
          <cell r="L12">
            <v>5.2025000000000002E-2</v>
          </cell>
        </row>
        <row r="13">
          <cell r="L13">
            <v>5.9568999999999997E-2</v>
          </cell>
        </row>
        <row r="14">
          <cell r="L14">
            <v>8.2492999999999997E-2</v>
          </cell>
        </row>
        <row r="15">
          <cell r="L15">
            <v>8.3059999999999995E-2</v>
          </cell>
        </row>
        <row r="16">
          <cell r="L16">
            <v>8.4302000000000002E-2</v>
          </cell>
        </row>
        <row r="17">
          <cell r="L17">
            <v>8.6682999999999996E-2</v>
          </cell>
        </row>
        <row r="18">
          <cell r="L18">
            <v>7.7330999999999997E-2</v>
          </cell>
        </row>
        <row r="19">
          <cell r="L19">
            <v>7.9565999999999998E-2</v>
          </cell>
        </row>
        <row r="20">
          <cell r="L20">
            <v>7.8348000000000001E-2</v>
          </cell>
        </row>
        <row r="21">
          <cell r="L21">
            <v>9.9479999999999999E-2</v>
          </cell>
        </row>
        <row r="22">
          <cell r="L22">
            <v>0.121929</v>
          </cell>
        </row>
        <row r="23">
          <cell r="L23">
            <v>0.12825</v>
          </cell>
        </row>
        <row r="24">
          <cell r="L24">
            <v>0.134685</v>
          </cell>
        </row>
        <row r="25">
          <cell r="L25">
            <v>0.122103</v>
          </cell>
        </row>
        <row r="26">
          <cell r="L26">
            <v>0.13301099999999999</v>
          </cell>
        </row>
        <row r="27">
          <cell r="L27">
            <v>0.13756299999999999</v>
          </cell>
        </row>
        <row r="28">
          <cell r="L28">
            <v>0.14235100000000001</v>
          </cell>
        </row>
        <row r="29">
          <cell r="L29">
            <v>0.154672</v>
          </cell>
        </row>
        <row r="30">
          <cell r="L30">
            <v>0.156608</v>
          </cell>
        </row>
        <row r="31">
          <cell r="L31">
            <v>0.153138</v>
          </cell>
        </row>
        <row r="32">
          <cell r="L32">
            <v>0.16160099999999999</v>
          </cell>
        </row>
        <row r="33">
          <cell r="L33">
            <v>0.15747</v>
          </cell>
        </row>
        <row r="34">
          <cell r="L34">
            <v>0.15455199999999999</v>
          </cell>
        </row>
        <row r="35">
          <cell r="L35">
            <v>0.164218</v>
          </cell>
        </row>
        <row r="36">
          <cell r="L36">
            <v>0.166905</v>
          </cell>
        </row>
        <row r="37">
          <cell r="L37">
            <v>0.16433600000000001</v>
          </cell>
        </row>
        <row r="38">
          <cell r="L38">
            <v>0.18104400000000001</v>
          </cell>
        </row>
        <row r="39">
          <cell r="L39">
            <v>0.18749399999999999</v>
          </cell>
        </row>
        <row r="40">
          <cell r="L40">
            <v>0.187498</v>
          </cell>
        </row>
        <row r="41">
          <cell r="L41">
            <v>0.20593500000000001</v>
          </cell>
        </row>
        <row r="42">
          <cell r="L42">
            <v>0.20441000000000001</v>
          </cell>
        </row>
        <row r="43">
          <cell r="L43">
            <v>0.19461200000000001</v>
          </cell>
        </row>
        <row r="44">
          <cell r="L44">
            <v>0.21779200000000001</v>
          </cell>
        </row>
        <row r="45">
          <cell r="L45">
            <v>0.25856699999999999</v>
          </cell>
        </row>
        <row r="46">
          <cell r="L46">
            <v>0.266598</v>
          </cell>
        </row>
        <row r="47">
          <cell r="L47">
            <v>0.26899299999999998</v>
          </cell>
        </row>
        <row r="48">
          <cell r="L48">
            <v>0.27025700000000002</v>
          </cell>
        </row>
        <row r="49">
          <cell r="L49">
            <v>0.26859899999999998</v>
          </cell>
        </row>
        <row r="50">
          <cell r="L50">
            <v>0.26934999999999998</v>
          </cell>
        </row>
        <row r="51">
          <cell r="L51">
            <v>0.27427499999999999</v>
          </cell>
        </row>
        <row r="52">
          <cell r="L52">
            <v>0.28041300000000002</v>
          </cell>
        </row>
        <row r="53">
          <cell r="L53">
            <v>0.27512599999999998</v>
          </cell>
        </row>
        <row r="54">
          <cell r="L54">
            <v>0.26327</v>
          </cell>
        </row>
        <row r="55">
          <cell r="L55">
            <v>0.26173299999999999</v>
          </cell>
        </row>
        <row r="56">
          <cell r="L56">
            <v>0.28088000000000002</v>
          </cell>
        </row>
        <row r="57">
          <cell r="L57">
            <v>0.28382000000000002</v>
          </cell>
        </row>
        <row r="58">
          <cell r="L58">
            <v>0.28575699999999998</v>
          </cell>
        </row>
        <row r="59">
          <cell r="L59">
            <v>0.288275</v>
          </cell>
        </row>
        <row r="60">
          <cell r="L60">
            <v>0.29536400000000002</v>
          </cell>
        </row>
        <row r="61">
          <cell r="L61">
            <v>0.30863000000000002</v>
          </cell>
        </row>
        <row r="62">
          <cell r="L62">
            <v>0.32169900000000001</v>
          </cell>
        </row>
        <row r="63">
          <cell r="L63">
            <v>0.33740599999999998</v>
          </cell>
        </row>
        <row r="64">
          <cell r="L64">
            <v>0.34989399999999998</v>
          </cell>
        </row>
        <row r="65">
          <cell r="L65">
            <v>0.35413299999999998</v>
          </cell>
        </row>
        <row r="66">
          <cell r="L66">
            <v>0.35792200000000002</v>
          </cell>
        </row>
        <row r="67">
          <cell r="L67">
            <v>0.36774600000000002</v>
          </cell>
        </row>
        <row r="68">
          <cell r="L68">
            <v>0.36287900000000001</v>
          </cell>
        </row>
        <row r="69">
          <cell r="L69">
            <v>0.34908400000000001</v>
          </cell>
        </row>
        <row r="70">
          <cell r="L70">
            <v>0.39050400000000002</v>
          </cell>
        </row>
        <row r="71">
          <cell r="L71">
            <v>0.39076300000000003</v>
          </cell>
        </row>
        <row r="72">
          <cell r="L72">
            <v>0.39830100000000002</v>
          </cell>
        </row>
        <row r="73">
          <cell r="L73">
            <v>0.39166099999999998</v>
          </cell>
        </row>
        <row r="74">
          <cell r="L74">
            <v>0.39939599999999997</v>
          </cell>
        </row>
        <row r="75">
          <cell r="L75">
            <v>0.44464100000000001</v>
          </cell>
        </row>
        <row r="76">
          <cell r="L76">
            <v>0.44639699999999999</v>
          </cell>
        </row>
        <row r="77">
          <cell r="L77">
            <v>0.49859999999999999</v>
          </cell>
        </row>
        <row r="78">
          <cell r="L78">
            <v>0.52243099999999998</v>
          </cell>
        </row>
        <row r="79">
          <cell r="L79">
            <v>0.51239800000000002</v>
          </cell>
        </row>
        <row r="80">
          <cell r="L80">
            <v>0.510884</v>
          </cell>
        </row>
        <row r="81">
          <cell r="L81">
            <v>0.57789800000000002</v>
          </cell>
        </row>
        <row r="82">
          <cell r="L82">
            <v>0.61836000000000002</v>
          </cell>
        </row>
        <row r="83">
          <cell r="L83">
            <v>0.61916300000000002</v>
          </cell>
        </row>
        <row r="84">
          <cell r="L84">
            <v>0.61399499999999996</v>
          </cell>
        </row>
        <row r="85">
          <cell r="L85">
            <v>0.63664200000000004</v>
          </cell>
        </row>
        <row r="86">
          <cell r="L86">
            <v>0.65121099999999998</v>
          </cell>
        </row>
        <row r="87">
          <cell r="L87">
            <v>0.65140500000000001</v>
          </cell>
        </row>
        <row r="88">
          <cell r="L88">
            <v>0.661493</v>
          </cell>
        </row>
        <row r="89">
          <cell r="L89">
            <v>0.66907300000000003</v>
          </cell>
        </row>
        <row r="90">
          <cell r="L90">
            <v>0.67425800000000002</v>
          </cell>
        </row>
        <row r="91">
          <cell r="L91">
            <v>0.69931900000000002</v>
          </cell>
        </row>
        <row r="92">
          <cell r="L92">
            <v>0.70560599999999996</v>
          </cell>
        </row>
        <row r="93">
          <cell r="L93">
            <v>0.71435599999999999</v>
          </cell>
        </row>
        <row r="94">
          <cell r="L94">
            <v>0.725051</v>
          </cell>
        </row>
        <row r="95">
          <cell r="L95">
            <v>0.73461799999999999</v>
          </cell>
        </row>
        <row r="96">
          <cell r="L96">
            <v>0.74655499999999997</v>
          </cell>
        </row>
        <row r="97">
          <cell r="L97">
            <v>0.74600699999999998</v>
          </cell>
        </row>
        <row r="98">
          <cell r="L98">
            <v>0.76738600000000001</v>
          </cell>
        </row>
        <row r="99">
          <cell r="L99">
            <v>0.80338399999999999</v>
          </cell>
        </row>
        <row r="100">
          <cell r="L100">
            <v>0.80463200000000001</v>
          </cell>
        </row>
        <row r="101">
          <cell r="L101">
            <v>0.82572800000000002</v>
          </cell>
        </row>
        <row r="102">
          <cell r="L102">
            <v>0.82058500000000001</v>
          </cell>
        </row>
      </sheetData>
      <sheetData sheetId="1">
        <row r="2">
          <cell r="AA2">
            <v>0.15</v>
          </cell>
        </row>
        <row r="3">
          <cell r="AA3">
            <v>0</v>
          </cell>
        </row>
        <row r="4">
          <cell r="AA4">
            <v>3.2667000000000002E-2</v>
          </cell>
        </row>
      </sheetData>
      <sheetData sheetId="2">
        <row r="2">
          <cell r="L2">
            <v>0</v>
          </cell>
        </row>
        <row r="3">
          <cell r="L3">
            <v>3.3310000000000002E-3</v>
          </cell>
        </row>
        <row r="4">
          <cell r="L4">
            <v>8.8889999999999993E-3</v>
          </cell>
          <cell r="O4">
            <v>60</v>
          </cell>
        </row>
        <row r="5">
          <cell r="L5">
            <v>1.3833E-2</v>
          </cell>
          <cell r="O5">
            <v>0</v>
          </cell>
        </row>
        <row r="6">
          <cell r="L6">
            <v>2.8455999999999999E-2</v>
          </cell>
          <cell r="O6">
            <v>0.44041599999999997</v>
          </cell>
        </row>
        <row r="7">
          <cell r="L7">
            <v>3.0530000000000002E-2</v>
          </cell>
        </row>
        <row r="8">
          <cell r="L8">
            <v>3.6833999999999999E-2</v>
          </cell>
        </row>
        <row r="9">
          <cell r="L9">
            <v>3.7495000000000001E-2</v>
          </cell>
        </row>
        <row r="10">
          <cell r="L10">
            <v>4.8901E-2</v>
          </cell>
        </row>
        <row r="11">
          <cell r="L11">
            <v>6.1100000000000002E-2</v>
          </cell>
        </row>
        <row r="12">
          <cell r="L12">
            <v>8.7995000000000004E-2</v>
          </cell>
        </row>
        <row r="13">
          <cell r="L13">
            <v>6.5126000000000003E-2</v>
          </cell>
        </row>
        <row r="14">
          <cell r="L14">
            <v>7.4649999999999994E-2</v>
          </cell>
        </row>
        <row r="15">
          <cell r="L15">
            <v>7.7810000000000004E-2</v>
          </cell>
        </row>
        <row r="16">
          <cell r="L16">
            <v>7.8479999999999994E-2</v>
          </cell>
        </row>
        <row r="17">
          <cell r="L17">
            <v>8.6610000000000006E-2</v>
          </cell>
        </row>
        <row r="18">
          <cell r="L18">
            <v>0.102144</v>
          </cell>
        </row>
        <row r="19">
          <cell r="L19">
            <v>0.106462</v>
          </cell>
        </row>
        <row r="20">
          <cell r="L20">
            <v>0.11919200000000001</v>
          </cell>
        </row>
        <row r="21">
          <cell r="L21">
            <v>0.12002500000000001</v>
          </cell>
        </row>
        <row r="22">
          <cell r="L22">
            <v>0.122846</v>
          </cell>
        </row>
        <row r="23">
          <cell r="L23">
            <v>0.12628800000000001</v>
          </cell>
        </row>
        <row r="24">
          <cell r="L24">
            <v>0.134578</v>
          </cell>
        </row>
        <row r="25">
          <cell r="L25">
            <v>0.14347199999999999</v>
          </cell>
        </row>
        <row r="26">
          <cell r="L26">
            <v>0.146643</v>
          </cell>
        </row>
        <row r="27">
          <cell r="L27">
            <v>0.149677</v>
          </cell>
        </row>
        <row r="28">
          <cell r="L28">
            <v>0.15146999999999999</v>
          </cell>
        </row>
        <row r="29">
          <cell r="L29">
            <v>0.147398</v>
          </cell>
        </row>
        <row r="30">
          <cell r="L30">
            <v>0.14494599999999999</v>
          </cell>
        </row>
        <row r="31">
          <cell r="L31">
            <v>0.14993899999999999</v>
          </cell>
        </row>
        <row r="32">
          <cell r="L32">
            <v>0.15168899999999999</v>
          </cell>
        </row>
        <row r="33">
          <cell r="L33">
            <v>0.17899699999999999</v>
          </cell>
        </row>
        <row r="34">
          <cell r="L34">
            <v>0.19597000000000001</v>
          </cell>
        </row>
        <row r="35">
          <cell r="L35">
            <v>0.202177</v>
          </cell>
        </row>
        <row r="36">
          <cell r="L36">
            <v>0.20974899999999999</v>
          </cell>
        </row>
        <row r="37">
          <cell r="L37">
            <v>0.21673200000000001</v>
          </cell>
        </row>
        <row r="38">
          <cell r="L38">
            <v>0.22731000000000001</v>
          </cell>
        </row>
        <row r="39">
          <cell r="L39">
            <v>0.23808199999999999</v>
          </cell>
        </row>
        <row r="40">
          <cell r="L40">
            <v>0.24138200000000001</v>
          </cell>
        </row>
        <row r="41">
          <cell r="L41">
            <v>0.226661</v>
          </cell>
        </row>
        <row r="42">
          <cell r="L42">
            <v>0.240429</v>
          </cell>
        </row>
        <row r="43">
          <cell r="L43">
            <v>0.24675800000000001</v>
          </cell>
        </row>
        <row r="44">
          <cell r="L44">
            <v>0.23421400000000001</v>
          </cell>
        </row>
        <row r="45">
          <cell r="L45">
            <v>0.236036</v>
          </cell>
        </row>
        <row r="46">
          <cell r="L46">
            <v>0.24162500000000001</v>
          </cell>
        </row>
        <row r="47">
          <cell r="L47">
            <v>0.27021699999999998</v>
          </cell>
        </row>
        <row r="48">
          <cell r="L48">
            <v>0.272453</v>
          </cell>
        </row>
        <row r="49">
          <cell r="L49">
            <v>0.29157100000000002</v>
          </cell>
        </row>
        <row r="50">
          <cell r="L50">
            <v>0.30535000000000001</v>
          </cell>
        </row>
        <row r="51">
          <cell r="L51">
            <v>0.314444</v>
          </cell>
        </row>
        <row r="52">
          <cell r="L52">
            <v>0.32400200000000001</v>
          </cell>
        </row>
        <row r="53">
          <cell r="L53">
            <v>0.34100200000000003</v>
          </cell>
        </row>
        <row r="54">
          <cell r="L54">
            <v>0.34694900000000001</v>
          </cell>
        </row>
        <row r="55">
          <cell r="L55">
            <v>0.356906</v>
          </cell>
        </row>
        <row r="56">
          <cell r="L56">
            <v>0.36497099999999999</v>
          </cell>
        </row>
        <row r="57">
          <cell r="L57">
            <v>0.37239299999999997</v>
          </cell>
        </row>
        <row r="58">
          <cell r="L58">
            <v>0.37940800000000002</v>
          </cell>
        </row>
        <row r="59">
          <cell r="L59">
            <v>0.41684599999999999</v>
          </cell>
        </row>
        <row r="60">
          <cell r="L60">
            <v>0.42923899999999998</v>
          </cell>
        </row>
        <row r="61">
          <cell r="L61">
            <v>0.42985299999999999</v>
          </cell>
        </row>
        <row r="62">
          <cell r="L62">
            <v>0.44041599999999997</v>
          </cell>
        </row>
      </sheetData>
      <sheetData sheetId="3">
        <row r="2">
          <cell r="AA2">
            <v>0.11666700000000001</v>
          </cell>
        </row>
        <row r="3">
          <cell r="AA3">
            <v>0</v>
          </cell>
        </row>
        <row r="4">
          <cell r="AA4">
            <v>2.6667E-2</v>
          </cell>
        </row>
      </sheetData>
      <sheetData sheetId="4">
        <row r="2">
          <cell r="L2">
            <v>0</v>
          </cell>
        </row>
        <row r="3">
          <cell r="L3">
            <v>-1.2043999999999999E-2</v>
          </cell>
        </row>
        <row r="4">
          <cell r="L4">
            <v>-7.6099999999999996E-3</v>
          </cell>
          <cell r="O4">
            <v>47</v>
          </cell>
        </row>
        <row r="5">
          <cell r="L5">
            <v>-5.1850000000000004E-3</v>
          </cell>
          <cell r="O5">
            <v>0.53</v>
          </cell>
        </row>
        <row r="6">
          <cell r="L6">
            <v>-3.771E-3</v>
          </cell>
          <cell r="O6">
            <v>0.25089499999999998</v>
          </cell>
        </row>
        <row r="7">
          <cell r="L7">
            <v>4.7609999999999996E-3</v>
          </cell>
        </row>
        <row r="8">
          <cell r="L8">
            <v>2.1199999999999999E-3</v>
          </cell>
        </row>
        <row r="9">
          <cell r="L9">
            <v>-5.0860000000000002E-3</v>
          </cell>
        </row>
        <row r="10">
          <cell r="L10">
            <v>-5.2129999999999998E-3</v>
          </cell>
        </row>
        <row r="11">
          <cell r="L11">
            <v>2.3081999999999998E-2</v>
          </cell>
        </row>
        <row r="12">
          <cell r="L12">
            <v>1.3102000000000001E-2</v>
          </cell>
        </row>
        <row r="13">
          <cell r="L13">
            <v>5.4130000000000003E-3</v>
          </cell>
        </row>
        <row r="14">
          <cell r="L14">
            <v>1.629E-3</v>
          </cell>
        </row>
        <row r="15">
          <cell r="L15">
            <v>1.4697E-2</v>
          </cell>
        </row>
        <row r="16">
          <cell r="L16">
            <v>-7.2399999999999999E-3</v>
          </cell>
        </row>
        <row r="17">
          <cell r="L17">
            <v>-1.7158E-2</v>
          </cell>
        </row>
        <row r="18">
          <cell r="L18">
            <v>-5.3044000000000001E-2</v>
          </cell>
        </row>
        <row r="19">
          <cell r="L19">
            <v>-4.4337000000000001E-2</v>
          </cell>
        </row>
        <row r="20">
          <cell r="L20">
            <v>-7.0511000000000004E-2</v>
          </cell>
        </row>
        <row r="21">
          <cell r="L21">
            <v>-6.6363000000000005E-2</v>
          </cell>
        </row>
        <row r="22">
          <cell r="L22">
            <v>-8.1600000000000006E-2</v>
          </cell>
        </row>
        <row r="23">
          <cell r="L23">
            <v>-8.1842999999999999E-2</v>
          </cell>
        </row>
        <row r="24">
          <cell r="L24">
            <v>-6.9436999999999999E-2</v>
          </cell>
        </row>
        <row r="25">
          <cell r="L25">
            <v>-9.1236999999999999E-2</v>
          </cell>
        </row>
        <row r="26">
          <cell r="L26">
            <v>-8.7396000000000001E-2</v>
          </cell>
        </row>
        <row r="27">
          <cell r="L27">
            <v>-7.1197999999999997E-2</v>
          </cell>
        </row>
        <row r="28">
          <cell r="L28">
            <v>-7.0037000000000002E-2</v>
          </cell>
        </row>
        <row r="29">
          <cell r="L29">
            <v>-6.7646999999999999E-2</v>
          </cell>
        </row>
        <row r="30">
          <cell r="L30">
            <v>-6.6284999999999997E-2</v>
          </cell>
        </row>
        <row r="31">
          <cell r="L31">
            <v>-6.8744E-2</v>
          </cell>
        </row>
        <row r="32">
          <cell r="L32">
            <v>-6.7201999999999998E-2</v>
          </cell>
        </row>
        <row r="33">
          <cell r="L33">
            <v>-8.8569999999999996E-2</v>
          </cell>
        </row>
        <row r="34">
          <cell r="L34">
            <v>-7.3422000000000001E-2</v>
          </cell>
        </row>
        <row r="35">
          <cell r="L35">
            <v>-6.9649000000000003E-2</v>
          </cell>
        </row>
        <row r="36">
          <cell r="L36">
            <v>-2.3807999999999999E-2</v>
          </cell>
        </row>
        <row r="37">
          <cell r="L37">
            <v>-2.5734E-2</v>
          </cell>
        </row>
        <row r="38">
          <cell r="L38">
            <v>-2.2145000000000001E-2</v>
          </cell>
        </row>
        <row r="39">
          <cell r="L39">
            <v>-1.4714E-2</v>
          </cell>
        </row>
        <row r="40">
          <cell r="L40">
            <v>-1.8179000000000001E-2</v>
          </cell>
        </row>
        <row r="41">
          <cell r="L41">
            <v>-1.5580999999999999E-2</v>
          </cell>
        </row>
        <row r="42">
          <cell r="L42">
            <v>-2.4909000000000001E-2</v>
          </cell>
        </row>
        <row r="43">
          <cell r="L43">
            <v>-3.0387999999999998E-2</v>
          </cell>
        </row>
        <row r="44">
          <cell r="L44">
            <v>-3.3066999999999999E-2</v>
          </cell>
        </row>
        <row r="45">
          <cell r="L45">
            <v>-3.5452999999999998E-2</v>
          </cell>
        </row>
        <row r="46">
          <cell r="L46">
            <v>-3.6070999999999999E-2</v>
          </cell>
        </row>
        <row r="47">
          <cell r="L47">
            <v>-4.7954999999999998E-2</v>
          </cell>
        </row>
        <row r="48">
          <cell r="L48">
            <v>-4.1620999999999998E-2</v>
          </cell>
        </row>
        <row r="49">
          <cell r="L49">
            <v>-4.9673000000000002E-2</v>
          </cell>
        </row>
        <row r="50">
          <cell r="L50">
            <v>-4.5301000000000001E-2</v>
          </cell>
        </row>
        <row r="51">
          <cell r="L51">
            <v>-3.6968000000000001E-2</v>
          </cell>
        </row>
        <row r="52">
          <cell r="L52">
            <v>-4.1839000000000001E-2</v>
          </cell>
        </row>
        <row r="53">
          <cell r="L53">
            <v>-4.6532999999999998E-2</v>
          </cell>
        </row>
        <row r="54">
          <cell r="L54">
            <v>-5.3275999999999997E-2</v>
          </cell>
        </row>
        <row r="55">
          <cell r="L55">
            <v>-5.2669000000000001E-2</v>
          </cell>
        </row>
        <row r="56">
          <cell r="L56">
            <v>-3.5310000000000001E-2</v>
          </cell>
        </row>
        <row r="57">
          <cell r="L57">
            <v>-4.4967E-2</v>
          </cell>
        </row>
        <row r="58">
          <cell r="L58">
            <v>-4.7301000000000003E-2</v>
          </cell>
        </row>
        <row r="59">
          <cell r="L59">
            <v>-4.6466E-2</v>
          </cell>
        </row>
        <row r="60">
          <cell r="L60">
            <v>-3.4351E-2</v>
          </cell>
        </row>
        <row r="61">
          <cell r="L61">
            <v>-1.0470999999999999E-2</v>
          </cell>
        </row>
        <row r="62">
          <cell r="L62">
            <v>-8.2780000000000006E-3</v>
          </cell>
        </row>
        <row r="63">
          <cell r="L63">
            <v>6.5032000000000006E-2</v>
          </cell>
        </row>
        <row r="64">
          <cell r="L64">
            <v>9.0007000000000004E-2</v>
          </cell>
        </row>
        <row r="65">
          <cell r="L65">
            <v>9.7342999999999999E-2</v>
          </cell>
        </row>
        <row r="66">
          <cell r="L66">
            <v>9.9298999999999998E-2</v>
          </cell>
        </row>
        <row r="67">
          <cell r="L67">
            <v>0.103052</v>
          </cell>
        </row>
        <row r="68">
          <cell r="L68">
            <v>0.101243</v>
          </cell>
        </row>
        <row r="69">
          <cell r="L69">
            <v>0.164497</v>
          </cell>
        </row>
        <row r="70">
          <cell r="L70">
            <v>0.20089299999999999</v>
          </cell>
        </row>
        <row r="71">
          <cell r="L71">
            <v>0.18611</v>
          </cell>
        </row>
        <row r="72">
          <cell r="L72">
            <v>0.193436</v>
          </cell>
        </row>
        <row r="73">
          <cell r="L73">
            <v>0.196163</v>
          </cell>
        </row>
        <row r="74">
          <cell r="L74">
            <v>0.19935</v>
          </cell>
        </row>
        <row r="75">
          <cell r="L75">
            <v>0.20510900000000001</v>
          </cell>
        </row>
        <row r="76">
          <cell r="L76">
            <v>0.207258</v>
          </cell>
        </row>
        <row r="77">
          <cell r="L77">
            <v>0.19087299999999999</v>
          </cell>
        </row>
        <row r="78">
          <cell r="L78">
            <v>0.21364900000000001</v>
          </cell>
        </row>
        <row r="79">
          <cell r="L79">
            <v>0.18204999999999999</v>
          </cell>
        </row>
        <row r="80">
          <cell r="L80">
            <v>0.17768700000000001</v>
          </cell>
        </row>
        <row r="81">
          <cell r="L81">
            <v>0.183973</v>
          </cell>
        </row>
        <row r="82">
          <cell r="L82">
            <v>0.22403000000000001</v>
          </cell>
        </row>
        <row r="83">
          <cell r="L83">
            <v>0.21940100000000001</v>
          </cell>
        </row>
        <row r="84">
          <cell r="L84">
            <v>0.18787799999999999</v>
          </cell>
        </row>
        <row r="85">
          <cell r="L85">
            <v>0.21697900000000001</v>
          </cell>
        </row>
        <row r="86">
          <cell r="L86">
            <v>0.22414799999999999</v>
          </cell>
        </row>
        <row r="87">
          <cell r="L87">
            <v>0.21415400000000001</v>
          </cell>
        </row>
        <row r="88">
          <cell r="L88">
            <v>0.221861</v>
          </cell>
        </row>
        <row r="89">
          <cell r="L89">
            <v>0.217284</v>
          </cell>
        </row>
        <row r="90">
          <cell r="L90">
            <v>0.21767400000000001</v>
          </cell>
        </row>
        <row r="91">
          <cell r="L91">
            <v>0.217806</v>
          </cell>
        </row>
        <row r="92">
          <cell r="L92">
            <v>0.21881400000000001</v>
          </cell>
        </row>
        <row r="93">
          <cell r="L93">
            <v>0.22538</v>
          </cell>
        </row>
        <row r="94">
          <cell r="L94">
            <v>0.24141099999999999</v>
          </cell>
        </row>
        <row r="95">
          <cell r="L95">
            <v>0.26128699999999999</v>
          </cell>
        </row>
        <row r="96">
          <cell r="L96">
            <v>0.267071</v>
          </cell>
        </row>
        <row r="97">
          <cell r="L97">
            <v>0.266515</v>
          </cell>
        </row>
        <row r="98">
          <cell r="L98">
            <v>0.256413</v>
          </cell>
        </row>
        <row r="99">
          <cell r="L99">
            <v>0.26529700000000001</v>
          </cell>
        </row>
        <row r="100">
          <cell r="L100">
            <v>0.26300000000000001</v>
          </cell>
        </row>
        <row r="101">
          <cell r="L101">
            <v>0.27002900000000002</v>
          </cell>
        </row>
        <row r="102">
          <cell r="L102">
            <v>0.25089499999999998</v>
          </cell>
        </row>
      </sheetData>
      <sheetData sheetId="5">
        <row r="2">
          <cell r="AA2">
            <v>0.64</v>
          </cell>
        </row>
        <row r="3">
          <cell r="AA3">
            <v>0.01</v>
          </cell>
        </row>
        <row r="4">
          <cell r="AA4">
            <v>0.23666699999999999</v>
          </cell>
        </row>
      </sheetData>
      <sheetData sheetId="6">
        <row r="2">
          <cell r="L2">
            <v>0</v>
          </cell>
        </row>
        <row r="3">
          <cell r="L3">
            <v>-1.426E-3</v>
          </cell>
        </row>
        <row r="4">
          <cell r="L4">
            <v>-6.4050000000000001E-3</v>
          </cell>
          <cell r="O4">
            <v>23</v>
          </cell>
        </row>
        <row r="5">
          <cell r="L5">
            <v>-7.1710000000000003E-3</v>
          </cell>
          <cell r="O5">
            <v>0.61666699999999997</v>
          </cell>
        </row>
        <row r="6">
          <cell r="L6">
            <v>-1.0399E-2</v>
          </cell>
          <cell r="O6">
            <v>4.7010999999999997E-2</v>
          </cell>
        </row>
        <row r="7">
          <cell r="L7">
            <v>-9.5890000000000003E-3</v>
          </cell>
        </row>
        <row r="8">
          <cell r="L8">
            <v>-2.0666E-2</v>
          </cell>
        </row>
        <row r="9">
          <cell r="L9">
            <v>-1.8603999999999999E-2</v>
          </cell>
        </row>
        <row r="10">
          <cell r="L10">
            <v>-1.7690999999999998E-2</v>
          </cell>
        </row>
        <row r="11">
          <cell r="L11">
            <v>-1.4302E-2</v>
          </cell>
        </row>
        <row r="12">
          <cell r="L12">
            <v>7.1000000000000002E-4</v>
          </cell>
        </row>
        <row r="13">
          <cell r="L13">
            <v>-6.5278000000000003E-2</v>
          </cell>
        </row>
        <row r="14">
          <cell r="L14">
            <v>-7.2881000000000001E-2</v>
          </cell>
        </row>
        <row r="15">
          <cell r="L15">
            <v>-7.6274999999999996E-2</v>
          </cell>
        </row>
        <row r="16">
          <cell r="L16">
            <v>-7.9873E-2</v>
          </cell>
        </row>
        <row r="17">
          <cell r="L17">
            <v>-8.5042000000000006E-2</v>
          </cell>
        </row>
        <row r="18">
          <cell r="L18">
            <v>-8.5194000000000006E-2</v>
          </cell>
        </row>
        <row r="19">
          <cell r="L19">
            <v>-8.4959999999999994E-2</v>
          </cell>
        </row>
        <row r="20">
          <cell r="L20">
            <v>-8.3467E-2</v>
          </cell>
        </row>
        <row r="21">
          <cell r="L21">
            <v>-6.2927999999999998E-2</v>
          </cell>
        </row>
        <row r="22">
          <cell r="L22">
            <v>-6.5511E-2</v>
          </cell>
        </row>
        <row r="23">
          <cell r="L23">
            <v>-7.0050000000000001E-2</v>
          </cell>
        </row>
        <row r="24">
          <cell r="L24">
            <v>-7.0744000000000001E-2</v>
          </cell>
        </row>
        <row r="25">
          <cell r="L25">
            <v>-6.9311999999999999E-2</v>
          </cell>
        </row>
        <row r="26">
          <cell r="L26">
            <v>-6.3891000000000003E-2</v>
          </cell>
        </row>
        <row r="27">
          <cell r="L27">
            <v>-7.9338000000000006E-2</v>
          </cell>
        </row>
        <row r="28">
          <cell r="L28">
            <v>-8.0643999999999993E-2</v>
          </cell>
        </row>
        <row r="29">
          <cell r="L29">
            <v>-6.0114000000000001E-2</v>
          </cell>
        </row>
        <row r="30">
          <cell r="L30">
            <v>-6.3538999999999998E-2</v>
          </cell>
        </row>
        <row r="31">
          <cell r="L31">
            <v>-6.7540000000000003E-2</v>
          </cell>
        </row>
        <row r="32">
          <cell r="L32">
            <v>-6.5418000000000004E-2</v>
          </cell>
        </row>
        <row r="33">
          <cell r="L33">
            <v>-6.0206999999999997E-2</v>
          </cell>
        </row>
        <row r="34">
          <cell r="L34">
            <v>-5.7525E-2</v>
          </cell>
        </row>
        <row r="35">
          <cell r="L35">
            <v>-4.9321999999999998E-2</v>
          </cell>
        </row>
        <row r="36">
          <cell r="L36">
            <v>-5.083E-2</v>
          </cell>
        </row>
        <row r="37">
          <cell r="L37">
            <v>-4.8884999999999998E-2</v>
          </cell>
        </row>
        <row r="38">
          <cell r="L38">
            <v>-3.3404999999999997E-2</v>
          </cell>
        </row>
        <row r="39">
          <cell r="L39">
            <v>-2.8153000000000001E-2</v>
          </cell>
        </row>
        <row r="40">
          <cell r="L40">
            <v>-1.5890000000000001E-2</v>
          </cell>
        </row>
        <row r="41">
          <cell r="L41">
            <v>6.0480000000000004E-3</v>
          </cell>
        </row>
        <row r="42">
          <cell r="L42">
            <v>1.0325000000000001E-2</v>
          </cell>
        </row>
        <row r="43">
          <cell r="L43">
            <v>1.2423E-2</v>
          </cell>
        </row>
        <row r="44">
          <cell r="L44">
            <v>5.2290000000000001E-3</v>
          </cell>
        </row>
        <row r="45">
          <cell r="L45">
            <v>7.5310000000000004E-3</v>
          </cell>
        </row>
        <row r="46">
          <cell r="L46">
            <v>1.0291E-2</v>
          </cell>
        </row>
        <row r="47">
          <cell r="L47">
            <v>2.1259E-2</v>
          </cell>
        </row>
        <row r="48">
          <cell r="L48">
            <v>1.6043000000000002E-2</v>
          </cell>
        </row>
        <row r="49">
          <cell r="L49">
            <v>4.7099999999999998E-3</v>
          </cell>
        </row>
        <row r="50">
          <cell r="L50">
            <v>5.3689999999999996E-3</v>
          </cell>
        </row>
        <row r="51">
          <cell r="L51">
            <v>1.7177000000000001E-2</v>
          </cell>
        </row>
        <row r="52">
          <cell r="L52">
            <v>2.4181999999999999E-2</v>
          </cell>
        </row>
        <row r="53">
          <cell r="L53">
            <v>3.3751000000000003E-2</v>
          </cell>
        </row>
        <row r="54">
          <cell r="L54">
            <v>2.2776999999999999E-2</v>
          </cell>
        </row>
        <row r="55">
          <cell r="L55">
            <v>1.6343E-2</v>
          </cell>
        </row>
        <row r="56">
          <cell r="L56">
            <v>2.1642000000000002E-2</v>
          </cell>
        </row>
        <row r="57">
          <cell r="L57">
            <v>1.9401000000000002E-2</v>
          </cell>
        </row>
        <row r="58">
          <cell r="L58">
            <v>2.2114000000000002E-2</v>
          </cell>
        </row>
        <row r="59">
          <cell r="L59">
            <v>2.7276000000000002E-2</v>
          </cell>
        </row>
        <row r="60">
          <cell r="L60">
            <v>3.0232999999999999E-2</v>
          </cell>
        </row>
        <row r="61">
          <cell r="L61">
            <v>4.1410000000000002E-2</v>
          </cell>
        </row>
        <row r="62">
          <cell r="L62">
            <v>4.7010999999999997E-2</v>
          </cell>
        </row>
      </sheetData>
      <sheetData sheetId="7">
        <row r="2">
          <cell r="AA2">
            <v>0.83333299999999999</v>
          </cell>
        </row>
        <row r="3">
          <cell r="AA3">
            <v>6.6667000000000004E-2</v>
          </cell>
        </row>
        <row r="4">
          <cell r="AA4">
            <v>0.42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5C26-E672-DA44-BBDE-0DE05B6CD89A}">
  <dimension ref="A1:U30"/>
  <sheetViews>
    <sheetView tabSelected="1" workbookViewId="0">
      <selection activeCell="X23" sqref="X23"/>
    </sheetView>
  </sheetViews>
  <sheetFormatPr baseColWidth="10" defaultRowHeight="15" x14ac:dyDescent="0.2"/>
  <cols>
    <col min="11" max="11" width="6.33203125" customWidth="1"/>
  </cols>
  <sheetData>
    <row r="1" spans="1:21" ht="15" customHeight="1" x14ac:dyDescent="0.2">
      <c r="A1" s="29" t="s">
        <v>16</v>
      </c>
      <c r="B1" s="29"/>
      <c r="C1" s="29"/>
      <c r="D1" s="29"/>
      <c r="E1" s="29"/>
      <c r="F1" s="29"/>
      <c r="G1" s="29"/>
      <c r="H1" s="29"/>
      <c r="I1" s="29"/>
      <c r="J1" s="29"/>
      <c r="K1" s="30"/>
      <c r="L1" s="29" t="s">
        <v>17</v>
      </c>
      <c r="M1" s="29"/>
      <c r="N1" s="29"/>
      <c r="O1" s="29"/>
      <c r="P1" s="29"/>
      <c r="Q1" s="29"/>
      <c r="R1" s="29"/>
      <c r="S1" s="29"/>
      <c r="T1" s="29"/>
      <c r="U1" s="29"/>
    </row>
    <row r="2" spans="1:21" ht="15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30"/>
      <c r="L2" s="29"/>
      <c r="M2" s="29"/>
      <c r="N2" s="29"/>
      <c r="O2" s="29"/>
      <c r="P2" s="29"/>
      <c r="Q2" s="29"/>
      <c r="R2" s="29"/>
      <c r="S2" s="29"/>
      <c r="T2" s="29"/>
      <c r="U2" s="29"/>
    </row>
    <row r="29" spans="1:21" x14ac:dyDescent="0.2">
      <c r="A29" s="29" t="s">
        <v>25</v>
      </c>
      <c r="B29" s="29"/>
      <c r="C29" s="29"/>
      <c r="D29" s="29"/>
      <c r="E29" s="29"/>
      <c r="F29" s="29"/>
      <c r="G29" s="29"/>
      <c r="H29" s="29"/>
      <c r="I29" s="29"/>
      <c r="J29" s="29"/>
      <c r="L29" s="29" t="s">
        <v>26</v>
      </c>
      <c r="M29" s="29"/>
      <c r="N29" s="29"/>
      <c r="O29" s="29"/>
      <c r="P29" s="29"/>
      <c r="Q29" s="29"/>
      <c r="R29" s="29"/>
      <c r="S29" s="29"/>
      <c r="T29" s="29"/>
      <c r="U29" s="29"/>
    </row>
    <row r="30" spans="1:2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</sheetData>
  <mergeCells count="5">
    <mergeCell ref="A1:J2"/>
    <mergeCell ref="L1:U2"/>
    <mergeCell ref="K1:K2"/>
    <mergeCell ref="A29:J30"/>
    <mergeCell ref="L29:U3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opLeftCell="A4" zoomScale="125" workbookViewId="0">
      <selection activeCell="I23" sqref="I23"/>
    </sheetView>
  </sheetViews>
  <sheetFormatPr baseColWidth="10" defaultColWidth="8.83203125" defaultRowHeight="15" x14ac:dyDescent="0.2"/>
  <cols>
    <col min="1" max="1" width="25" customWidth="1"/>
    <col min="2" max="8" width="12" customWidth="1"/>
    <col min="9" max="9" width="18" bestFit="1" customWidth="1"/>
    <col min="12" max="12" width="8.83203125" customWidth="1"/>
    <col min="13" max="16" width="9.6640625" bestFit="1" customWidth="1"/>
  </cols>
  <sheetData>
    <row r="1" spans="1:12" ht="30" x14ac:dyDescent="0.2">
      <c r="A1" s="1"/>
      <c r="B1" s="1" t="s">
        <v>24</v>
      </c>
      <c r="C1" s="1" t="s">
        <v>19</v>
      </c>
      <c r="D1" s="1" t="s">
        <v>20</v>
      </c>
      <c r="E1" s="1" t="s">
        <v>18</v>
      </c>
      <c r="F1" s="1" t="s">
        <v>21</v>
      </c>
      <c r="G1" s="1" t="s">
        <v>22</v>
      </c>
      <c r="H1" s="1" t="s">
        <v>23</v>
      </c>
    </row>
    <row r="2" spans="1:12" x14ac:dyDescent="0.2">
      <c r="A2" s="26" t="s">
        <v>4</v>
      </c>
      <c r="B2" s="3" t="s">
        <v>0</v>
      </c>
      <c r="C2" s="5">
        <f>[5]gpt4omini_single_100!O5</f>
        <v>1</v>
      </c>
      <c r="D2" s="3">
        <f>[5]gpt4omini_single_100!O4</f>
        <v>0</v>
      </c>
      <c r="E2" s="17">
        <f>[5]gpt4omini_single_100!O6</f>
        <v>-0.63621700000000003</v>
      </c>
      <c r="F2" s="6">
        <f>[5]gpt4omini_shuffle_100!AA4</f>
        <v>0.99966699999999997</v>
      </c>
      <c r="G2" s="6">
        <f>[5]gpt4omini_shuffle_100!AA2</f>
        <v>1</v>
      </c>
      <c r="H2" s="6">
        <f>[5]gpt4omini_shuffle_100!AA3</f>
        <v>0.99</v>
      </c>
    </row>
    <row r="3" spans="1:12" x14ac:dyDescent="0.2">
      <c r="A3" s="26"/>
      <c r="B3" s="3" t="s">
        <v>15</v>
      </c>
      <c r="C3" s="5">
        <f>[6]gpt4omini_single_100!O5</f>
        <v>0.67</v>
      </c>
      <c r="D3" s="3">
        <f>[6]gpt4omini_single_100!O4</f>
        <v>33</v>
      </c>
      <c r="E3" s="17">
        <f>[6]gpt4omini_single_100!O6</f>
        <v>-6.9587999999999997E-2</v>
      </c>
      <c r="F3" s="6">
        <f>[6]gpt4omini_shuffle_100!AA4</f>
        <v>0.965333</v>
      </c>
      <c r="G3" s="6">
        <f>[6]gpt4omini_shuffle_100!AA2</f>
        <v>1</v>
      </c>
      <c r="H3" s="6">
        <f>[6]gpt4omini_shuffle_100!AA3</f>
        <v>0.68</v>
      </c>
    </row>
    <row r="4" spans="1:12" x14ac:dyDescent="0.2">
      <c r="A4" s="26"/>
      <c r="B4" s="3" t="s">
        <v>1</v>
      </c>
      <c r="C4" s="5">
        <f>[7]gpt4omini_single_100!O5</f>
        <v>0.01</v>
      </c>
      <c r="D4" s="3">
        <f>[7]gpt4omini_single_100!O4</f>
        <v>99</v>
      </c>
      <c r="E4" s="17">
        <f>[7]gpt4omini_single_100!O6</f>
        <v>0.21617</v>
      </c>
      <c r="F4" s="6">
        <f>[7]gpt4omini_shuffle_100!AA4</f>
        <v>0.20866699999999999</v>
      </c>
      <c r="G4" s="6">
        <f>[7]gpt4omini_shuffle_100!AA2</f>
        <v>0.64</v>
      </c>
      <c r="H4" s="6">
        <f>[7]gpt4omini_shuffle_100!AA3</f>
        <v>0.01</v>
      </c>
    </row>
    <row r="5" spans="1:12" x14ac:dyDescent="0.2">
      <c r="A5" s="26"/>
      <c r="B5" s="3" t="s">
        <v>2</v>
      </c>
      <c r="C5" s="5">
        <f>[8]gpt4omini_single_100!O5</f>
        <v>0.01</v>
      </c>
      <c r="D5" s="3">
        <f>[8]gpt4omini_single_100!O4</f>
        <v>99</v>
      </c>
      <c r="E5" s="17">
        <f>[8]gpt4omini_single_100!O6</f>
        <v>0.64480199999999999</v>
      </c>
      <c r="F5" s="6">
        <f>[8]gpt4omini_shuffle_100!AA4</f>
        <v>6.1667E-2</v>
      </c>
      <c r="G5" s="6">
        <f>[8]gpt4omini_shuffle_100!AA2</f>
        <v>0.2</v>
      </c>
      <c r="H5" s="6">
        <f>[8]gpt4omini_shuffle_100!AA3</f>
        <v>0</v>
      </c>
    </row>
    <row r="6" spans="1:12" x14ac:dyDescent="0.2">
      <c r="A6" s="27"/>
      <c r="B6" s="7" t="s">
        <v>3</v>
      </c>
      <c r="C6" s="8">
        <f>[9]gpt4omini_single_100!O5</f>
        <v>0.99</v>
      </c>
      <c r="D6" s="7">
        <f>[9]gpt4omini_single_100!O4</f>
        <v>1</v>
      </c>
      <c r="E6" s="18">
        <f>[9]gpt4omini_single_100!O6</f>
        <v>-0.65888199999999997</v>
      </c>
      <c r="F6" s="9">
        <f>[9]gpt4omini_shuffle_100!AA4</f>
        <v>0.99666699999999997</v>
      </c>
      <c r="G6" s="9">
        <f>[9]gpt4omini_shuffle_100!AA2</f>
        <v>1</v>
      </c>
      <c r="H6" s="9">
        <f>[9]gpt4omini_shuffle_100!AA3</f>
        <v>0.97</v>
      </c>
      <c r="L6" s="2"/>
    </row>
    <row r="7" spans="1:12" x14ac:dyDescent="0.2">
      <c r="A7" s="28" t="s">
        <v>9</v>
      </c>
      <c r="B7" s="3" t="s">
        <v>0</v>
      </c>
      <c r="C7" s="5">
        <f>[5]gpt4omini_single_60!O5</f>
        <v>1</v>
      </c>
      <c r="D7" s="3">
        <f>[5]gpt4omini_single_60!O4</f>
        <v>0</v>
      </c>
      <c r="E7" s="17">
        <f>[5]gpt4omini_single_60!O6</f>
        <v>-0.12123299999999999</v>
      </c>
      <c r="F7" s="6">
        <f>[5]gpt4omini_shuffle_60!AA4</f>
        <v>0.98166699999999996</v>
      </c>
      <c r="G7" s="6">
        <f>[5]gpt4omini_shuffle_60!AA2</f>
        <v>1</v>
      </c>
      <c r="H7" s="6">
        <f>[5]gpt4omini_shuffle_60!AA3</f>
        <v>0.86666699999999997</v>
      </c>
    </row>
    <row r="8" spans="1:12" x14ac:dyDescent="0.2">
      <c r="A8" s="26"/>
      <c r="B8" s="3" t="s">
        <v>14</v>
      </c>
      <c r="C8" s="5">
        <f>[6]gpt4omini_single_60!O5</f>
        <v>3.3333000000000002E-2</v>
      </c>
      <c r="D8" s="3">
        <f>[6]gpt4omini_single_60!O4</f>
        <v>58</v>
      </c>
      <c r="E8" s="17">
        <f>[6]gpt4omini_single_60!O6</f>
        <v>8.4541000000000005E-2</v>
      </c>
      <c r="F8" s="6">
        <f>[6]gpt4omini_shuffle_60!AA4</f>
        <v>0.20833299999999999</v>
      </c>
      <c r="G8" s="6">
        <f>[6]gpt4omini_shuffle_60!AA2</f>
        <v>0.63333300000000003</v>
      </c>
      <c r="H8" s="6">
        <f>[6]gpt4omini_shuffle_60!AA3</f>
        <v>0</v>
      </c>
    </row>
    <row r="9" spans="1:12" x14ac:dyDescent="0.2">
      <c r="A9" s="26"/>
      <c r="B9" s="3" t="s">
        <v>1</v>
      </c>
      <c r="C9" s="5">
        <f>[7]gpt4omini_single_60!O5</f>
        <v>1.6667000000000001E-2</v>
      </c>
      <c r="D9" s="3">
        <f>[7]gpt4omini_single_60!O4</f>
        <v>59</v>
      </c>
      <c r="E9" s="17">
        <f>[7]gpt4omini_single_60!O6</f>
        <v>0.216919</v>
      </c>
      <c r="F9" s="6">
        <f>[7]gpt4omini_shuffle_60!AA4</f>
        <v>6.0832999999999998E-2</v>
      </c>
      <c r="G9" s="6">
        <f>[7]gpt4omini_shuffle_60!AA2</f>
        <v>0.2</v>
      </c>
      <c r="H9" s="6">
        <f>[7]gpt4omini_shuffle_60!AA3</f>
        <v>0</v>
      </c>
    </row>
    <row r="10" spans="1:12" x14ac:dyDescent="0.2">
      <c r="A10" s="26"/>
      <c r="B10" s="3" t="s">
        <v>2</v>
      </c>
      <c r="C10" s="5">
        <f>[8]gpt4omini_single_60!O5</f>
        <v>0</v>
      </c>
      <c r="D10" s="3">
        <f>[8]gpt4omini_single_60!O4</f>
        <v>60</v>
      </c>
      <c r="E10" s="17">
        <f>[8]gpt4omini_single_60!O6</f>
        <v>1.2256020000000001</v>
      </c>
      <c r="F10" s="6">
        <f>[8]gpt4omini_shuffle_60!AA4</f>
        <v>5.7500000000000002E-2</v>
      </c>
      <c r="G10" s="6">
        <f>[8]gpt4omini_shuffle_60!AA2</f>
        <v>0.25</v>
      </c>
      <c r="H10" s="6">
        <f>[8]gpt4omini_shuffle_60!AA3</f>
        <v>0</v>
      </c>
    </row>
    <row r="11" spans="1:12" x14ac:dyDescent="0.2">
      <c r="A11" s="27"/>
      <c r="B11" s="7" t="s">
        <v>3</v>
      </c>
      <c r="C11" s="8">
        <f>[9]gpt4omini_single_60!O5</f>
        <v>1</v>
      </c>
      <c r="D11" s="7">
        <f>[9]gpt4omini_single_60!O4</f>
        <v>0</v>
      </c>
      <c r="E11" s="18">
        <f>[9]gpt4omini_single_60!O6</f>
        <v>-8.7847999999999996E-2</v>
      </c>
      <c r="F11" s="9">
        <f>[9]gpt4omini_shuffle_60!AA4</f>
        <v>0.93666700000000003</v>
      </c>
      <c r="G11" s="9">
        <f>[9]gpt4omini_shuffle_60!AA2</f>
        <v>1</v>
      </c>
      <c r="H11" s="9">
        <f>[9]gpt4omini_shuffle_60!AA3</f>
        <v>0.63333300000000003</v>
      </c>
    </row>
    <row r="12" spans="1:12" x14ac:dyDescent="0.2">
      <c r="A12" s="28" t="s">
        <v>10</v>
      </c>
      <c r="B12" s="3" t="s">
        <v>0</v>
      </c>
      <c r="C12" s="5">
        <f>[5]gpt4omini_single_100_2!O5</f>
        <v>1</v>
      </c>
      <c r="D12" s="3">
        <f>[5]gpt4omini_single_100_2!O4</f>
        <v>0</v>
      </c>
      <c r="E12" s="17">
        <f>[5]gpt4omini_single_100_2!O6</f>
        <v>-1.1682490000000001</v>
      </c>
      <c r="F12" s="6">
        <f>[5]gpt4omini_shuffle_100_2!AA4</f>
        <v>0.99966699999999997</v>
      </c>
      <c r="G12" s="6">
        <f>[5]gpt4omini_shuffle_100_2!AA2</f>
        <v>1</v>
      </c>
      <c r="H12" s="6">
        <f>[5]gpt4omini_shuffle_100_2!AA3</f>
        <v>0.99</v>
      </c>
    </row>
    <row r="13" spans="1:12" x14ac:dyDescent="0.2">
      <c r="A13" s="26"/>
      <c r="B13" s="3" t="s">
        <v>14</v>
      </c>
      <c r="C13" s="5">
        <f>[6]gpt4omini_single_100_2!O5</f>
        <v>1</v>
      </c>
      <c r="D13" s="3">
        <f>[6]gpt4omini_single_100_2!O4</f>
        <v>0</v>
      </c>
      <c r="E13" s="17">
        <f>[6]gpt4omini_single_100_2!O6</f>
        <v>-1.10232</v>
      </c>
      <c r="F13" s="6">
        <f>[6]gpt4omini_shuffle_100_2!AA4</f>
        <v>1</v>
      </c>
      <c r="G13" s="6">
        <f>[6]gpt4omini_shuffle_100_2!AA2</f>
        <v>1</v>
      </c>
      <c r="H13" s="6">
        <f>[6]gpt4omini_shuffle_100_2!AA3</f>
        <v>1</v>
      </c>
    </row>
    <row r="14" spans="1:12" x14ac:dyDescent="0.2">
      <c r="A14" s="26"/>
      <c r="B14" s="3" t="s">
        <v>1</v>
      </c>
      <c r="C14" s="5">
        <f>[7]gpt4omini_single_100_2!O5</f>
        <v>1</v>
      </c>
      <c r="D14" s="3">
        <f>[7]gpt4omini_single_100_2!O4</f>
        <v>0</v>
      </c>
      <c r="E14" s="17">
        <f>[7]gpt4omini_single_100_2!O6</f>
        <v>-0.82979400000000003</v>
      </c>
      <c r="F14" s="6">
        <f>[7]gpt4omini_shuffle_100_2!AA4</f>
        <v>0.99966699999999997</v>
      </c>
      <c r="G14" s="6">
        <f>[7]gpt4omini_shuffle_100_2!AA2</f>
        <v>1</v>
      </c>
      <c r="H14" s="6">
        <f>[7]gpt4omini_shuffle_100_2!AA3</f>
        <v>0.99</v>
      </c>
    </row>
    <row r="15" spans="1:12" x14ac:dyDescent="0.2">
      <c r="A15" s="26"/>
      <c r="B15" s="3" t="s">
        <v>2</v>
      </c>
      <c r="C15" s="5">
        <f>[8]gpt4omini_single_100_2!O5</f>
        <v>1</v>
      </c>
      <c r="D15" s="3">
        <f>[8]gpt4omini_single_100_2!O4</f>
        <v>0</v>
      </c>
      <c r="E15" s="17">
        <f>[8]gpt4omini_single_100_2!O6</f>
        <v>-0.80690899999999999</v>
      </c>
      <c r="F15" s="6">
        <f>[8]gpt4omini_shuffle_100_2!AA4</f>
        <v>0.99466699999999997</v>
      </c>
      <c r="G15" s="6">
        <f>[8]gpt4omini_shuffle_100_2!AA2</f>
        <v>1</v>
      </c>
      <c r="H15" s="6">
        <f>[8]gpt4omini_shuffle_100_2!AA3</f>
        <v>0.92</v>
      </c>
    </row>
    <row r="16" spans="1:12" x14ac:dyDescent="0.2">
      <c r="A16" s="27"/>
      <c r="B16" s="7" t="s">
        <v>3</v>
      </c>
      <c r="C16" s="8">
        <f>[9]gpt4omini_single_100_2!O5</f>
        <v>1</v>
      </c>
      <c r="D16" s="7">
        <f>[9]gpt4omini_single_100_2!O4</f>
        <v>0</v>
      </c>
      <c r="E16" s="18">
        <f>[9]gpt4omini_single_100_2!O6</f>
        <v>-1.104663</v>
      </c>
      <c r="F16" s="9">
        <f>[9]gpt4omini_shuffle_100_2!AA4</f>
        <v>1</v>
      </c>
      <c r="G16" s="9">
        <f>[9]gpt4omini_shuffle_100_2!AA2</f>
        <v>1</v>
      </c>
      <c r="H16" s="9">
        <f>[9]gpt4omini_shuffle_100_2!AA3</f>
        <v>1</v>
      </c>
    </row>
    <row r="17" spans="1:8" x14ac:dyDescent="0.2">
      <c r="A17" s="28" t="s">
        <v>11</v>
      </c>
      <c r="B17" s="3" t="s">
        <v>0</v>
      </c>
      <c r="C17" s="5">
        <f>[5]gpt4omini_single_60_2!O5</f>
        <v>1</v>
      </c>
      <c r="D17" s="3">
        <f>[5]gpt4omini_single_60_2!O4</f>
        <v>0</v>
      </c>
      <c r="E17" s="17">
        <f>[5]gpt4omini_single_60_2!O6</f>
        <v>-0.40472200000000003</v>
      </c>
      <c r="F17" s="6">
        <f>[5]gpt4omini_shuffle_60_2!AA4</f>
        <v>1</v>
      </c>
      <c r="G17" s="6">
        <f>[5]gpt4omini_shuffle_60_2!AA2</f>
        <v>1</v>
      </c>
      <c r="H17" s="6">
        <f>[5]gpt4omini_shuffle_60_2!AA3</f>
        <v>1</v>
      </c>
    </row>
    <row r="18" spans="1:8" x14ac:dyDescent="0.2">
      <c r="A18" s="26"/>
      <c r="B18" s="3" t="s">
        <v>14</v>
      </c>
      <c r="C18" s="5">
        <f>[6]gpt4omini_single_60_2!O5</f>
        <v>1</v>
      </c>
      <c r="D18" s="3">
        <f>[6]gpt4omini_single_60_2!O4</f>
        <v>0</v>
      </c>
      <c r="E18" s="17">
        <f>[6]gpt4omini_single_60_2!O6</f>
        <v>-0.33034000000000002</v>
      </c>
      <c r="F18" s="6">
        <f>[6]gpt4omini_shuffle_60_2!AA4</f>
        <v>0.99833300000000003</v>
      </c>
      <c r="G18" s="6">
        <f>[6]gpt4omini_shuffle_60_2!AA2</f>
        <v>1</v>
      </c>
      <c r="H18" s="6">
        <f>[6]gpt4omini_shuffle_60_2!AA3</f>
        <v>0.96666700000000005</v>
      </c>
    </row>
    <row r="19" spans="1:8" x14ac:dyDescent="0.2">
      <c r="A19" s="26"/>
      <c r="B19" s="3" t="s">
        <v>1</v>
      </c>
      <c r="C19" s="5">
        <f>[7]gpt4omini_single_60_2!O5</f>
        <v>0.56666700000000003</v>
      </c>
      <c r="D19" s="3">
        <f>[7]gpt4omini_single_60_2!O4</f>
        <v>26</v>
      </c>
      <c r="E19" s="17">
        <f>[7]gpt4omini_single_60_2!O6</f>
        <v>-0.162244</v>
      </c>
      <c r="F19" s="6">
        <f>[7]gpt4omini_shuffle_60_2!AA4</f>
        <v>0.91166700000000001</v>
      </c>
      <c r="G19" s="6">
        <f>[7]gpt4omini_shuffle_60_2!AA2</f>
        <v>1</v>
      </c>
      <c r="H19" s="6">
        <f>[7]gpt4omini_shuffle_60_2!AA3</f>
        <v>0.45</v>
      </c>
    </row>
    <row r="20" spans="1:8" x14ac:dyDescent="0.2">
      <c r="A20" s="26"/>
      <c r="B20" s="3" t="s">
        <v>2</v>
      </c>
      <c r="C20" s="5">
        <f>[8]gpt4omini_single_60_2!O5</f>
        <v>0.76666699999999999</v>
      </c>
      <c r="D20" s="3">
        <f>[8]gpt4omini_single_60_2!O4</f>
        <v>14</v>
      </c>
      <c r="E20" s="17">
        <f>[8]gpt4omini_single_60_2!O6</f>
        <v>0.218504</v>
      </c>
      <c r="F20" s="6">
        <f>[8]gpt4omini_shuffle_60_2!AA4</f>
        <v>0.435</v>
      </c>
      <c r="G20" s="6">
        <f>[8]gpt4omini_shuffle_60_2!AA2</f>
        <v>0.73333300000000001</v>
      </c>
      <c r="H20" s="6">
        <f>[8]gpt4omini_shuffle_60_2!AA3</f>
        <v>0.11666700000000001</v>
      </c>
    </row>
    <row r="21" spans="1:8" x14ac:dyDescent="0.2">
      <c r="A21" s="26"/>
      <c r="B21" s="3" t="s">
        <v>3</v>
      </c>
      <c r="C21" s="5">
        <f>[9]gpt4omini_single_60_2!O5</f>
        <v>1</v>
      </c>
      <c r="D21" s="3">
        <f>[9]gpt4omini_single_60_2!O4</f>
        <v>0</v>
      </c>
      <c r="E21" s="17">
        <f>[9]gpt4omini_single_60_2!O6</f>
        <v>-0.39962799999999998</v>
      </c>
      <c r="F21" s="6">
        <f>[9]gpt4omini_shuffle_60_2!AA4</f>
        <v>0.99916700000000003</v>
      </c>
      <c r="G21" s="6">
        <f>[9]gpt4omini_shuffle_60_2!AA2</f>
        <v>1</v>
      </c>
      <c r="H21" s="6">
        <f>[9]gpt4omini_shuffle_60_2!AA3</f>
        <v>0.98333300000000001</v>
      </c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4"/>
    </row>
    <row r="25" spans="1:8" x14ac:dyDescent="0.2">
      <c r="A25" s="4"/>
    </row>
    <row r="26" spans="1:8" x14ac:dyDescent="0.2">
      <c r="A26" s="4"/>
    </row>
    <row r="27" spans="1:8" x14ac:dyDescent="0.2">
      <c r="A27" s="4"/>
    </row>
    <row r="28" spans="1:8" x14ac:dyDescent="0.2">
      <c r="A28" s="4"/>
    </row>
    <row r="29" spans="1:8" x14ac:dyDescent="0.2">
      <c r="A29" s="4"/>
      <c r="B29" s="3"/>
      <c r="C29" s="3"/>
      <c r="D29" s="3"/>
      <c r="E29" s="3"/>
      <c r="F29" s="3"/>
      <c r="G29" s="3"/>
      <c r="H29" s="3"/>
    </row>
    <row r="30" spans="1:8" x14ac:dyDescent="0.2">
      <c r="A30" s="4"/>
      <c r="B30" s="3"/>
      <c r="C30" s="3"/>
      <c r="D30" s="3"/>
      <c r="E30" s="3"/>
      <c r="F30" s="3"/>
      <c r="G30" s="3"/>
      <c r="H30" s="3"/>
    </row>
    <row r="31" spans="1:8" x14ac:dyDescent="0.2">
      <c r="A31" s="4"/>
      <c r="B31" s="3"/>
      <c r="C31" s="3"/>
      <c r="D31" s="3"/>
      <c r="E31" s="3"/>
      <c r="F31" s="3"/>
      <c r="G31" s="3"/>
      <c r="H31" s="3"/>
    </row>
    <row r="32" spans="1:8" x14ac:dyDescent="0.2">
      <c r="A32" s="4"/>
      <c r="B32" s="3"/>
      <c r="C32" s="3"/>
      <c r="D32" s="3"/>
      <c r="E32" s="3"/>
      <c r="F32" s="3"/>
      <c r="G32" s="3"/>
      <c r="H32" s="3"/>
    </row>
    <row r="33" spans="1:14" x14ac:dyDescent="0.2">
      <c r="A33" s="4"/>
      <c r="B33" s="3"/>
      <c r="C33" s="3"/>
      <c r="D33" s="3"/>
      <c r="E33" s="3"/>
      <c r="F33" s="3"/>
      <c r="G33" s="3"/>
      <c r="H33" s="3"/>
    </row>
    <row r="34" spans="1:14" x14ac:dyDescent="0.2">
      <c r="A34" s="4"/>
      <c r="B34" s="3"/>
      <c r="C34" s="3"/>
      <c r="D34" s="3"/>
      <c r="E34" s="3"/>
      <c r="F34" s="3"/>
      <c r="G34" s="3"/>
      <c r="H34" s="3"/>
      <c r="I34" s="16" t="s">
        <v>13</v>
      </c>
      <c r="J34" s="19" t="s">
        <v>0</v>
      </c>
      <c r="K34" s="19" t="s">
        <v>14</v>
      </c>
      <c r="L34" s="19" t="s">
        <v>1</v>
      </c>
      <c r="M34" s="19" t="s">
        <v>2</v>
      </c>
      <c r="N34" s="19" t="s">
        <v>3</v>
      </c>
    </row>
    <row r="35" spans="1:14" x14ac:dyDescent="0.2">
      <c r="A35" s="4"/>
      <c r="B35" s="3"/>
      <c r="C35" s="3"/>
      <c r="D35" s="3"/>
      <c r="E35" s="3"/>
      <c r="F35" s="3"/>
      <c r="G35" s="3"/>
      <c r="H35" s="3"/>
      <c r="I35" s="19" t="s">
        <v>5</v>
      </c>
      <c r="J35" s="10">
        <f>E2</f>
        <v>-0.63621700000000003</v>
      </c>
      <c r="K35" s="10">
        <f>E3</f>
        <v>-6.9587999999999997E-2</v>
      </c>
      <c r="L35" s="10">
        <f>E4</f>
        <v>0.21617</v>
      </c>
      <c r="M35" s="10">
        <f>E5</f>
        <v>0.64480199999999999</v>
      </c>
      <c r="N35" s="10">
        <f>E6</f>
        <v>-0.65888199999999997</v>
      </c>
    </row>
    <row r="36" spans="1:14" x14ac:dyDescent="0.2">
      <c r="A36" s="4"/>
      <c r="B36" s="3"/>
      <c r="C36" s="3"/>
      <c r="D36" s="3"/>
      <c r="E36" s="3"/>
      <c r="F36" s="3"/>
      <c r="G36" s="3"/>
      <c r="H36" s="3"/>
      <c r="I36" s="19" t="s">
        <v>6</v>
      </c>
      <c r="J36" s="10">
        <f>E7</f>
        <v>-0.12123299999999999</v>
      </c>
      <c r="K36" s="10">
        <f>E8</f>
        <v>8.4541000000000005E-2</v>
      </c>
      <c r="L36" s="10">
        <f>E9</f>
        <v>0.216919</v>
      </c>
      <c r="M36" s="10">
        <f>E10</f>
        <v>1.2256020000000001</v>
      </c>
      <c r="N36" s="10">
        <f>E11</f>
        <v>-8.7847999999999996E-2</v>
      </c>
    </row>
    <row r="37" spans="1:14" x14ac:dyDescent="0.2">
      <c r="A37" s="4"/>
      <c r="B37" s="3"/>
      <c r="C37" s="3"/>
      <c r="D37" s="3"/>
      <c r="E37" s="3"/>
      <c r="F37" s="3"/>
      <c r="G37" s="3"/>
      <c r="H37" s="3"/>
      <c r="I37" s="19" t="s">
        <v>7</v>
      </c>
      <c r="J37" s="10">
        <f>E12</f>
        <v>-1.1682490000000001</v>
      </c>
      <c r="K37" s="10">
        <f>E13</f>
        <v>-1.10232</v>
      </c>
      <c r="L37" s="10">
        <f>E14</f>
        <v>-0.82979400000000003</v>
      </c>
      <c r="M37" s="10">
        <f>E15</f>
        <v>-0.80690899999999999</v>
      </c>
      <c r="N37" s="10">
        <f>E16</f>
        <v>-1.104663</v>
      </c>
    </row>
    <row r="38" spans="1:14" x14ac:dyDescent="0.2">
      <c r="A38" s="4"/>
      <c r="B38" s="3"/>
      <c r="C38" s="3"/>
      <c r="D38" s="3"/>
      <c r="E38" s="3"/>
      <c r="F38" s="3"/>
      <c r="G38" s="3"/>
      <c r="H38" s="3"/>
      <c r="I38" s="19" t="s">
        <v>8</v>
      </c>
      <c r="J38" s="10">
        <f>E17</f>
        <v>-0.40472200000000003</v>
      </c>
      <c r="K38" s="10">
        <f>E18</f>
        <v>-0.33034000000000002</v>
      </c>
      <c r="L38" s="10">
        <f>E19</f>
        <v>-0.162244</v>
      </c>
      <c r="M38" s="10">
        <f>E20</f>
        <v>0.218504</v>
      </c>
      <c r="N38" s="10">
        <f>E21</f>
        <v>-0.39962799999999998</v>
      </c>
    </row>
    <row r="39" spans="1:14" x14ac:dyDescent="0.2">
      <c r="A39" s="4"/>
      <c r="B39" s="3"/>
      <c r="C39" s="3"/>
      <c r="D39" s="3"/>
      <c r="E39" s="3"/>
      <c r="F39" s="3"/>
      <c r="G39" s="3"/>
      <c r="H39" s="3"/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3"/>
  <sheetViews>
    <sheetView topLeftCell="F1" zoomScale="125" zoomScaleNormal="167" workbookViewId="0">
      <selection activeCell="Y1" sqref="Y1"/>
    </sheetView>
  </sheetViews>
  <sheetFormatPr baseColWidth="10" defaultColWidth="8.83203125" defaultRowHeight="15" x14ac:dyDescent="0.2"/>
  <sheetData>
    <row r="1" spans="1:24" x14ac:dyDescent="0.2">
      <c r="A1" s="32" t="s">
        <v>4</v>
      </c>
      <c r="B1" s="31"/>
      <c r="C1" s="31"/>
      <c r="D1" s="31"/>
      <c r="E1" s="31"/>
      <c r="F1" s="33"/>
      <c r="G1" s="31" t="s">
        <v>9</v>
      </c>
      <c r="H1" s="31"/>
      <c r="I1" s="31"/>
      <c r="J1" s="31"/>
      <c r="K1" s="31"/>
      <c r="L1" s="31"/>
      <c r="M1" s="32" t="s">
        <v>10</v>
      </c>
      <c r="N1" s="31"/>
      <c r="O1" s="31"/>
      <c r="P1" s="31"/>
      <c r="Q1" s="31"/>
      <c r="R1" s="33"/>
      <c r="S1" s="31" t="s">
        <v>11</v>
      </c>
      <c r="T1" s="31"/>
      <c r="U1" s="31"/>
      <c r="V1" s="31"/>
      <c r="W1" s="31"/>
      <c r="X1" s="31"/>
    </row>
    <row r="2" spans="1:24" x14ac:dyDescent="0.2">
      <c r="A2" s="13" t="s">
        <v>12</v>
      </c>
      <c r="B2" s="14" t="s">
        <v>0</v>
      </c>
      <c r="C2" s="14" t="s">
        <v>14</v>
      </c>
      <c r="D2" s="14" t="s">
        <v>1</v>
      </c>
      <c r="E2" s="14" t="s">
        <v>2</v>
      </c>
      <c r="F2" s="15" t="s">
        <v>3</v>
      </c>
      <c r="G2" s="14" t="s">
        <v>12</v>
      </c>
      <c r="H2" s="14" t="s">
        <v>0</v>
      </c>
      <c r="I2" s="14" t="s">
        <v>14</v>
      </c>
      <c r="J2" s="14" t="s">
        <v>1</v>
      </c>
      <c r="K2" s="14" t="s">
        <v>2</v>
      </c>
      <c r="L2" s="14" t="s">
        <v>3</v>
      </c>
      <c r="M2" s="13" t="s">
        <v>12</v>
      </c>
      <c r="N2" s="14" t="s">
        <v>0</v>
      </c>
      <c r="O2" s="14" t="s">
        <v>14</v>
      </c>
      <c r="P2" s="14" t="s">
        <v>1</v>
      </c>
      <c r="Q2" s="14" t="s">
        <v>2</v>
      </c>
      <c r="R2" s="15" t="s">
        <v>3</v>
      </c>
      <c r="S2" s="14" t="s">
        <v>12</v>
      </c>
      <c r="T2" s="14" t="s">
        <v>0</v>
      </c>
      <c r="U2" s="14" t="s">
        <v>14</v>
      </c>
      <c r="V2" s="14" t="s">
        <v>1</v>
      </c>
      <c r="W2" s="14" t="s">
        <v>2</v>
      </c>
      <c r="X2" s="14" t="s">
        <v>3</v>
      </c>
    </row>
    <row r="3" spans="1:24" x14ac:dyDescent="0.2">
      <c r="A3" s="12">
        <v>0</v>
      </c>
      <c r="B3">
        <f>[5]gpt4omini_single_100!L2</f>
        <v>0</v>
      </c>
      <c r="C3">
        <f>[6]gpt4omini_single_100!L2</f>
        <v>0</v>
      </c>
      <c r="D3">
        <f>[7]gpt4omini_single_100!L2</f>
        <v>0</v>
      </c>
      <c r="E3">
        <f>[8]gpt4omini_single_100!L2</f>
        <v>0</v>
      </c>
      <c r="F3" s="11">
        <f>[9]gpt4omini_single_100!L2</f>
        <v>0</v>
      </c>
      <c r="G3">
        <v>0</v>
      </c>
      <c r="H3">
        <f>[5]gpt4omini_single_60!L2</f>
        <v>0</v>
      </c>
      <c r="I3">
        <f>[6]gpt4omini_single_60!L2</f>
        <v>0</v>
      </c>
      <c r="J3">
        <f>[7]gpt4omini_single_60!L2</f>
        <v>0</v>
      </c>
      <c r="K3">
        <f>[8]gpt4omini_single_60!L2</f>
        <v>0</v>
      </c>
      <c r="L3">
        <f>[9]gpt4omini_single_60!L2</f>
        <v>0</v>
      </c>
      <c r="M3" s="12">
        <v>0</v>
      </c>
      <c r="N3">
        <f>[5]gpt4omini_single_100_2!L2</f>
        <v>0</v>
      </c>
      <c r="O3">
        <f>[6]gpt4omini_single_100_2!L2</f>
        <v>0</v>
      </c>
      <c r="P3">
        <f>[7]gpt4omini_single_100_2!L2</f>
        <v>0</v>
      </c>
      <c r="Q3">
        <f>[8]gpt4omini_single_100_2!L2</f>
        <v>0</v>
      </c>
      <c r="R3" s="11">
        <f>[9]gpt4omini_single_100_2!L2</f>
        <v>0</v>
      </c>
      <c r="S3">
        <v>0</v>
      </c>
      <c r="T3">
        <f>[5]gpt4omini_single_60_2!L2</f>
        <v>0</v>
      </c>
      <c r="U3">
        <f>[6]gpt4omini_single_60_2!L2</f>
        <v>0</v>
      </c>
      <c r="V3">
        <f>[7]gpt4omini_single_60_2!L2</f>
        <v>0</v>
      </c>
      <c r="W3">
        <f>[8]gpt4omini_single_60_2!L2</f>
        <v>0</v>
      </c>
      <c r="X3">
        <f>[9]gpt4omini_single_60_2!L2</f>
        <v>0</v>
      </c>
    </row>
    <row r="4" spans="1:24" x14ac:dyDescent="0.2">
      <c r="A4" s="12">
        <v>1</v>
      </c>
      <c r="B4">
        <f>[5]gpt4omini_single_100!L3</f>
        <v>-7.0520000000000001E-3</v>
      </c>
      <c r="C4">
        <f>[6]gpt4omini_single_100!L3</f>
        <v>-1.24E-3</v>
      </c>
      <c r="D4">
        <f>[7]gpt4omini_single_100!L3</f>
        <v>-1.1637E-2</v>
      </c>
      <c r="E4">
        <f>[8]gpt4omini_single_100!L3</f>
        <v>-1.374E-3</v>
      </c>
      <c r="F4" s="11">
        <f>[9]gpt4omini_single_100!L3</f>
        <v>-7.6649999999999999E-3</v>
      </c>
      <c r="G4">
        <v>1</v>
      </c>
      <c r="H4">
        <f>[5]gpt4omini_single_60!L3</f>
        <v>-2.447E-3</v>
      </c>
      <c r="I4">
        <f>[6]gpt4omini_single_60!L3</f>
        <v>-3.5469999999999998E-3</v>
      </c>
      <c r="J4">
        <f>[7]gpt4omini_single_60!L3</f>
        <v>3.581E-3</v>
      </c>
      <c r="K4">
        <f>[8]gpt4omini_single_60!L3</f>
        <v>4.2490000000000002E-3</v>
      </c>
      <c r="L4">
        <f>[9]gpt4omini_single_60!L3</f>
        <v>-1.6130000000000001E-3</v>
      </c>
      <c r="M4" s="12">
        <v>1</v>
      </c>
      <c r="N4">
        <f>[5]gpt4omini_single_100_2!L3</f>
        <v>-3.6311000000000003E-2</v>
      </c>
      <c r="O4">
        <f>[6]gpt4omini_single_100_2!L3</f>
        <v>-1.0739E-2</v>
      </c>
      <c r="P4">
        <f>[7]gpt4omini_single_100_2!L3</f>
        <v>-1.0848E-2</v>
      </c>
      <c r="Q4">
        <f>[8]gpt4omini_single_100_2!L3</f>
        <v>-4.2195000000000003E-2</v>
      </c>
      <c r="R4" s="11">
        <f>[9]gpt4omini_single_100_2!L3</f>
        <v>-3.7443999999999998E-2</v>
      </c>
      <c r="S4">
        <v>1</v>
      </c>
      <c r="T4">
        <f>[5]gpt4omini_single_60_2!L3</f>
        <v>-7.9360000000000003E-3</v>
      </c>
      <c r="U4">
        <f>[6]gpt4omini_single_60_2!L3</f>
        <v>-1.1958E-2</v>
      </c>
      <c r="V4">
        <f>[7]gpt4omini_single_60_2!L3</f>
        <v>-2.794E-3</v>
      </c>
      <c r="W4">
        <f>[8]gpt4omini_single_60_2!L3</f>
        <v>-1.9726E-2</v>
      </c>
      <c r="X4">
        <f>[9]gpt4omini_single_60_2!L3</f>
        <v>-6.2350000000000001E-3</v>
      </c>
    </row>
    <row r="5" spans="1:24" x14ac:dyDescent="0.2">
      <c r="A5" s="12">
        <v>2</v>
      </c>
      <c r="B5">
        <f>[5]gpt4omini_single_100!L4</f>
        <v>-1.2291E-2</v>
      </c>
      <c r="C5">
        <f>[6]gpt4omini_single_100!L4</f>
        <v>9.4289999999999999E-3</v>
      </c>
      <c r="D5">
        <f>[7]gpt4omini_single_100!L4</f>
        <v>1.2215E-2</v>
      </c>
      <c r="E5">
        <f>[8]gpt4omini_single_100!L4</f>
        <v>7.0349999999999996E-3</v>
      </c>
      <c r="F5" s="11">
        <f>[9]gpt4omini_single_100!L4</f>
        <v>1.0994E-2</v>
      </c>
      <c r="G5">
        <v>2</v>
      </c>
      <c r="H5">
        <f>[5]gpt4omini_single_60!L4</f>
        <v>-4.4889999999999999E-3</v>
      </c>
      <c r="I5">
        <f>[6]gpt4omini_single_60!L4</f>
        <v>2.9160000000000002E-3</v>
      </c>
      <c r="J5">
        <f>[7]gpt4omini_single_60!L4</f>
        <v>1.0958000000000001E-2</v>
      </c>
      <c r="K5">
        <f>[8]gpt4omini_single_60!L4</f>
        <v>5.0860000000000002E-3</v>
      </c>
      <c r="L5">
        <f>[9]gpt4omini_single_60!L4</f>
        <v>-2.8140000000000001E-3</v>
      </c>
      <c r="M5" s="12">
        <v>2</v>
      </c>
      <c r="N5">
        <f>[5]gpt4omini_single_100_2!L4</f>
        <v>-5.6297E-2</v>
      </c>
      <c r="O5">
        <f>[6]gpt4omini_single_100_2!L4</f>
        <v>-2.578E-3</v>
      </c>
      <c r="P5">
        <f>[7]gpt4omini_single_100_2!L4</f>
        <v>-1.0285000000000001E-2</v>
      </c>
      <c r="Q5">
        <f>[8]gpt4omini_single_100_2!L4</f>
        <v>-3.8510000000000003E-2</v>
      </c>
      <c r="R5" s="11">
        <f>[9]gpt4omini_single_100_2!L4</f>
        <v>-2.4438000000000001E-2</v>
      </c>
      <c r="S5">
        <v>2</v>
      </c>
      <c r="T5">
        <f>[5]gpt4omini_single_60_2!L4</f>
        <v>-1.451E-2</v>
      </c>
      <c r="U5">
        <f>[6]gpt4omini_single_60_2!L4</f>
        <v>-1.7950000000000001E-2</v>
      </c>
      <c r="V5">
        <f>[7]gpt4omini_single_60_2!L4</f>
        <v>6.6799999999999997E-4</v>
      </c>
      <c r="W5">
        <f>[8]gpt4omini_single_60_2!L4</f>
        <v>-1.6496E-2</v>
      </c>
      <c r="X5">
        <f>[9]gpt4omini_single_60_2!L4</f>
        <v>-1.2638E-2</v>
      </c>
    </row>
    <row r="6" spans="1:24" x14ac:dyDescent="0.2">
      <c r="A6" s="12">
        <v>3</v>
      </c>
      <c r="B6">
        <f>[5]gpt4omini_single_100!L5</f>
        <v>-2.2422999999999998E-2</v>
      </c>
      <c r="C6">
        <f>[6]gpt4omini_single_100!L5</f>
        <v>-4.1780000000000003E-3</v>
      </c>
      <c r="D6">
        <f>[7]gpt4omini_single_100!L5</f>
        <v>1.7527999999999998E-2</v>
      </c>
      <c r="E6">
        <f>[8]gpt4omini_single_100!L5</f>
        <v>3.0006000000000001E-2</v>
      </c>
      <c r="F6" s="11">
        <f>[9]gpt4omini_single_100!L5</f>
        <v>-1.3988E-2</v>
      </c>
      <c r="G6">
        <v>3</v>
      </c>
      <c r="H6">
        <f>[5]gpt4omini_single_60!L5</f>
        <v>-4.7410000000000004E-3</v>
      </c>
      <c r="I6">
        <f>[6]gpt4omini_single_60!L5</f>
        <v>2.519E-3</v>
      </c>
      <c r="J6">
        <f>[7]gpt4omini_single_60!L5</f>
        <v>1.5970000000000002E-2</v>
      </c>
      <c r="K6">
        <f>[8]gpt4omini_single_60!L5</f>
        <v>1.5518000000000001E-2</v>
      </c>
      <c r="L6">
        <f>[9]gpt4omini_single_60!L5</f>
        <v>-3.9999999999999998E-6</v>
      </c>
      <c r="M6" s="12">
        <v>3</v>
      </c>
      <c r="N6">
        <f>[5]gpt4omini_single_100_2!L5</f>
        <v>-8.8549000000000003E-2</v>
      </c>
      <c r="O6">
        <f>[6]gpt4omini_single_100_2!L5</f>
        <v>-4.1354000000000002E-2</v>
      </c>
      <c r="P6">
        <f>[7]gpt4omini_single_100_2!L5</f>
        <v>-3.1251000000000001E-2</v>
      </c>
      <c r="Q6">
        <f>[8]gpt4omini_single_100_2!L5</f>
        <v>-6.7956000000000003E-2</v>
      </c>
      <c r="R6" s="11">
        <f>[9]gpt4omini_single_100_2!L5</f>
        <v>-7.1870000000000003E-2</v>
      </c>
      <c r="S6">
        <v>3</v>
      </c>
      <c r="T6">
        <f>[5]gpt4omini_single_60_2!L5</f>
        <v>-1.4592000000000001E-2</v>
      </c>
      <c r="U6">
        <f>[6]gpt4omini_single_60_2!L5</f>
        <v>-1.8016999999999998E-2</v>
      </c>
      <c r="V6">
        <f>[7]gpt4omini_single_60_2!L5</f>
        <v>1.841E-3</v>
      </c>
      <c r="W6">
        <f>[8]gpt4omini_single_60_2!L5</f>
        <v>-6.4440000000000001E-3</v>
      </c>
      <c r="X6">
        <f>[9]gpt4omini_single_60_2!L5</f>
        <v>-1.4276E-2</v>
      </c>
    </row>
    <row r="7" spans="1:24" x14ac:dyDescent="0.2">
      <c r="A7" s="12">
        <v>4</v>
      </c>
      <c r="B7">
        <f>[5]gpt4omini_single_100!L6</f>
        <v>-3.1123000000000001E-2</v>
      </c>
      <c r="C7">
        <f>[6]gpt4omini_single_100!L6</f>
        <v>-2.63E-4</v>
      </c>
      <c r="D7">
        <f>[7]gpt4omini_single_100!L6</f>
        <v>1.2034E-2</v>
      </c>
      <c r="E7">
        <f>[8]gpt4omini_single_100!L6</f>
        <v>3.7472999999999999E-2</v>
      </c>
      <c r="F7" s="11">
        <f>[9]gpt4omini_single_100!L6</f>
        <v>-2.9791000000000002E-2</v>
      </c>
      <c r="G7">
        <v>4</v>
      </c>
      <c r="H7">
        <f>[5]gpt4omini_single_60!L6</f>
        <v>-1.9319999999999999E-3</v>
      </c>
      <c r="I7">
        <f>[6]gpt4omini_single_60!L6</f>
        <v>1.0111E-2</v>
      </c>
      <c r="J7">
        <f>[7]gpt4omini_single_60!L6</f>
        <v>2.6440000000000001E-3</v>
      </c>
      <c r="K7">
        <f>[8]gpt4omini_single_60!L6</f>
        <v>1.6246E-2</v>
      </c>
      <c r="L7">
        <f>[9]gpt4omini_single_60!L6</f>
        <v>-6.1440000000000002E-3</v>
      </c>
      <c r="M7" s="12">
        <v>4</v>
      </c>
      <c r="N7">
        <f>[5]gpt4omini_single_100_2!L6</f>
        <v>-0.104837</v>
      </c>
      <c r="O7">
        <f>[6]gpt4omini_single_100_2!L6</f>
        <v>-3.9607999999999997E-2</v>
      </c>
      <c r="P7">
        <f>[7]gpt4omini_single_100_2!L6</f>
        <v>-5.2004000000000002E-2</v>
      </c>
      <c r="Q7">
        <f>[8]gpt4omini_single_100_2!L6</f>
        <v>-6.3217999999999996E-2</v>
      </c>
      <c r="R7" s="11">
        <f>[9]gpt4omini_single_100_2!L6</f>
        <v>-0.118132</v>
      </c>
      <c r="S7">
        <v>4</v>
      </c>
      <c r="T7">
        <f>[5]gpt4omini_single_60_2!L6</f>
        <v>-1.7070999999999999E-2</v>
      </c>
      <c r="U7">
        <f>[6]gpt4omini_single_60_2!L6</f>
        <v>-2.3954E-2</v>
      </c>
      <c r="V7">
        <f>[7]gpt4omini_single_60_2!L6</f>
        <v>1.2389000000000001E-2</v>
      </c>
      <c r="W7">
        <f>[8]gpt4omini_single_60_2!L6</f>
        <v>-3.9199999999999999E-3</v>
      </c>
      <c r="X7">
        <f>[9]gpt4omini_single_60_2!L6</f>
        <v>-2.5555999999999999E-2</v>
      </c>
    </row>
    <row r="8" spans="1:24" x14ac:dyDescent="0.2">
      <c r="A8" s="12">
        <v>5</v>
      </c>
      <c r="B8">
        <f>[5]gpt4omini_single_100!L7</f>
        <v>-3.6815000000000001E-2</v>
      </c>
      <c r="C8">
        <f>[6]gpt4omini_single_100!L7</f>
        <v>1.0652999999999999E-2</v>
      </c>
      <c r="D8">
        <f>[7]gpt4omini_single_100!L7</f>
        <v>3.1413999999999997E-2</v>
      </c>
      <c r="E8">
        <f>[8]gpt4omini_single_100!L7</f>
        <v>5.1175999999999999E-2</v>
      </c>
      <c r="F8" s="11">
        <f>[9]gpt4omini_single_100!L7</f>
        <v>-5.5279000000000002E-2</v>
      </c>
      <c r="G8">
        <v>5</v>
      </c>
      <c r="H8">
        <f>[5]gpt4omini_single_60!L7</f>
        <v>-1.6677000000000001E-2</v>
      </c>
      <c r="I8">
        <f>[6]gpt4omini_single_60!L7</f>
        <v>-2.5399999999999999E-4</v>
      </c>
      <c r="J8">
        <f>[7]gpt4omini_single_60!L7</f>
        <v>-1.1559999999999999E-3</v>
      </c>
      <c r="K8">
        <f>[8]gpt4omini_single_60!L7</f>
        <v>2.75E-2</v>
      </c>
      <c r="L8">
        <f>[9]gpt4omini_single_60!L7</f>
        <v>-1.8214000000000001E-2</v>
      </c>
      <c r="M8" s="12">
        <v>5</v>
      </c>
      <c r="N8">
        <f>[5]gpt4omini_single_100_2!L7</f>
        <v>-0.11285299999999999</v>
      </c>
      <c r="O8">
        <f>[6]gpt4omini_single_100_2!L7</f>
        <v>-4.2616000000000001E-2</v>
      </c>
      <c r="P8">
        <f>[7]gpt4omini_single_100_2!L7</f>
        <v>-4.7551999999999997E-2</v>
      </c>
      <c r="Q8">
        <f>[8]gpt4omini_single_100_2!L7</f>
        <v>-6.2233999999999998E-2</v>
      </c>
      <c r="R8" s="11">
        <f>[9]gpt4omini_single_100_2!L7</f>
        <v>-0.130777</v>
      </c>
      <c r="S8">
        <v>5</v>
      </c>
      <c r="T8">
        <f>[5]gpt4omini_single_60_2!L7</f>
        <v>-4.5009E-2</v>
      </c>
      <c r="U8">
        <f>[6]gpt4omini_single_60_2!L7</f>
        <v>-3.4486999999999997E-2</v>
      </c>
      <c r="V8">
        <f>[7]gpt4omini_single_60_2!L7</f>
        <v>-3.9439999999999996E-3</v>
      </c>
      <c r="W8">
        <f>[8]gpt4omini_single_60_2!L7</f>
        <v>-1.494E-2</v>
      </c>
      <c r="X8">
        <f>[9]gpt4omini_single_60_2!L7</f>
        <v>-4.9283E-2</v>
      </c>
    </row>
    <row r="9" spans="1:24" x14ac:dyDescent="0.2">
      <c r="A9" s="12">
        <v>6</v>
      </c>
      <c r="B9">
        <f>[5]gpt4omini_single_100!L8</f>
        <v>-4.7058999999999997E-2</v>
      </c>
      <c r="C9">
        <f>[6]gpt4omini_single_100!L8</f>
        <v>2.2572999999999999E-2</v>
      </c>
      <c r="D9">
        <f>[7]gpt4omini_single_100!L8</f>
        <v>4.6698999999999997E-2</v>
      </c>
      <c r="E9">
        <f>[8]gpt4omini_single_100!L8</f>
        <v>6.4715999999999996E-2</v>
      </c>
      <c r="F9" s="11">
        <f>[9]gpt4omini_single_100!L8</f>
        <v>-6.7402000000000004E-2</v>
      </c>
      <c r="G9">
        <v>6</v>
      </c>
      <c r="H9">
        <f>[5]gpt4omini_single_60!L8</f>
        <v>-2.0147000000000002E-2</v>
      </c>
      <c r="I9">
        <f>[6]gpt4omini_single_60!L8</f>
        <v>1.0231000000000001E-2</v>
      </c>
      <c r="J9">
        <f>[7]gpt4omini_single_60!L8</f>
        <v>9.5549999999999993E-3</v>
      </c>
      <c r="K9">
        <f>[8]gpt4omini_single_60!L8</f>
        <v>3.8689000000000001E-2</v>
      </c>
      <c r="L9">
        <f>[9]gpt4omini_single_60!L8</f>
        <v>-1.7392000000000001E-2</v>
      </c>
      <c r="M9" s="12">
        <v>6</v>
      </c>
      <c r="N9">
        <f>[5]gpt4omini_single_100_2!L8</f>
        <v>-0.130744</v>
      </c>
      <c r="O9">
        <f>[6]gpt4omini_single_100_2!L8</f>
        <v>-5.9539000000000002E-2</v>
      </c>
      <c r="P9">
        <f>[7]gpt4omini_single_100_2!L8</f>
        <v>-2.7390999999999999E-2</v>
      </c>
      <c r="Q9">
        <f>[8]gpt4omini_single_100_2!L8</f>
        <v>-3.9211999999999997E-2</v>
      </c>
      <c r="R9" s="11">
        <f>[9]gpt4omini_single_100_2!L8</f>
        <v>-0.15517900000000001</v>
      </c>
      <c r="S9">
        <v>6</v>
      </c>
      <c r="T9">
        <f>[5]gpt4omini_single_60_2!L8</f>
        <v>-4.6226000000000003E-2</v>
      </c>
      <c r="U9">
        <f>[6]gpt4omini_single_60_2!L8</f>
        <v>-2.9849000000000001E-2</v>
      </c>
      <c r="V9">
        <f>[7]gpt4omini_single_60_2!L8</f>
        <v>5.9379999999999997E-3</v>
      </c>
      <c r="W9">
        <f>[8]gpt4omini_single_60_2!L8</f>
        <v>-2.3092000000000001E-2</v>
      </c>
      <c r="X9">
        <f>[9]gpt4omini_single_60_2!L8</f>
        <v>-5.5661000000000002E-2</v>
      </c>
    </row>
    <row r="10" spans="1:24" x14ac:dyDescent="0.2">
      <c r="A10" s="12">
        <v>7</v>
      </c>
      <c r="B10">
        <f>[5]gpt4omini_single_100!L9</f>
        <v>-4.7681000000000001E-2</v>
      </c>
      <c r="C10">
        <f>[6]gpt4omini_single_100!L9</f>
        <v>4.6851999999999998E-2</v>
      </c>
      <c r="D10">
        <f>[7]gpt4omini_single_100!L9</f>
        <v>6.6404000000000005E-2</v>
      </c>
      <c r="E10">
        <f>[8]gpt4omini_single_100!L9</f>
        <v>9.8687999999999998E-2</v>
      </c>
      <c r="F10" s="11">
        <f>[9]gpt4omini_single_100!L9</f>
        <v>-7.9104999999999995E-2</v>
      </c>
      <c r="G10">
        <v>7</v>
      </c>
      <c r="H10">
        <f>[5]gpt4omini_single_60!L9</f>
        <v>-2.2110000000000001E-2</v>
      </c>
      <c r="I10">
        <f>[6]gpt4omini_single_60!L9</f>
        <v>1.1188E-2</v>
      </c>
      <c r="J10">
        <f>[7]gpt4omini_single_60!L9</f>
        <v>1.3283E-2</v>
      </c>
      <c r="K10">
        <f>[8]gpt4omini_single_60!L9</f>
        <v>4.6262999999999999E-2</v>
      </c>
      <c r="L10">
        <f>[9]gpt4omini_single_60!L9</f>
        <v>-1.8058000000000001E-2</v>
      </c>
      <c r="M10" s="12">
        <v>7</v>
      </c>
      <c r="N10">
        <f>[5]gpt4omini_single_100_2!L9</f>
        <v>-0.1389</v>
      </c>
      <c r="O10">
        <f>[6]gpt4omini_single_100_2!L9</f>
        <v>-6.4677999999999999E-2</v>
      </c>
      <c r="P10">
        <f>[7]gpt4omini_single_100_2!L9</f>
        <v>-3.5324000000000001E-2</v>
      </c>
      <c r="Q10">
        <f>[8]gpt4omini_single_100_2!L9</f>
        <v>-2.2676999999999999E-2</v>
      </c>
      <c r="R10" s="11">
        <f>[9]gpt4omini_single_100_2!L9</f>
        <v>-0.175234</v>
      </c>
      <c r="S10">
        <v>7</v>
      </c>
      <c r="T10">
        <f>[5]gpt4omini_single_60_2!L9</f>
        <v>-5.2801000000000001E-2</v>
      </c>
      <c r="U10">
        <f>[6]gpt4omini_single_60_2!L9</f>
        <v>-3.5493999999999998E-2</v>
      </c>
      <c r="V10">
        <f>[7]gpt4omini_single_60_2!L9</f>
        <v>1.3417999999999999E-2</v>
      </c>
      <c r="W10">
        <f>[8]gpt4omini_single_60_2!L9</f>
        <v>-2.1231E-2</v>
      </c>
      <c r="X10">
        <f>[9]gpt4omini_single_60_2!L9</f>
        <v>-5.8397999999999999E-2</v>
      </c>
    </row>
    <row r="11" spans="1:24" x14ac:dyDescent="0.2">
      <c r="A11" s="12">
        <v>8</v>
      </c>
      <c r="B11">
        <f>[5]gpt4omini_single_100!L10</f>
        <v>-2.9097999999999999E-2</v>
      </c>
      <c r="C11">
        <f>[6]gpt4omini_single_100!L10</f>
        <v>6.2899999999999998E-2</v>
      </c>
      <c r="D11">
        <f>[7]gpt4omini_single_100!L10</f>
        <v>7.0305999999999993E-2</v>
      </c>
      <c r="E11">
        <f>[8]gpt4omini_single_100!L10</f>
        <v>0.115589</v>
      </c>
      <c r="F11" s="11">
        <f>[9]gpt4omini_single_100!L10</f>
        <v>-8.0208000000000002E-2</v>
      </c>
      <c r="G11">
        <v>8</v>
      </c>
      <c r="H11">
        <f>[5]gpt4omini_single_60!L10</f>
        <v>-2.128E-2</v>
      </c>
      <c r="I11">
        <f>[6]gpt4omini_single_60!L10</f>
        <v>2.2408000000000001E-2</v>
      </c>
      <c r="J11">
        <f>[7]gpt4omini_single_60!L10</f>
        <v>2.5618999999999999E-2</v>
      </c>
      <c r="K11">
        <f>[8]gpt4omini_single_60!L10</f>
        <v>5.3621000000000002E-2</v>
      </c>
      <c r="L11">
        <f>[9]gpt4omini_single_60!L10</f>
        <v>-1.8335000000000001E-2</v>
      </c>
      <c r="M11" s="12">
        <v>8</v>
      </c>
      <c r="N11">
        <f>[5]gpt4omini_single_100_2!L10</f>
        <v>-0.15068300000000001</v>
      </c>
      <c r="O11">
        <f>[6]gpt4omini_single_100_2!L10</f>
        <v>-5.0847000000000003E-2</v>
      </c>
      <c r="P11">
        <f>[7]gpt4omini_single_100_2!L10</f>
        <v>-3.6087000000000001E-2</v>
      </c>
      <c r="Q11">
        <f>[8]gpt4omini_single_100_2!L10</f>
        <v>-0.12575500000000001</v>
      </c>
      <c r="R11" s="11">
        <f>[9]gpt4omini_single_100_2!L10</f>
        <v>-0.14640700000000001</v>
      </c>
      <c r="S11">
        <v>8</v>
      </c>
      <c r="T11">
        <f>[5]gpt4omini_single_60_2!L10</f>
        <v>-5.5011999999999998E-2</v>
      </c>
      <c r="U11">
        <f>[6]gpt4omini_single_60_2!L10</f>
        <v>-4.7780000000000003E-2</v>
      </c>
      <c r="V11">
        <f>[7]gpt4omini_single_60_2!L10</f>
        <v>1.0737E-2</v>
      </c>
      <c r="W11">
        <f>[8]gpt4omini_single_60_2!L10</f>
        <v>-8.4622000000000003E-2</v>
      </c>
      <c r="X11">
        <f>[9]gpt4omini_single_60_2!L10</f>
        <v>-6.2765000000000001E-2</v>
      </c>
    </row>
    <row r="12" spans="1:24" x14ac:dyDescent="0.2">
      <c r="A12" s="12">
        <v>9</v>
      </c>
      <c r="B12">
        <f>[5]gpt4omini_single_100!L11</f>
        <v>-3.4410000000000003E-2</v>
      </c>
      <c r="C12">
        <f>[6]gpt4omini_single_100!L11</f>
        <v>7.5422000000000003E-2</v>
      </c>
      <c r="D12">
        <f>[7]gpt4omini_single_100!L11</f>
        <v>8.0559000000000006E-2</v>
      </c>
      <c r="E12">
        <f>[8]gpt4omini_single_100!L11</f>
        <v>0.12725500000000001</v>
      </c>
      <c r="F12" s="11">
        <f>[9]gpt4omini_single_100!L11</f>
        <v>-9.1425999999999993E-2</v>
      </c>
      <c r="G12">
        <v>9</v>
      </c>
      <c r="H12">
        <f>[5]gpt4omini_single_60!L11</f>
        <v>-2.4698000000000001E-2</v>
      </c>
      <c r="I12">
        <f>[6]gpt4omini_single_60!L11</f>
        <v>2.2565000000000002E-2</v>
      </c>
      <c r="J12">
        <f>[7]gpt4omini_single_60!L11</f>
        <v>2.3324000000000001E-2</v>
      </c>
      <c r="K12">
        <f>[8]gpt4omini_single_60!L11</f>
        <v>7.7926999999999996E-2</v>
      </c>
      <c r="L12">
        <f>[9]gpt4omini_single_60!L11</f>
        <v>-1.6906000000000001E-2</v>
      </c>
      <c r="M12" s="12">
        <v>9</v>
      </c>
      <c r="N12">
        <f>[5]gpt4omini_single_100_2!L11</f>
        <v>-0.164544</v>
      </c>
      <c r="O12">
        <f>[6]gpt4omini_single_100_2!L11</f>
        <v>-7.9315999999999998E-2</v>
      </c>
      <c r="P12">
        <f>[7]gpt4omini_single_100_2!L11</f>
        <v>-4.8561E-2</v>
      </c>
      <c r="Q12">
        <f>[8]gpt4omini_single_100_2!L11</f>
        <v>-0.15018599999999999</v>
      </c>
      <c r="R12" s="11">
        <f>[9]gpt4omini_single_100_2!L11</f>
        <v>-0.19422900000000001</v>
      </c>
      <c r="S12">
        <v>9</v>
      </c>
      <c r="T12">
        <f>[5]gpt4omini_single_60_2!L11</f>
        <v>-5.7324E-2</v>
      </c>
      <c r="U12">
        <f>[6]gpt4omini_single_60_2!L11</f>
        <v>-4.8580999999999999E-2</v>
      </c>
      <c r="V12">
        <f>[7]gpt4omini_single_60_2!L11</f>
        <v>9.2549999999999993E-3</v>
      </c>
      <c r="W12">
        <f>[8]gpt4omini_single_60_2!L11</f>
        <v>-7.8552999999999998E-2</v>
      </c>
      <c r="X12">
        <f>[9]gpt4omini_single_60_2!L11</f>
        <v>-6.9308999999999996E-2</v>
      </c>
    </row>
    <row r="13" spans="1:24" x14ac:dyDescent="0.2">
      <c r="A13" s="12">
        <v>10</v>
      </c>
      <c r="B13">
        <f>[5]gpt4omini_single_100!L12</f>
        <v>-7.6438999999999993E-2</v>
      </c>
      <c r="C13">
        <f>[6]gpt4omini_single_100!L12</f>
        <v>4.9259999999999998E-2</v>
      </c>
      <c r="D13">
        <f>[7]gpt4omini_single_100!L12</f>
        <v>6.5502000000000005E-2</v>
      </c>
      <c r="E13">
        <f>[8]gpt4omini_single_100!L12</f>
        <v>9.6585000000000004E-2</v>
      </c>
      <c r="F13" s="11">
        <f>[9]gpt4omini_single_100!L12</f>
        <v>-0.132772</v>
      </c>
      <c r="G13">
        <v>10</v>
      </c>
      <c r="H13">
        <f>[5]gpt4omini_single_60!L12</f>
        <v>-3.9655999999999997E-2</v>
      </c>
      <c r="I13">
        <f>[6]gpt4omini_single_60!L12</f>
        <v>1.2624E-2</v>
      </c>
      <c r="J13">
        <f>[7]gpt4omini_single_60!L12</f>
        <v>2.3889000000000001E-2</v>
      </c>
      <c r="K13">
        <f>[8]gpt4omini_single_60!L12</f>
        <v>7.5358999999999995E-2</v>
      </c>
      <c r="L13">
        <f>[9]gpt4omini_single_60!L12</f>
        <v>-4.9911999999999998E-2</v>
      </c>
      <c r="M13" s="12">
        <v>10</v>
      </c>
      <c r="N13">
        <f>[5]gpt4omini_single_100_2!L12</f>
        <v>-0.23908099999999999</v>
      </c>
      <c r="O13">
        <f>[6]gpt4omini_single_100_2!L12</f>
        <v>-0.172182</v>
      </c>
      <c r="P13">
        <f>[7]gpt4omini_single_100_2!L12</f>
        <v>-1.1219E-2</v>
      </c>
      <c r="Q13">
        <f>[8]gpt4omini_single_100_2!L12</f>
        <v>-0.12650400000000001</v>
      </c>
      <c r="R13" s="11">
        <f>[9]gpt4omini_single_100_2!L12</f>
        <v>-0.26458900000000002</v>
      </c>
      <c r="S13">
        <v>10</v>
      </c>
      <c r="T13">
        <f>[5]gpt4omini_single_60_2!L12</f>
        <v>-8.6111999999999994E-2</v>
      </c>
      <c r="U13">
        <f>[6]gpt4omini_single_60_2!L12</f>
        <v>-0.112834</v>
      </c>
      <c r="V13">
        <f>[7]gpt4omini_single_60_2!L12</f>
        <v>2.5460000000000001E-3</v>
      </c>
      <c r="W13">
        <f>[8]gpt4omini_single_60_2!L12</f>
        <v>-8.4583000000000005E-2</v>
      </c>
      <c r="X13">
        <f>[9]gpt4omini_single_60_2!L12</f>
        <v>-9.9557000000000007E-2</v>
      </c>
    </row>
    <row r="14" spans="1:24" x14ac:dyDescent="0.2">
      <c r="A14" s="12">
        <v>11</v>
      </c>
      <c r="B14">
        <f>[5]gpt4omini_single_100!L13</f>
        <v>-9.1869999999999993E-2</v>
      </c>
      <c r="C14">
        <f>[6]gpt4omini_single_100!L13</f>
        <v>5.0130000000000001E-2</v>
      </c>
      <c r="D14">
        <f>[7]gpt4omini_single_100!L13</f>
        <v>6.9342000000000001E-2</v>
      </c>
      <c r="E14">
        <f>[8]gpt4omini_single_100!L13</f>
        <v>0.105115</v>
      </c>
      <c r="F14" s="11">
        <f>[9]gpt4omini_single_100!L13</f>
        <v>-0.155385</v>
      </c>
      <c r="G14">
        <v>11</v>
      </c>
      <c r="H14">
        <f>[5]gpt4omini_single_60!L13</f>
        <v>-2.9444000000000001E-2</v>
      </c>
      <c r="I14">
        <f>[6]gpt4omini_single_60!L13</f>
        <v>1.695E-2</v>
      </c>
      <c r="J14">
        <f>[7]gpt4omini_single_60!L13</f>
        <v>4.7613000000000003E-2</v>
      </c>
      <c r="K14">
        <f>[8]gpt4omini_single_60!L13</f>
        <v>7.6149999999999995E-2</v>
      </c>
      <c r="L14">
        <f>[9]gpt4omini_single_60!L13</f>
        <v>-5.6526E-2</v>
      </c>
      <c r="M14" s="12">
        <v>11</v>
      </c>
      <c r="N14">
        <f>[5]gpt4omini_single_100_2!L13</f>
        <v>-0.27545199999999997</v>
      </c>
      <c r="O14">
        <f>[6]gpt4omini_single_100_2!L13</f>
        <v>-0.21234700000000001</v>
      </c>
      <c r="P14">
        <f>[7]gpt4omini_single_100_2!L13</f>
        <v>-2.5676000000000001E-2</v>
      </c>
      <c r="Q14">
        <f>[8]gpt4omini_single_100_2!L13</f>
        <v>-0.158438</v>
      </c>
      <c r="R14" s="11">
        <f>[9]gpt4omini_single_100_2!L13</f>
        <v>-0.30092400000000002</v>
      </c>
      <c r="S14">
        <v>11</v>
      </c>
      <c r="T14">
        <f>[5]gpt4omini_single_60_2!L13</f>
        <v>-9.5651E-2</v>
      </c>
      <c r="U14">
        <f>[6]gpt4omini_single_60_2!L13</f>
        <v>-0.125584</v>
      </c>
      <c r="V14">
        <f>[7]gpt4omini_single_60_2!L13</f>
        <v>5.757E-3</v>
      </c>
      <c r="W14">
        <f>[8]gpt4omini_single_60_2!L13</f>
        <v>-9.3447000000000002E-2</v>
      </c>
      <c r="X14">
        <f>[9]gpt4omini_single_60_2!L13</f>
        <v>-0.107104</v>
      </c>
    </row>
    <row r="15" spans="1:24" x14ac:dyDescent="0.2">
      <c r="A15" s="12">
        <v>12</v>
      </c>
      <c r="B15">
        <f>[5]gpt4omini_single_100!L14</f>
        <v>-8.8586999999999999E-2</v>
      </c>
      <c r="C15">
        <f>[6]gpt4omini_single_100!L14</f>
        <v>5.2822000000000001E-2</v>
      </c>
      <c r="D15">
        <f>[7]gpt4omini_single_100!L14</f>
        <v>7.4526999999999996E-2</v>
      </c>
      <c r="E15">
        <f>[8]gpt4omini_single_100!L14</f>
        <v>0.125444</v>
      </c>
      <c r="F15" s="11">
        <f>[9]gpt4omini_single_100!L14</f>
        <v>-0.16018299999999999</v>
      </c>
      <c r="G15">
        <v>12</v>
      </c>
      <c r="H15">
        <f>[5]gpt4omini_single_60!L14</f>
        <v>-3.4791999999999997E-2</v>
      </c>
      <c r="I15">
        <f>[6]gpt4omini_single_60!L14</f>
        <v>1.7913999999999999E-2</v>
      </c>
      <c r="J15">
        <f>[7]gpt4omini_single_60!L14</f>
        <v>5.4418000000000001E-2</v>
      </c>
      <c r="K15">
        <f>[8]gpt4omini_single_60!L14</f>
        <v>9.9094000000000002E-2</v>
      </c>
      <c r="L15">
        <f>[9]gpt4omini_single_60!L14</f>
        <v>-5.4554999999999999E-2</v>
      </c>
      <c r="M15" s="12">
        <v>12</v>
      </c>
      <c r="N15">
        <f>[5]gpt4omini_single_100_2!L14</f>
        <v>-0.28546100000000002</v>
      </c>
      <c r="O15">
        <f>[6]gpt4omini_single_100_2!L14</f>
        <v>-0.220416</v>
      </c>
      <c r="P15">
        <f>[7]gpt4omini_single_100_2!L14</f>
        <v>-2.7283999999999999E-2</v>
      </c>
      <c r="Q15">
        <f>[8]gpt4omini_single_100_2!L14</f>
        <v>-0.14335300000000001</v>
      </c>
      <c r="R15" s="11">
        <f>[9]gpt4omini_single_100_2!L14</f>
        <v>-0.30837700000000001</v>
      </c>
      <c r="S15">
        <v>12</v>
      </c>
      <c r="T15">
        <f>[5]gpt4omini_single_60_2!L14</f>
        <v>-0.105111</v>
      </c>
      <c r="U15">
        <f>[6]gpt4omini_single_60_2!L14</f>
        <v>-0.12903100000000001</v>
      </c>
      <c r="V15">
        <f>[7]gpt4omini_single_60_2!L14</f>
        <v>9.4799999999999995E-4</v>
      </c>
      <c r="W15">
        <f>[8]gpt4omini_single_60_2!L14</f>
        <v>-9.6551999999999999E-2</v>
      </c>
      <c r="X15">
        <f>[9]gpt4omini_single_60_2!L14</f>
        <v>-0.109904</v>
      </c>
    </row>
    <row r="16" spans="1:24" x14ac:dyDescent="0.2">
      <c r="A16" s="12">
        <v>13</v>
      </c>
      <c r="B16">
        <f>[5]gpt4omini_single_100!L15</f>
        <v>-9.2279E-2</v>
      </c>
      <c r="C16">
        <f>[6]gpt4omini_single_100!L15</f>
        <v>5.5319E-2</v>
      </c>
      <c r="D16">
        <f>[7]gpt4omini_single_100!L15</f>
        <v>0.109627</v>
      </c>
      <c r="E16">
        <f>[8]gpt4omini_single_100!L15</f>
        <v>0.12612100000000001</v>
      </c>
      <c r="F16" s="11">
        <f>[9]gpt4omini_single_100!L15</f>
        <v>-0.163074</v>
      </c>
      <c r="G16">
        <v>13</v>
      </c>
      <c r="H16">
        <f>[5]gpt4omini_single_60!L15</f>
        <v>-3.9758000000000002E-2</v>
      </c>
      <c r="I16">
        <f>[6]gpt4omini_single_60!L15</f>
        <v>1.5023999999999999E-2</v>
      </c>
      <c r="J16">
        <f>[7]gpt4omini_single_60!L15</f>
        <v>6.2664999999999998E-2</v>
      </c>
      <c r="K16">
        <f>[8]gpt4omini_single_60!L15</f>
        <v>0.12868499999999999</v>
      </c>
      <c r="L16">
        <f>[9]gpt4omini_single_60!L15</f>
        <v>-4.8467999999999997E-2</v>
      </c>
      <c r="M16" s="12">
        <v>13</v>
      </c>
      <c r="N16">
        <f>[5]gpt4omini_single_100_2!L15</f>
        <v>-0.29611599999999999</v>
      </c>
      <c r="O16">
        <f>[6]gpt4omini_single_100_2!L15</f>
        <v>-0.24749699999999999</v>
      </c>
      <c r="P16">
        <f>[7]gpt4omini_single_100_2!L15</f>
        <v>-6.4146999999999996E-2</v>
      </c>
      <c r="Q16">
        <f>[8]gpt4omini_single_100_2!L15</f>
        <v>-0.17466699999999999</v>
      </c>
      <c r="R16" s="11">
        <f>[9]gpt4omini_single_100_2!L15</f>
        <v>-0.31731399999999998</v>
      </c>
      <c r="S16">
        <v>13</v>
      </c>
      <c r="T16">
        <f>[5]gpt4omini_single_60_2!L15</f>
        <v>-0.11129799999999999</v>
      </c>
      <c r="U16">
        <f>[6]gpt4omini_single_60_2!L15</f>
        <v>-0.126749</v>
      </c>
      <c r="V16">
        <f>[7]gpt4omini_single_60_2!L15</f>
        <v>-1.1969999999999999E-3</v>
      </c>
      <c r="W16">
        <f>[8]gpt4omini_single_60_2!L15</f>
        <v>-9.5682000000000003E-2</v>
      </c>
      <c r="X16">
        <f>[9]gpt4omini_single_60_2!L15</f>
        <v>-0.109156</v>
      </c>
    </row>
    <row r="17" spans="1:24" x14ac:dyDescent="0.2">
      <c r="A17" s="12">
        <v>14</v>
      </c>
      <c r="B17">
        <f>[5]gpt4omini_single_100!L16</f>
        <v>-9.8380999999999996E-2</v>
      </c>
      <c r="C17">
        <f>[6]gpt4omini_single_100!L16</f>
        <v>5.3724000000000001E-2</v>
      </c>
      <c r="D17">
        <f>[7]gpt4omini_single_100!L16</f>
        <v>0.119599</v>
      </c>
      <c r="E17">
        <f>[8]gpt4omini_single_100!L16</f>
        <v>0.122116</v>
      </c>
      <c r="F17" s="11">
        <f>[9]gpt4omini_single_100!L16</f>
        <v>-0.180122</v>
      </c>
      <c r="G17">
        <v>14</v>
      </c>
      <c r="H17">
        <f>[5]gpt4omini_single_60!L16</f>
        <v>-5.9207999999999997E-2</v>
      </c>
      <c r="I17">
        <f>[6]gpt4omini_single_60!L16</f>
        <v>1.0952E-2</v>
      </c>
      <c r="J17">
        <f>[7]gpt4omini_single_60!L16</f>
        <v>5.2350000000000001E-2</v>
      </c>
      <c r="K17">
        <f>[8]gpt4omini_single_60!L16</f>
        <v>0.121919</v>
      </c>
      <c r="L17">
        <f>[9]gpt4omini_single_60!L16</f>
        <v>-6.9426000000000002E-2</v>
      </c>
      <c r="M17" s="12">
        <v>14</v>
      </c>
      <c r="N17">
        <f>[5]gpt4omini_single_100_2!L16</f>
        <v>-0.31750800000000001</v>
      </c>
      <c r="O17">
        <f>[6]gpt4omini_single_100_2!L16</f>
        <v>-0.27368900000000002</v>
      </c>
      <c r="P17">
        <f>[7]gpt4omini_single_100_2!L16</f>
        <v>-8.2579E-2</v>
      </c>
      <c r="Q17">
        <f>[8]gpt4omini_single_100_2!L16</f>
        <v>-0.179087</v>
      </c>
      <c r="R17" s="11">
        <f>[9]gpt4omini_single_100_2!L16</f>
        <v>-0.34924300000000003</v>
      </c>
      <c r="S17">
        <v>14</v>
      </c>
      <c r="T17">
        <f>[5]gpt4omini_single_60_2!L16</f>
        <v>-0.13996700000000001</v>
      </c>
      <c r="U17">
        <f>[6]gpt4omini_single_60_2!L16</f>
        <v>-0.14929000000000001</v>
      </c>
      <c r="V17">
        <f>[7]gpt4omini_single_60_2!L16</f>
        <v>-7.9100000000000004E-3</v>
      </c>
      <c r="W17">
        <f>[8]gpt4omini_single_60_2!L16</f>
        <v>-0.115797</v>
      </c>
      <c r="X17">
        <f>[9]gpt4omini_single_60_2!L16</f>
        <v>-0.15395200000000001</v>
      </c>
    </row>
    <row r="18" spans="1:24" x14ac:dyDescent="0.2">
      <c r="A18" s="12">
        <v>15</v>
      </c>
      <c r="B18">
        <f>[5]gpt4omini_single_100!L17</f>
        <v>-0.10999100000000001</v>
      </c>
      <c r="C18">
        <f>[6]gpt4omini_single_100!L17</f>
        <v>4.9458000000000002E-2</v>
      </c>
      <c r="D18">
        <f>[7]gpt4omini_single_100!L17</f>
        <v>0.14033000000000001</v>
      </c>
      <c r="E18">
        <f>[8]gpt4omini_single_100!L17</f>
        <v>0.140736</v>
      </c>
      <c r="F18" s="11">
        <f>[9]gpt4omini_single_100!L17</f>
        <v>-0.18426799999999999</v>
      </c>
      <c r="G18">
        <v>15</v>
      </c>
      <c r="H18">
        <f>[5]gpt4omini_single_60!L17</f>
        <v>-6.7906999999999995E-2</v>
      </c>
      <c r="I18">
        <f>[6]gpt4omini_single_60!L17</f>
        <v>1.3783E-2</v>
      </c>
      <c r="J18">
        <f>[7]gpt4omini_single_60!L17</f>
        <v>5.8964000000000003E-2</v>
      </c>
      <c r="K18">
        <f>[8]gpt4omini_single_60!L17</f>
        <v>0.138326</v>
      </c>
      <c r="L18">
        <f>[9]gpt4omini_single_60!L17</f>
        <v>-7.6688000000000006E-2</v>
      </c>
      <c r="M18" s="12">
        <v>15</v>
      </c>
      <c r="N18">
        <f>[5]gpt4omini_single_100_2!L17</f>
        <v>-0.34726400000000002</v>
      </c>
      <c r="O18">
        <f>[6]gpt4omini_single_100_2!L17</f>
        <v>-0.29339799999999999</v>
      </c>
      <c r="P18">
        <f>[7]gpt4omini_single_100_2!L17</f>
        <v>-9.3350000000000002E-2</v>
      </c>
      <c r="Q18">
        <f>[8]gpt4omini_single_100_2!L17</f>
        <v>-0.19306400000000001</v>
      </c>
      <c r="R18" s="11">
        <f>[9]gpt4omini_single_100_2!L17</f>
        <v>-0.37307899999999999</v>
      </c>
      <c r="S18">
        <v>15</v>
      </c>
      <c r="T18">
        <f>[5]gpt4omini_single_60_2!L17</f>
        <v>-0.153696</v>
      </c>
      <c r="U18">
        <f>[6]gpt4omini_single_60_2!L17</f>
        <v>-0.16051099999999999</v>
      </c>
      <c r="V18">
        <f>[7]gpt4omini_single_60_2!L17</f>
        <v>-4.7460000000000002E-3</v>
      </c>
      <c r="W18">
        <f>[8]gpt4omini_single_60_2!L17</f>
        <v>-9.6892000000000006E-2</v>
      </c>
      <c r="X18">
        <f>[9]gpt4omini_single_60_2!L17</f>
        <v>-0.165966</v>
      </c>
    </row>
    <row r="19" spans="1:24" x14ac:dyDescent="0.2">
      <c r="A19" s="12">
        <v>16</v>
      </c>
      <c r="B19">
        <f>[5]gpt4omini_single_100!L18</f>
        <v>-0.12612499999999999</v>
      </c>
      <c r="C19">
        <f>[6]gpt4omini_single_100!L18</f>
        <v>2.9665E-2</v>
      </c>
      <c r="D19">
        <f>[7]gpt4omini_single_100!L18</f>
        <v>0.122976</v>
      </c>
      <c r="E19">
        <f>[8]gpt4omini_single_100!L18</f>
        <v>0.12587100000000001</v>
      </c>
      <c r="F19" s="11">
        <f>[9]gpt4omini_single_100!L18</f>
        <v>-0.202213</v>
      </c>
      <c r="G19">
        <v>16</v>
      </c>
      <c r="H19">
        <f>[5]gpt4omini_single_60!L18</f>
        <v>-8.1299999999999997E-2</v>
      </c>
      <c r="I19">
        <f>[6]gpt4omini_single_60!L18</f>
        <v>1.1113E-2</v>
      </c>
      <c r="J19">
        <f>[7]gpt4omini_single_60!L18</f>
        <v>6.1435999999999998E-2</v>
      </c>
      <c r="K19">
        <f>[8]gpt4omini_single_60!L18</f>
        <v>0.18887100000000001</v>
      </c>
      <c r="L19">
        <f>[9]gpt4omini_single_60!L18</f>
        <v>-8.1601000000000007E-2</v>
      </c>
      <c r="M19" s="12">
        <v>16</v>
      </c>
      <c r="N19">
        <f>[5]gpt4omini_single_100_2!L18</f>
        <v>-0.37508000000000002</v>
      </c>
      <c r="O19">
        <f>[6]gpt4omini_single_100_2!L18</f>
        <v>-0.32566400000000001</v>
      </c>
      <c r="P19">
        <f>[7]gpt4omini_single_100_2!L18</f>
        <v>-0.129029</v>
      </c>
      <c r="Q19">
        <f>[8]gpt4omini_single_100_2!L18</f>
        <v>-0.24734600000000001</v>
      </c>
      <c r="R19" s="11">
        <f>[9]gpt4omini_single_100_2!L18</f>
        <v>-0.414466</v>
      </c>
      <c r="S19">
        <v>16</v>
      </c>
      <c r="T19">
        <f>[5]gpt4omini_single_60_2!L18</f>
        <v>-0.175841</v>
      </c>
      <c r="U19">
        <f>[6]gpt4omini_single_60_2!L18</f>
        <v>-0.164523</v>
      </c>
      <c r="V19">
        <f>[7]gpt4omini_single_60_2!L18</f>
        <v>-1.4189999999999999E-3</v>
      </c>
      <c r="W19">
        <f>[8]gpt4omini_single_60_2!L18</f>
        <v>-8.5081000000000004E-2</v>
      </c>
      <c r="X19">
        <f>[9]gpt4omini_single_60_2!L18</f>
        <v>-0.16802400000000001</v>
      </c>
    </row>
    <row r="20" spans="1:24" x14ac:dyDescent="0.2">
      <c r="A20" s="12">
        <v>17</v>
      </c>
      <c r="B20">
        <f>[5]gpt4omini_single_100!L19</f>
        <v>-0.13206899999999999</v>
      </c>
      <c r="C20">
        <f>[6]gpt4omini_single_100!L19</f>
        <v>3.3072999999999998E-2</v>
      </c>
      <c r="D20">
        <f>[7]gpt4omini_single_100!L19</f>
        <v>0.13050600000000001</v>
      </c>
      <c r="E20">
        <f>[8]gpt4omini_single_100!L19</f>
        <v>0.14223</v>
      </c>
      <c r="F20" s="11">
        <f>[9]gpt4omini_single_100!L19</f>
        <v>-0.21623899999999999</v>
      </c>
      <c r="G20">
        <v>17</v>
      </c>
      <c r="H20">
        <f>[5]gpt4omini_single_60!L19</f>
        <v>-8.8028999999999996E-2</v>
      </c>
      <c r="I20">
        <f>[6]gpt4omini_single_60!L19</f>
        <v>1.5172E-2</v>
      </c>
      <c r="J20">
        <f>[7]gpt4omini_single_60!L19</f>
        <v>6.5196000000000004E-2</v>
      </c>
      <c r="K20">
        <f>[8]gpt4omini_single_60!L19</f>
        <v>0.23080200000000001</v>
      </c>
      <c r="L20">
        <f>[9]gpt4omini_single_60!L19</f>
        <v>-8.6452000000000001E-2</v>
      </c>
      <c r="M20" s="12">
        <v>17</v>
      </c>
      <c r="N20">
        <f>[5]gpt4omini_single_100_2!L19</f>
        <v>-0.38285200000000003</v>
      </c>
      <c r="O20">
        <f>[6]gpt4omini_single_100_2!L19</f>
        <v>-0.325824</v>
      </c>
      <c r="P20">
        <f>[7]gpt4omini_single_100_2!L19</f>
        <v>-0.118727</v>
      </c>
      <c r="Q20">
        <f>[8]gpt4omini_single_100_2!L19</f>
        <v>-0.236538</v>
      </c>
      <c r="R20" s="11">
        <f>[9]gpt4omini_single_100_2!L19</f>
        <v>-0.443442</v>
      </c>
      <c r="S20">
        <v>17</v>
      </c>
      <c r="T20">
        <f>[5]gpt4omini_single_60_2!L19</f>
        <v>-0.186971</v>
      </c>
      <c r="U20">
        <f>[6]gpt4omini_single_60_2!L19</f>
        <v>-0.17408199999999999</v>
      </c>
      <c r="V20">
        <f>[7]gpt4omini_single_60_2!L19</f>
        <v>-4.6319999999999998E-3</v>
      </c>
      <c r="W20">
        <f>[8]gpt4omini_single_60_2!L19</f>
        <v>-9.9465999999999999E-2</v>
      </c>
      <c r="X20">
        <f>[9]gpt4omini_single_60_2!L19</f>
        <v>-0.182335</v>
      </c>
    </row>
    <row r="21" spans="1:24" x14ac:dyDescent="0.2">
      <c r="A21" s="12">
        <v>18</v>
      </c>
      <c r="B21">
        <f>[5]gpt4omini_single_100!L20</f>
        <v>-0.142203</v>
      </c>
      <c r="C21">
        <f>[6]gpt4omini_single_100!L20</f>
        <v>4.7358999999999998E-2</v>
      </c>
      <c r="D21">
        <f>[7]gpt4omini_single_100!L20</f>
        <v>0.12903800000000001</v>
      </c>
      <c r="E21">
        <f>[8]gpt4omini_single_100!L20</f>
        <v>0.18520900000000001</v>
      </c>
      <c r="F21" s="11">
        <f>[9]gpt4omini_single_100!L20</f>
        <v>-0.22417799999999999</v>
      </c>
      <c r="G21">
        <v>18</v>
      </c>
      <c r="H21">
        <f>[5]gpt4omini_single_60!L20</f>
        <v>-8.7647000000000003E-2</v>
      </c>
      <c r="I21">
        <f>[6]gpt4omini_single_60!L20</f>
        <v>1.9857E-2</v>
      </c>
      <c r="J21">
        <f>[7]gpt4omini_single_60!L20</f>
        <v>6.4982999999999999E-2</v>
      </c>
      <c r="K21">
        <f>[8]gpt4omini_single_60!L20</f>
        <v>0.326851</v>
      </c>
      <c r="L21">
        <f>[9]gpt4omini_single_60!L20</f>
        <v>-8.2294999999999993E-2</v>
      </c>
      <c r="M21" s="12">
        <v>18</v>
      </c>
      <c r="N21">
        <f>[5]gpt4omini_single_100_2!L20</f>
        <v>-0.40242699999999998</v>
      </c>
      <c r="O21">
        <f>[6]gpt4omini_single_100_2!L20</f>
        <v>-0.337783</v>
      </c>
      <c r="P21">
        <f>[7]gpt4omini_single_100_2!L20</f>
        <v>-0.120894</v>
      </c>
      <c r="Q21">
        <f>[8]gpt4omini_single_100_2!L20</f>
        <v>-0.24395800000000001</v>
      </c>
      <c r="R21" s="11">
        <f>[9]gpt4omini_single_100_2!L20</f>
        <v>-0.458646</v>
      </c>
      <c r="S21">
        <v>18</v>
      </c>
      <c r="T21">
        <f>[5]gpt4omini_single_60_2!L20</f>
        <v>-0.19258</v>
      </c>
      <c r="U21">
        <f>[6]gpt4omini_single_60_2!L20</f>
        <v>-0.17283799999999999</v>
      </c>
      <c r="V21">
        <f>[7]gpt4omini_single_60_2!L20</f>
        <v>1.2279999999999999E-3</v>
      </c>
      <c r="W21">
        <f>[8]gpt4omini_single_60_2!L20</f>
        <v>-9.4108999999999998E-2</v>
      </c>
      <c r="X21">
        <f>[9]gpt4omini_single_60_2!L20</f>
        <v>-0.19348699999999999</v>
      </c>
    </row>
    <row r="22" spans="1:24" x14ac:dyDescent="0.2">
      <c r="A22" s="12">
        <v>19</v>
      </c>
      <c r="B22">
        <f>[5]gpt4omini_single_100!L21</f>
        <v>-0.150198</v>
      </c>
      <c r="C22">
        <f>[6]gpt4omini_single_100!L21</f>
        <v>4.6422999999999999E-2</v>
      </c>
      <c r="D22">
        <f>[7]gpt4omini_single_100!L21</f>
        <v>0.16117999999999999</v>
      </c>
      <c r="E22">
        <f>[8]gpt4omini_single_100!L21</f>
        <v>0.24598700000000001</v>
      </c>
      <c r="F22" s="11">
        <f>[9]gpt4omini_single_100!L21</f>
        <v>-0.23790500000000001</v>
      </c>
      <c r="G22">
        <v>19</v>
      </c>
      <c r="H22">
        <f>[5]gpt4omini_single_60!L21</f>
        <v>-9.1188000000000005E-2</v>
      </c>
      <c r="I22">
        <f>[6]gpt4omini_single_60!L21</f>
        <v>2.2599000000000001E-2</v>
      </c>
      <c r="J22">
        <f>[7]gpt4omini_single_60!L21</f>
        <v>7.6200000000000004E-2</v>
      </c>
      <c r="K22">
        <f>[8]gpt4omini_single_60!L21</f>
        <v>0.33572600000000002</v>
      </c>
      <c r="L22">
        <f>[9]gpt4omini_single_60!L21</f>
        <v>-8.0917000000000003E-2</v>
      </c>
      <c r="M22" s="12">
        <v>19</v>
      </c>
      <c r="N22">
        <f>[5]gpt4omini_single_100_2!L21</f>
        <v>-0.413829</v>
      </c>
      <c r="O22">
        <f>[6]gpt4omini_single_100_2!L21</f>
        <v>-0.315996</v>
      </c>
      <c r="P22">
        <f>[7]gpt4omini_single_100_2!L21</f>
        <v>-0.11697</v>
      </c>
      <c r="Q22">
        <f>[8]gpt4omini_single_100_2!L21</f>
        <v>-0.26088099999999997</v>
      </c>
      <c r="R22" s="11">
        <f>[9]gpt4omini_single_100_2!L21</f>
        <v>-0.464839</v>
      </c>
      <c r="S22">
        <v>19</v>
      </c>
      <c r="T22">
        <f>[5]gpt4omini_single_60_2!L21</f>
        <v>-0.20146</v>
      </c>
      <c r="U22">
        <f>[6]gpt4omini_single_60_2!L21</f>
        <v>-0.17288999999999999</v>
      </c>
      <c r="V22">
        <f>[7]gpt4omini_single_60_2!L21</f>
        <v>2.6719999999999999E-3</v>
      </c>
      <c r="W22">
        <f>[8]gpt4omini_single_60_2!L21</f>
        <v>-8.3704000000000001E-2</v>
      </c>
      <c r="X22">
        <f>[9]gpt4omini_single_60_2!L21</f>
        <v>-0.203407</v>
      </c>
    </row>
    <row r="23" spans="1:24" x14ac:dyDescent="0.2">
      <c r="A23" s="12">
        <v>20</v>
      </c>
      <c r="B23">
        <f>[5]gpt4omini_single_100!L22</f>
        <v>-0.16265499999999999</v>
      </c>
      <c r="C23">
        <f>[6]gpt4omini_single_100!L22</f>
        <v>3.2426000000000003E-2</v>
      </c>
      <c r="D23">
        <f>[7]gpt4omini_single_100!L22</f>
        <v>0.15046300000000001</v>
      </c>
      <c r="E23">
        <f>[8]gpt4omini_single_100!L22</f>
        <v>0.24298700000000001</v>
      </c>
      <c r="F23" s="11">
        <f>[9]gpt4omini_single_100!L22</f>
        <v>-0.25879799999999997</v>
      </c>
      <c r="G23">
        <v>20</v>
      </c>
      <c r="H23">
        <f>[5]gpt4omini_single_60!L22</f>
        <v>-8.6664000000000005E-2</v>
      </c>
      <c r="I23">
        <f>[6]gpt4omini_single_60!L22</f>
        <v>3.0332000000000001E-2</v>
      </c>
      <c r="J23">
        <f>[7]gpt4omini_single_60!L22</f>
        <v>8.7248999999999993E-2</v>
      </c>
      <c r="K23">
        <f>[8]gpt4omini_single_60!L22</f>
        <v>0.390212</v>
      </c>
      <c r="L23">
        <f>[9]gpt4omini_single_60!L22</f>
        <v>-8.2021999999999998E-2</v>
      </c>
      <c r="M23" s="12">
        <v>20</v>
      </c>
      <c r="N23">
        <f>[5]gpt4omini_single_100_2!L22</f>
        <v>-0.42901</v>
      </c>
      <c r="O23">
        <f>[6]gpt4omini_single_100_2!L22</f>
        <v>-0.349939</v>
      </c>
      <c r="P23">
        <f>[7]gpt4omini_single_100_2!L22</f>
        <v>-0.158361</v>
      </c>
      <c r="Q23">
        <f>[8]gpt4omini_single_100_2!L22</f>
        <v>-0.30307800000000001</v>
      </c>
      <c r="R23" s="11">
        <f>[9]gpt4omini_single_100_2!L22</f>
        <v>-0.47647699999999998</v>
      </c>
      <c r="S23">
        <v>20</v>
      </c>
      <c r="T23">
        <f>[5]gpt4omini_single_60_2!L22</f>
        <v>-0.204065</v>
      </c>
      <c r="U23">
        <f>[6]gpt4omini_single_60_2!L22</f>
        <v>-0.16775599999999999</v>
      </c>
      <c r="V23">
        <f>[7]gpt4omini_single_60_2!L22</f>
        <v>-1.884E-3</v>
      </c>
      <c r="W23">
        <f>[8]gpt4omini_single_60_2!L22</f>
        <v>-8.4750000000000006E-2</v>
      </c>
      <c r="X23">
        <f>[9]gpt4omini_single_60_2!L22</f>
        <v>-0.20946600000000001</v>
      </c>
    </row>
    <row r="24" spans="1:24" x14ac:dyDescent="0.2">
      <c r="A24" s="12">
        <v>21</v>
      </c>
      <c r="B24">
        <f>[5]gpt4omini_single_100!L23</f>
        <v>-0.16550100000000001</v>
      </c>
      <c r="C24">
        <f>[6]gpt4omini_single_100!L23</f>
        <v>3.4605999999999998E-2</v>
      </c>
      <c r="D24">
        <f>[7]gpt4omini_single_100!L23</f>
        <v>0.158974</v>
      </c>
      <c r="E24">
        <f>[8]gpt4omini_single_100!L23</f>
        <v>0.27637099999999998</v>
      </c>
      <c r="F24" s="11">
        <f>[9]gpt4omini_single_100!L23</f>
        <v>-0.266264</v>
      </c>
      <c r="G24">
        <v>21</v>
      </c>
      <c r="H24">
        <f>[5]gpt4omini_single_60!L23</f>
        <v>-8.5526000000000005E-2</v>
      </c>
      <c r="I24">
        <f>[6]gpt4omini_single_60!L23</f>
        <v>3.2395E-2</v>
      </c>
      <c r="J24">
        <f>[7]gpt4omini_single_60!L23</f>
        <v>9.7209000000000004E-2</v>
      </c>
      <c r="K24">
        <f>[8]gpt4omini_single_60!L23</f>
        <v>0.42799500000000001</v>
      </c>
      <c r="L24">
        <f>[9]gpt4omini_single_60!L23</f>
        <v>-7.7648999999999996E-2</v>
      </c>
      <c r="M24" s="12">
        <v>21</v>
      </c>
      <c r="N24">
        <f>[5]gpt4omini_single_100_2!L23</f>
        <v>-0.41644399999999998</v>
      </c>
      <c r="O24">
        <f>[6]gpt4omini_single_100_2!L23</f>
        <v>-0.36165799999999998</v>
      </c>
      <c r="P24">
        <f>[7]gpt4omini_single_100_2!L23</f>
        <v>-0.16251599999999999</v>
      </c>
      <c r="Q24">
        <f>[8]gpt4omini_single_100_2!L23</f>
        <v>-0.261938</v>
      </c>
      <c r="R24" s="11">
        <f>[9]gpt4omini_single_100_2!L23</f>
        <v>-0.48299700000000001</v>
      </c>
      <c r="S24">
        <v>21</v>
      </c>
      <c r="T24">
        <f>[5]gpt4omini_single_60_2!L23</f>
        <v>-0.18062900000000001</v>
      </c>
      <c r="U24">
        <f>[6]gpt4omini_single_60_2!L23</f>
        <v>-0.17139499999999999</v>
      </c>
      <c r="V24">
        <f>[7]gpt4omini_single_60_2!L23</f>
        <v>8.0199999999999994E-3</v>
      </c>
      <c r="W24">
        <f>[8]gpt4omini_single_60_2!L23</f>
        <v>-0.102856</v>
      </c>
      <c r="X24">
        <f>[9]gpt4omini_single_60_2!L23</f>
        <v>-0.224496</v>
      </c>
    </row>
    <row r="25" spans="1:24" x14ac:dyDescent="0.2">
      <c r="A25" s="12">
        <v>22</v>
      </c>
      <c r="B25">
        <f>[5]gpt4omini_single_100!L24</f>
        <v>-0.16795399999999999</v>
      </c>
      <c r="C25">
        <f>[6]gpt4omini_single_100!L24</f>
        <v>3.6671000000000002E-2</v>
      </c>
      <c r="D25">
        <f>[7]gpt4omini_single_100!L24</f>
        <v>0.15257100000000001</v>
      </c>
      <c r="E25">
        <f>[8]gpt4omini_single_100!L24</f>
        <v>0.28136499999999998</v>
      </c>
      <c r="F25" s="11">
        <f>[9]gpt4omini_single_100!L24</f>
        <v>-0.26133000000000001</v>
      </c>
      <c r="G25">
        <v>22</v>
      </c>
      <c r="H25">
        <f>[5]gpt4omini_single_60!L24</f>
        <v>-8.6763000000000007E-2</v>
      </c>
      <c r="I25">
        <f>[6]gpt4omini_single_60!L24</f>
        <v>3.5901000000000002E-2</v>
      </c>
      <c r="J25">
        <f>[7]gpt4omini_single_60!L24</f>
        <v>0.10510899999999999</v>
      </c>
      <c r="K25">
        <f>[8]gpt4omini_single_60!L24</f>
        <v>0.43821900000000003</v>
      </c>
      <c r="L25">
        <f>[9]gpt4omini_single_60!L24</f>
        <v>-7.5309000000000001E-2</v>
      </c>
      <c r="M25" s="12">
        <v>22</v>
      </c>
      <c r="N25">
        <f>[5]gpt4omini_single_100_2!L24</f>
        <v>-0.426952</v>
      </c>
      <c r="O25">
        <f>[6]gpt4omini_single_100_2!L24</f>
        <v>-0.36876100000000001</v>
      </c>
      <c r="P25">
        <f>[7]gpt4omini_single_100_2!L24</f>
        <v>-0.159444</v>
      </c>
      <c r="Q25">
        <f>[8]gpt4omini_single_100_2!L24</f>
        <v>-0.224</v>
      </c>
      <c r="R25" s="11">
        <f>[9]gpt4omini_single_100_2!L24</f>
        <v>-0.48670400000000003</v>
      </c>
      <c r="S25">
        <v>22</v>
      </c>
      <c r="T25">
        <f>[5]gpt4omini_single_60_2!L24</f>
        <v>-0.17929</v>
      </c>
      <c r="U25">
        <f>[6]gpt4omini_single_60_2!L24</f>
        <v>-0.156495</v>
      </c>
      <c r="V25">
        <f>[7]gpt4omini_single_60_2!L24</f>
        <v>1.8089000000000001E-2</v>
      </c>
      <c r="W25">
        <f>[8]gpt4omini_single_60_2!L24</f>
        <v>-3.6577999999999999E-2</v>
      </c>
      <c r="X25">
        <f>[9]gpt4omini_single_60_2!L24</f>
        <v>-0.22858100000000001</v>
      </c>
    </row>
    <row r="26" spans="1:24" x14ac:dyDescent="0.2">
      <c r="A26" s="12">
        <v>23</v>
      </c>
      <c r="B26">
        <f>[5]gpt4omini_single_100!L25</f>
        <v>-0.16903899999999999</v>
      </c>
      <c r="C26">
        <f>[6]gpt4omini_single_100!L25</f>
        <v>3.1123000000000001E-2</v>
      </c>
      <c r="D26">
        <f>[7]gpt4omini_single_100!L25</f>
        <v>0.152557</v>
      </c>
      <c r="E26">
        <f>[8]gpt4omini_single_100!L25</f>
        <v>0.27383400000000002</v>
      </c>
      <c r="F26" s="11">
        <f>[9]gpt4omini_single_100!L25</f>
        <v>-0.27352900000000002</v>
      </c>
      <c r="G26">
        <v>23</v>
      </c>
      <c r="H26">
        <f>[5]gpt4omini_single_60!L25</f>
        <v>-8.9274000000000006E-2</v>
      </c>
      <c r="I26">
        <f>[6]gpt4omini_single_60!L25</f>
        <v>4.0209000000000002E-2</v>
      </c>
      <c r="J26">
        <f>[7]gpt4omini_single_60!L25</f>
        <v>0.10731400000000001</v>
      </c>
      <c r="K26">
        <f>[8]gpt4omini_single_60!L25</f>
        <v>0.48377300000000001</v>
      </c>
      <c r="L26">
        <f>[9]gpt4omini_single_60!L25</f>
        <v>-7.0846999999999993E-2</v>
      </c>
      <c r="M26" s="12">
        <v>23</v>
      </c>
      <c r="N26">
        <f>[5]gpt4omini_single_100_2!L25</f>
        <v>-0.43007699999999999</v>
      </c>
      <c r="O26">
        <f>[6]gpt4omini_single_100_2!L25</f>
        <v>-0.353184</v>
      </c>
      <c r="P26">
        <f>[7]gpt4omini_single_100_2!L25</f>
        <v>-0.16045899999999999</v>
      </c>
      <c r="Q26">
        <f>[8]gpt4omini_single_100_2!L25</f>
        <v>-0.20919699999999999</v>
      </c>
      <c r="R26" s="11">
        <f>[9]gpt4omini_single_100_2!L25</f>
        <v>-0.50530699999999995</v>
      </c>
      <c r="S26">
        <v>23</v>
      </c>
      <c r="T26">
        <f>[5]gpt4omini_single_60_2!L25</f>
        <v>-0.190612</v>
      </c>
      <c r="U26">
        <f>[6]gpt4omini_single_60_2!L25</f>
        <v>-0.166323</v>
      </c>
      <c r="V26">
        <f>[7]gpt4omini_single_60_2!L25</f>
        <v>1.3979999999999999E-2</v>
      </c>
      <c r="W26">
        <f>[8]gpt4omini_single_60_2!L25</f>
        <v>-3.9609999999999999E-2</v>
      </c>
      <c r="X26">
        <f>[9]gpt4omini_single_60_2!L25</f>
        <v>-0.22790299999999999</v>
      </c>
    </row>
    <row r="27" spans="1:24" x14ac:dyDescent="0.2">
      <c r="A27" s="12">
        <v>24</v>
      </c>
      <c r="B27">
        <f>[5]gpt4omini_single_100!L26</f>
        <v>-0.17469299999999999</v>
      </c>
      <c r="C27">
        <f>[6]gpt4omini_single_100!L26</f>
        <v>2.3855999999999999E-2</v>
      </c>
      <c r="D27">
        <f>[7]gpt4omini_single_100!L26</f>
        <v>0.139292</v>
      </c>
      <c r="E27">
        <f>[8]gpt4omini_single_100!L26</f>
        <v>0.271702</v>
      </c>
      <c r="F27" s="11">
        <f>[9]gpt4omini_single_100!L26</f>
        <v>-0.28514600000000001</v>
      </c>
      <c r="G27">
        <v>24</v>
      </c>
      <c r="H27">
        <f>[5]gpt4omini_single_60!L26</f>
        <v>-8.5604E-2</v>
      </c>
      <c r="I27">
        <f>[6]gpt4omini_single_60!L26</f>
        <v>3.8585000000000001E-2</v>
      </c>
      <c r="J27">
        <f>[7]gpt4omini_single_60!L26</f>
        <v>0.111121</v>
      </c>
      <c r="K27">
        <f>[8]gpt4omini_single_60!L26</f>
        <v>0.49097400000000002</v>
      </c>
      <c r="L27">
        <f>[9]gpt4omini_single_60!L26</f>
        <v>-6.5840999999999997E-2</v>
      </c>
      <c r="M27" s="12">
        <v>24</v>
      </c>
      <c r="N27">
        <f>[5]gpt4omini_single_100_2!L26</f>
        <v>-0.451573</v>
      </c>
      <c r="O27">
        <f>[6]gpt4omini_single_100_2!L26</f>
        <v>-0.38435399999999997</v>
      </c>
      <c r="P27">
        <f>[7]gpt4omini_single_100_2!L26</f>
        <v>-0.17702200000000001</v>
      </c>
      <c r="Q27">
        <f>[8]gpt4omini_single_100_2!L26</f>
        <v>-0.24826300000000001</v>
      </c>
      <c r="R27" s="11">
        <f>[9]gpt4omini_single_100_2!L26</f>
        <v>-0.51701799999999998</v>
      </c>
      <c r="S27">
        <v>24</v>
      </c>
      <c r="T27">
        <f>[5]gpt4omini_single_60_2!L26</f>
        <v>-0.19714899999999999</v>
      </c>
      <c r="U27">
        <f>[6]gpt4omini_single_60_2!L26</f>
        <v>-0.17056499999999999</v>
      </c>
      <c r="V27">
        <f>[7]gpt4omini_single_60_2!L26</f>
        <v>1.3184E-2</v>
      </c>
      <c r="W27">
        <f>[8]gpt4omini_single_60_2!L26</f>
        <v>-3.7630999999999998E-2</v>
      </c>
      <c r="X27">
        <f>[9]gpt4omini_single_60_2!L26</f>
        <v>-0.225045</v>
      </c>
    </row>
    <row r="28" spans="1:24" x14ac:dyDescent="0.2">
      <c r="A28" s="12">
        <v>25</v>
      </c>
      <c r="B28">
        <f>[5]gpt4omini_single_100!L27</f>
        <v>-0.18169199999999999</v>
      </c>
      <c r="C28">
        <f>[6]gpt4omini_single_100!L27</f>
        <v>2.1940000000000001E-2</v>
      </c>
      <c r="D28">
        <f>[7]gpt4omini_single_100!L27</f>
        <v>0.14255799999999999</v>
      </c>
      <c r="E28">
        <f>[8]gpt4omini_single_100!L27</f>
        <v>0.27511600000000003</v>
      </c>
      <c r="F28" s="11">
        <f>[9]gpt4omini_single_100!L27</f>
        <v>-0.29306399999999999</v>
      </c>
      <c r="G28">
        <v>25</v>
      </c>
      <c r="H28">
        <f>[5]gpt4omini_single_60!L27</f>
        <v>-8.7654999999999997E-2</v>
      </c>
      <c r="I28">
        <f>[6]gpt4omini_single_60!L27</f>
        <v>4.3343E-2</v>
      </c>
      <c r="J28">
        <f>[7]gpt4omini_single_60!L27</f>
        <v>0.117157</v>
      </c>
      <c r="K28">
        <f>[8]gpt4omini_single_60!L27</f>
        <v>0.55995600000000001</v>
      </c>
      <c r="L28">
        <f>[9]gpt4omini_single_60!L27</f>
        <v>-6.2605999999999995E-2</v>
      </c>
      <c r="M28" s="12">
        <v>25</v>
      </c>
      <c r="N28">
        <f>[5]gpt4omini_single_100_2!L27</f>
        <v>-0.470277</v>
      </c>
      <c r="O28">
        <f>[6]gpt4omini_single_100_2!L27</f>
        <v>-0.400202</v>
      </c>
      <c r="P28">
        <f>[7]gpt4omini_single_100_2!L27</f>
        <v>-0.179623</v>
      </c>
      <c r="Q28">
        <f>[8]gpt4omini_single_100_2!L27</f>
        <v>-0.26003799999999999</v>
      </c>
      <c r="R28" s="11">
        <f>[9]gpt4omini_single_100_2!L27</f>
        <v>-0.52535500000000002</v>
      </c>
      <c r="S28">
        <v>25</v>
      </c>
      <c r="T28">
        <f>[5]gpt4omini_single_60_2!L27</f>
        <v>-0.20255999999999999</v>
      </c>
      <c r="U28">
        <f>[6]gpt4omini_single_60_2!L27</f>
        <v>-0.16897000000000001</v>
      </c>
      <c r="V28">
        <f>[7]gpt4omini_single_60_2!L27</f>
        <v>2.8367E-2</v>
      </c>
      <c r="W28">
        <f>[8]gpt4omini_single_60_2!L27</f>
        <v>-4.6767000000000003E-2</v>
      </c>
      <c r="X28">
        <f>[9]gpt4omini_single_60_2!L27</f>
        <v>-0.22928100000000001</v>
      </c>
    </row>
    <row r="29" spans="1:24" x14ac:dyDescent="0.2">
      <c r="A29" s="12">
        <v>26</v>
      </c>
      <c r="B29">
        <f>[5]gpt4omini_single_100!L28</f>
        <v>-0.18351400000000001</v>
      </c>
      <c r="C29">
        <f>[6]gpt4omini_single_100!L28</f>
        <v>2.2766000000000002E-2</v>
      </c>
      <c r="D29">
        <f>[7]gpt4omini_single_100!L28</f>
        <v>0.15001500000000001</v>
      </c>
      <c r="E29">
        <f>[8]gpt4omini_single_100!L28</f>
        <v>0.28917599999999999</v>
      </c>
      <c r="F29" s="11">
        <f>[9]gpt4omini_single_100!L28</f>
        <v>-0.29627799999999999</v>
      </c>
      <c r="G29">
        <v>26</v>
      </c>
      <c r="H29">
        <f>[5]gpt4omini_single_60!L28</f>
        <v>-9.2130000000000004E-2</v>
      </c>
      <c r="I29">
        <f>[6]gpt4omini_single_60!L28</f>
        <v>4.0494000000000002E-2</v>
      </c>
      <c r="J29">
        <f>[7]gpt4omini_single_60!L28</f>
        <v>0.120244</v>
      </c>
      <c r="K29">
        <f>[8]gpt4omini_single_60!L28</f>
        <v>0.56850299999999998</v>
      </c>
      <c r="L29">
        <f>[9]gpt4omini_single_60!L28</f>
        <v>-6.5942000000000001E-2</v>
      </c>
      <c r="M29" s="12">
        <v>26</v>
      </c>
      <c r="N29">
        <f>[5]gpt4omini_single_100_2!L28</f>
        <v>-0.476053</v>
      </c>
      <c r="O29">
        <f>[6]gpt4omini_single_100_2!L28</f>
        <v>-0.40321899999999999</v>
      </c>
      <c r="P29">
        <f>[7]gpt4omini_single_100_2!L28</f>
        <v>-0.18121300000000001</v>
      </c>
      <c r="Q29">
        <f>[8]gpt4omini_single_100_2!L28</f>
        <v>-0.25663000000000002</v>
      </c>
      <c r="R29" s="11">
        <f>[9]gpt4omini_single_100_2!L28</f>
        <v>-0.52932500000000005</v>
      </c>
      <c r="S29">
        <v>26</v>
      </c>
      <c r="T29">
        <f>[5]gpt4omini_single_60_2!L28</f>
        <v>-0.20824000000000001</v>
      </c>
      <c r="U29">
        <f>[6]gpt4omini_single_60_2!L28</f>
        <v>-0.16568099999999999</v>
      </c>
      <c r="V29">
        <f>[7]gpt4omini_single_60_2!L28</f>
        <v>3.1583E-2</v>
      </c>
      <c r="W29">
        <f>[8]gpt4omini_single_60_2!L28</f>
        <v>-5.0659999999999997E-2</v>
      </c>
      <c r="X29">
        <f>[9]gpt4omini_single_60_2!L28</f>
        <v>-0.241448</v>
      </c>
    </row>
    <row r="30" spans="1:24" x14ac:dyDescent="0.2">
      <c r="A30" s="12">
        <v>27</v>
      </c>
      <c r="B30">
        <f>[5]gpt4omini_single_100!L29</f>
        <v>-0.18842900000000001</v>
      </c>
      <c r="C30">
        <f>[6]gpt4omini_single_100!L29</f>
        <v>2.0341000000000001E-2</v>
      </c>
      <c r="D30">
        <f>[7]gpt4omini_single_100!L29</f>
        <v>0.149285</v>
      </c>
      <c r="E30">
        <f>[8]gpt4omini_single_100!L29</f>
        <v>0.29477700000000001</v>
      </c>
      <c r="F30" s="11">
        <f>[9]gpt4omini_single_100!L29</f>
        <v>-0.29918699999999998</v>
      </c>
      <c r="G30">
        <v>27</v>
      </c>
      <c r="H30">
        <f>[5]gpt4omini_single_60!L29</f>
        <v>-9.8706000000000002E-2</v>
      </c>
      <c r="I30">
        <f>[6]gpt4omini_single_60!L29</f>
        <v>3.7455000000000002E-2</v>
      </c>
      <c r="J30">
        <f>[7]gpt4omini_single_60!L29</f>
        <v>0.117248</v>
      </c>
      <c r="K30">
        <f>[8]gpt4omini_single_60!L29</f>
        <v>0.56898300000000002</v>
      </c>
      <c r="L30">
        <f>[9]gpt4omini_single_60!L29</f>
        <v>-6.1490999999999997E-2</v>
      </c>
      <c r="M30" s="12">
        <v>27</v>
      </c>
      <c r="N30">
        <f>[5]gpt4omini_single_100_2!L29</f>
        <v>-0.48122599999999999</v>
      </c>
      <c r="O30">
        <f>[6]gpt4omini_single_100_2!L29</f>
        <v>-0.41365600000000002</v>
      </c>
      <c r="P30">
        <f>[7]gpt4omini_single_100_2!L29</f>
        <v>-0.184753</v>
      </c>
      <c r="Q30">
        <f>[8]gpt4omini_single_100_2!L29</f>
        <v>-0.25434800000000002</v>
      </c>
      <c r="R30" s="11">
        <f>[9]gpt4omini_single_100_2!L29</f>
        <v>-0.53509099999999998</v>
      </c>
      <c r="S30">
        <v>27</v>
      </c>
      <c r="T30">
        <f>[5]gpt4omini_single_60_2!L29</f>
        <v>-0.22294700000000001</v>
      </c>
      <c r="U30">
        <f>[6]gpt4omini_single_60_2!L29</f>
        <v>-0.17855699999999999</v>
      </c>
      <c r="V30">
        <f>[7]gpt4omini_single_60_2!L29</f>
        <v>1.3341E-2</v>
      </c>
      <c r="W30">
        <f>[8]gpt4omini_single_60_2!L29</f>
        <v>-7.1631E-2</v>
      </c>
      <c r="X30">
        <f>[9]gpt4omini_single_60_2!L29</f>
        <v>-0.25183100000000003</v>
      </c>
    </row>
    <row r="31" spans="1:24" x14ac:dyDescent="0.2">
      <c r="A31" s="12">
        <v>28</v>
      </c>
      <c r="B31">
        <f>[5]gpt4omini_single_100!L30</f>
        <v>-0.19315199999999999</v>
      </c>
      <c r="C31">
        <f>[6]gpt4omini_single_100!L30</f>
        <v>2.0351999999999999E-2</v>
      </c>
      <c r="D31">
        <f>[7]gpt4omini_single_100!L30</f>
        <v>0.14699999999999999</v>
      </c>
      <c r="E31">
        <f>[8]gpt4omini_single_100!L30</f>
        <v>0.28842299999999998</v>
      </c>
      <c r="F31" s="11">
        <f>[9]gpt4omini_single_100!L30</f>
        <v>-0.297786</v>
      </c>
      <c r="G31">
        <v>28</v>
      </c>
      <c r="H31">
        <f>[5]gpt4omini_single_60!L30</f>
        <v>-9.8656999999999995E-2</v>
      </c>
      <c r="I31">
        <f>[6]gpt4omini_single_60!L30</f>
        <v>4.1674000000000003E-2</v>
      </c>
      <c r="J31">
        <f>[7]gpt4omini_single_60!L30</f>
        <v>0.132054</v>
      </c>
      <c r="K31">
        <f>[8]gpt4omini_single_60!L30</f>
        <v>0.59738400000000003</v>
      </c>
      <c r="L31">
        <f>[9]gpt4omini_single_60!L30</f>
        <v>-6.4729999999999996E-2</v>
      </c>
      <c r="M31" s="12">
        <v>28</v>
      </c>
      <c r="N31">
        <f>[5]gpt4omini_single_100_2!L30</f>
        <v>-0.48853600000000003</v>
      </c>
      <c r="O31">
        <f>[6]gpt4omini_single_100_2!L30</f>
        <v>-0.42713299999999998</v>
      </c>
      <c r="P31">
        <f>[7]gpt4omini_single_100_2!L30</f>
        <v>-0.19835800000000001</v>
      </c>
      <c r="Q31">
        <f>[8]gpt4omini_single_100_2!L30</f>
        <v>-0.24912500000000001</v>
      </c>
      <c r="R31" s="11">
        <f>[9]gpt4omini_single_100_2!L30</f>
        <v>-0.539381</v>
      </c>
      <c r="S31">
        <v>28</v>
      </c>
      <c r="T31">
        <f>[5]gpt4omini_single_60_2!L30</f>
        <v>-0.224742</v>
      </c>
      <c r="U31">
        <f>[6]gpt4omini_single_60_2!L30</f>
        <v>-0.184865</v>
      </c>
      <c r="V31">
        <f>[7]gpt4omini_single_60_2!L30</f>
        <v>1.4536E-2</v>
      </c>
      <c r="W31">
        <f>[8]gpt4omini_single_60_2!L30</f>
        <v>-7.1795999999999999E-2</v>
      </c>
      <c r="X31">
        <f>[9]gpt4omini_single_60_2!L30</f>
        <v>-0.25076399999999999</v>
      </c>
    </row>
    <row r="32" spans="1:24" x14ac:dyDescent="0.2">
      <c r="A32" s="12">
        <v>29</v>
      </c>
      <c r="B32">
        <f>[5]gpt4omini_single_100!L31</f>
        <v>-0.19778399999999999</v>
      </c>
      <c r="C32">
        <f>[6]gpt4omini_single_100!L31</f>
        <v>2.1987E-2</v>
      </c>
      <c r="D32">
        <f>[7]gpt4omini_single_100!L31</f>
        <v>0.14574500000000001</v>
      </c>
      <c r="E32">
        <f>[8]gpt4omini_single_100!L31</f>
        <v>0.29561100000000001</v>
      </c>
      <c r="F32" s="11">
        <f>[9]gpt4omini_single_100!L31</f>
        <v>-0.30031999999999998</v>
      </c>
      <c r="G32">
        <v>29</v>
      </c>
      <c r="H32">
        <f>[5]gpt4omini_single_60!L31</f>
        <v>-0.101143</v>
      </c>
      <c r="I32">
        <f>[6]gpt4omini_single_60!L31</f>
        <v>5.4289999999999998E-2</v>
      </c>
      <c r="J32">
        <f>[7]gpt4omini_single_60!L31</f>
        <v>0.13734299999999999</v>
      </c>
      <c r="K32">
        <f>[8]gpt4omini_single_60!L31</f>
        <v>0.61079300000000003</v>
      </c>
      <c r="L32">
        <f>[9]gpt4omini_single_60!L31</f>
        <v>-6.3425999999999996E-2</v>
      </c>
      <c r="M32" s="12">
        <v>29</v>
      </c>
      <c r="N32">
        <f>[5]gpt4omini_single_100_2!L31</f>
        <v>-0.49720599999999998</v>
      </c>
      <c r="O32">
        <f>[6]gpt4omini_single_100_2!L31</f>
        <v>-0.43005399999999999</v>
      </c>
      <c r="P32">
        <f>[7]gpt4omini_single_100_2!L31</f>
        <v>-0.20874599999999999</v>
      </c>
      <c r="Q32">
        <f>[8]gpt4omini_single_100_2!L31</f>
        <v>-0.274644</v>
      </c>
      <c r="R32" s="11">
        <f>[9]gpt4omini_single_100_2!L31</f>
        <v>-0.54273499999999997</v>
      </c>
      <c r="S32">
        <v>29</v>
      </c>
      <c r="T32">
        <f>[5]gpt4omini_single_60_2!L31</f>
        <v>-0.22936100000000001</v>
      </c>
      <c r="U32">
        <f>[6]gpt4omini_single_60_2!L31</f>
        <v>-0.18936800000000001</v>
      </c>
      <c r="V32">
        <f>[7]gpt4omini_single_60_2!L31</f>
        <v>2.2327E-2</v>
      </c>
      <c r="W32">
        <f>[8]gpt4omini_single_60_2!L31</f>
        <v>-7.1603E-2</v>
      </c>
      <c r="X32">
        <f>[9]gpt4omini_single_60_2!L31</f>
        <v>-0.257272</v>
      </c>
    </row>
    <row r="33" spans="1:24" x14ac:dyDescent="0.2">
      <c r="A33" s="12">
        <v>30</v>
      </c>
      <c r="B33">
        <f>[5]gpt4omini_single_100!L32</f>
        <v>-0.20032</v>
      </c>
      <c r="C33">
        <f>[6]gpt4omini_single_100!L32</f>
        <v>2.7689999999999999E-2</v>
      </c>
      <c r="D33">
        <f>[7]gpt4omini_single_100!L32</f>
        <v>0.14624599999999999</v>
      </c>
      <c r="E33">
        <f>[8]gpt4omini_single_100!L32</f>
        <v>0.29716700000000001</v>
      </c>
      <c r="F33" s="11">
        <f>[9]gpt4omini_single_100!L32</f>
        <v>-0.29366199999999998</v>
      </c>
      <c r="G33">
        <v>30</v>
      </c>
      <c r="H33">
        <f>[5]gpt4omini_single_60!L32</f>
        <v>-9.6068000000000001E-2</v>
      </c>
      <c r="I33">
        <f>[6]gpt4omini_single_60!L32</f>
        <v>5.8195999999999998E-2</v>
      </c>
      <c r="J33">
        <f>[7]gpt4omini_single_60!L32</f>
        <v>0.141962</v>
      </c>
      <c r="K33">
        <f>[8]gpt4omini_single_60!L32</f>
        <v>0.58869700000000003</v>
      </c>
      <c r="L33">
        <f>[9]gpt4omini_single_60!L32</f>
        <v>-6.2472E-2</v>
      </c>
      <c r="M33" s="12">
        <v>30</v>
      </c>
      <c r="N33">
        <f>[5]gpt4omini_single_100_2!L32</f>
        <v>-0.49299599999999999</v>
      </c>
      <c r="O33">
        <f>[6]gpt4omini_single_100_2!L32</f>
        <v>-0.432423</v>
      </c>
      <c r="P33">
        <f>[7]gpt4omini_single_100_2!L32</f>
        <v>-0.214781</v>
      </c>
      <c r="Q33">
        <f>[8]gpt4omini_single_100_2!L32</f>
        <v>-0.27569500000000002</v>
      </c>
      <c r="R33" s="11">
        <f>[9]gpt4omini_single_100_2!L32</f>
        <v>-0.541995</v>
      </c>
      <c r="S33">
        <v>30</v>
      </c>
      <c r="T33">
        <f>[5]gpt4omini_single_60_2!L32</f>
        <v>-0.22261900000000001</v>
      </c>
      <c r="U33">
        <f>[6]gpt4omini_single_60_2!L32</f>
        <v>-0.18514600000000001</v>
      </c>
      <c r="V33">
        <f>[7]gpt4omini_single_60_2!L32</f>
        <v>2.1309999999999999E-2</v>
      </c>
      <c r="W33">
        <f>[8]gpt4omini_single_60_2!L32</f>
        <v>-6.7429000000000003E-2</v>
      </c>
      <c r="X33">
        <f>[9]gpt4omini_single_60_2!L32</f>
        <v>-0.26214799999999999</v>
      </c>
    </row>
    <row r="34" spans="1:24" x14ac:dyDescent="0.2">
      <c r="A34" s="12">
        <v>31</v>
      </c>
      <c r="B34">
        <f>[5]gpt4omini_single_100!L33</f>
        <v>-0.207589</v>
      </c>
      <c r="C34">
        <f>[6]gpt4omini_single_100!L33</f>
        <v>2.0271999999999998E-2</v>
      </c>
      <c r="D34">
        <f>[7]gpt4omini_single_100!L33</f>
        <v>0.123025</v>
      </c>
      <c r="E34">
        <f>[8]gpt4omini_single_100!L33</f>
        <v>0.28876000000000002</v>
      </c>
      <c r="F34" s="11">
        <f>[9]gpt4omini_single_100!L33</f>
        <v>-0.30532700000000002</v>
      </c>
      <c r="G34">
        <v>31</v>
      </c>
      <c r="H34">
        <f>[5]gpt4omini_single_60!L33</f>
        <v>-9.4061000000000006E-2</v>
      </c>
      <c r="I34">
        <f>[6]gpt4omini_single_60!L33</f>
        <v>6.8820000000000006E-2</v>
      </c>
      <c r="J34">
        <f>[7]gpt4omini_single_60!L33</f>
        <v>0.14463100000000001</v>
      </c>
      <c r="K34">
        <f>[8]gpt4omini_single_60!L33</f>
        <v>0.64945299999999995</v>
      </c>
      <c r="L34">
        <f>[9]gpt4omini_single_60!L33</f>
        <v>-6.3480999999999996E-2</v>
      </c>
      <c r="M34" s="12">
        <v>31</v>
      </c>
      <c r="N34">
        <f>[5]gpt4omini_single_100_2!L33</f>
        <v>-0.48910500000000001</v>
      </c>
      <c r="O34">
        <f>[6]gpt4omini_single_100_2!L33</f>
        <v>-0.43907800000000002</v>
      </c>
      <c r="P34">
        <f>[7]gpt4omini_single_100_2!L33</f>
        <v>-0.21782599999999999</v>
      </c>
      <c r="Q34">
        <f>[8]gpt4omini_single_100_2!L33</f>
        <v>-0.26244800000000001</v>
      </c>
      <c r="R34" s="11">
        <f>[9]gpt4omini_single_100_2!L33</f>
        <v>-0.55154199999999998</v>
      </c>
      <c r="S34">
        <v>31</v>
      </c>
      <c r="T34">
        <f>[5]gpt4omini_single_60_2!L33</f>
        <v>-0.228579</v>
      </c>
      <c r="U34">
        <f>[6]gpt4omini_single_60_2!L33</f>
        <v>-0.190882</v>
      </c>
      <c r="V34">
        <f>[7]gpt4omini_single_60_2!L33</f>
        <v>2.4292000000000001E-2</v>
      </c>
      <c r="W34">
        <f>[8]gpt4omini_single_60_2!L33</f>
        <v>-8.5620000000000002E-3</v>
      </c>
      <c r="X34">
        <f>[9]gpt4omini_single_60_2!L33</f>
        <v>-0.26458300000000001</v>
      </c>
    </row>
    <row r="35" spans="1:24" x14ac:dyDescent="0.2">
      <c r="A35" s="12">
        <v>32</v>
      </c>
      <c r="B35">
        <f>[5]gpt4omini_single_100!L34</f>
        <v>-0.22323799999999999</v>
      </c>
      <c r="C35">
        <f>[6]gpt4omini_single_100!L34</f>
        <v>1.5945999999999998E-2</v>
      </c>
      <c r="D35">
        <f>[7]gpt4omini_single_100!L34</f>
        <v>0.12990399999999999</v>
      </c>
      <c r="E35">
        <f>[8]gpt4omini_single_100!L34</f>
        <v>0.30979000000000001</v>
      </c>
      <c r="F35" s="11">
        <f>[9]gpt4omini_single_100!L34</f>
        <v>-0.32261699999999999</v>
      </c>
      <c r="G35">
        <v>32</v>
      </c>
      <c r="H35">
        <f>[5]gpt4omini_single_60!L34</f>
        <v>-9.6291000000000002E-2</v>
      </c>
      <c r="I35">
        <f>[6]gpt4omini_single_60!L34</f>
        <v>7.7965000000000007E-2</v>
      </c>
      <c r="J35">
        <f>[7]gpt4omini_single_60!L34</f>
        <v>0.153751</v>
      </c>
      <c r="K35">
        <f>[8]gpt4omini_single_60!L34</f>
        <v>0.73642700000000005</v>
      </c>
      <c r="L35">
        <f>[9]gpt4omini_single_60!L34</f>
        <v>-5.6543999999999997E-2</v>
      </c>
      <c r="M35" s="12">
        <v>32</v>
      </c>
      <c r="N35">
        <f>[5]gpt4omini_single_100_2!L34</f>
        <v>-0.52663000000000004</v>
      </c>
      <c r="O35">
        <f>[6]gpt4omini_single_100_2!L34</f>
        <v>-0.47270499999999999</v>
      </c>
      <c r="P35">
        <f>[7]gpt4omini_single_100_2!L34</f>
        <v>-0.25586500000000001</v>
      </c>
      <c r="Q35">
        <f>[8]gpt4omini_single_100_2!L34</f>
        <v>-0.29939500000000002</v>
      </c>
      <c r="R35" s="11">
        <f>[9]gpt4omini_single_100_2!L34</f>
        <v>-0.587418</v>
      </c>
      <c r="S35">
        <v>32</v>
      </c>
      <c r="T35">
        <f>[5]gpt4omini_single_60_2!L34</f>
        <v>-0.23565</v>
      </c>
      <c r="U35">
        <f>[6]gpt4omini_single_60_2!L34</f>
        <v>-0.19194600000000001</v>
      </c>
      <c r="V35">
        <f>[7]gpt4omini_single_60_2!L34</f>
        <v>2.0836E-2</v>
      </c>
      <c r="W35">
        <f>[8]gpt4omini_single_60_2!L34</f>
        <v>-9.3123999999999998E-2</v>
      </c>
      <c r="X35">
        <f>[9]gpt4omini_single_60_2!L34</f>
        <v>-0.26440000000000002</v>
      </c>
    </row>
    <row r="36" spans="1:24" x14ac:dyDescent="0.2">
      <c r="A36" s="12">
        <v>33</v>
      </c>
      <c r="B36">
        <f>[5]gpt4omini_single_100!L35</f>
        <v>-0.23053799999999999</v>
      </c>
      <c r="C36">
        <f>[6]gpt4omini_single_100!L35</f>
        <v>4.7730000000000003E-3</v>
      </c>
      <c r="D36">
        <f>[7]gpt4omini_single_100!L35</f>
        <v>0.100248</v>
      </c>
      <c r="E36">
        <f>[8]gpt4omini_single_100!L35</f>
        <v>0.27041799999999999</v>
      </c>
      <c r="F36" s="11">
        <f>[9]gpt4omini_single_100!L35</f>
        <v>-0.32867499999999999</v>
      </c>
      <c r="G36">
        <v>33</v>
      </c>
      <c r="H36">
        <f>[5]gpt4omini_single_60!L35</f>
        <v>-9.5322000000000004E-2</v>
      </c>
      <c r="I36">
        <f>[6]gpt4omini_single_60!L35</f>
        <v>8.2519999999999996E-2</v>
      </c>
      <c r="J36">
        <f>[7]gpt4omini_single_60!L35</f>
        <v>0.15922700000000001</v>
      </c>
      <c r="K36">
        <f>[8]gpt4omini_single_60!L35</f>
        <v>0.69416699999999998</v>
      </c>
      <c r="L36">
        <f>[9]gpt4omini_single_60!L35</f>
        <v>-5.7269E-2</v>
      </c>
      <c r="M36" s="12">
        <v>33</v>
      </c>
      <c r="N36">
        <f>[5]gpt4omini_single_100_2!L35</f>
        <v>-0.54388999999999998</v>
      </c>
      <c r="O36">
        <f>[6]gpt4omini_single_100_2!L35</f>
        <v>-0.48532399999999998</v>
      </c>
      <c r="P36">
        <f>[7]gpt4omini_single_100_2!L35</f>
        <v>-0.25675799999999999</v>
      </c>
      <c r="Q36">
        <f>[8]gpt4omini_single_100_2!L35</f>
        <v>-0.30960700000000002</v>
      </c>
      <c r="R36" s="11">
        <f>[9]gpt4omini_single_100_2!L35</f>
        <v>-0.60026400000000002</v>
      </c>
      <c r="S36">
        <v>33</v>
      </c>
      <c r="T36">
        <f>[5]gpt4omini_single_60_2!L35</f>
        <v>-0.24266299999999999</v>
      </c>
      <c r="U36">
        <f>[6]gpt4omini_single_60_2!L35</f>
        <v>-0.19576399999999999</v>
      </c>
      <c r="V36">
        <f>[7]gpt4omini_single_60_2!L35</f>
        <v>2.2245999999999998E-2</v>
      </c>
      <c r="W36">
        <f>[8]gpt4omini_single_60_2!L35</f>
        <v>-5.8997000000000001E-2</v>
      </c>
      <c r="X36">
        <f>[9]gpt4omini_single_60_2!L35</f>
        <v>-0.27696900000000002</v>
      </c>
    </row>
    <row r="37" spans="1:24" x14ac:dyDescent="0.2">
      <c r="A37" s="12">
        <v>34</v>
      </c>
      <c r="B37">
        <f>[5]gpt4omini_single_100!L36</f>
        <v>-0.23095399999999999</v>
      </c>
      <c r="C37">
        <f>[6]gpt4omini_single_100!L36</f>
        <v>1.9840000000000001E-3</v>
      </c>
      <c r="D37">
        <f>[7]gpt4omini_single_100!L36</f>
        <v>0.10652399999999999</v>
      </c>
      <c r="E37">
        <f>[8]gpt4omini_single_100!L36</f>
        <v>0.28459499999999999</v>
      </c>
      <c r="F37" s="11">
        <f>[9]gpt4omini_single_100!L36</f>
        <v>-0.330899</v>
      </c>
      <c r="G37">
        <v>34</v>
      </c>
      <c r="H37">
        <f>[5]gpt4omini_single_60!L36</f>
        <v>-0.10377699999999999</v>
      </c>
      <c r="I37">
        <f>[6]gpt4omini_single_60!L36</f>
        <v>8.0946000000000004E-2</v>
      </c>
      <c r="J37">
        <f>[7]gpt4omini_single_60!L36</f>
        <v>0.16797899999999999</v>
      </c>
      <c r="K37">
        <f>[8]gpt4omini_single_60!L36</f>
        <v>0.80125000000000002</v>
      </c>
      <c r="L37">
        <f>[9]gpt4omini_single_60!L36</f>
        <v>-6.3601000000000005E-2</v>
      </c>
      <c r="M37" s="12">
        <v>34</v>
      </c>
      <c r="N37">
        <f>[5]gpt4omini_single_100_2!L36</f>
        <v>-0.56830199999999997</v>
      </c>
      <c r="O37">
        <f>[6]gpt4omini_single_100_2!L36</f>
        <v>-0.49293900000000002</v>
      </c>
      <c r="P37">
        <f>[7]gpt4omini_single_100_2!L36</f>
        <v>-0.269123</v>
      </c>
      <c r="Q37">
        <f>[8]gpt4omini_single_100_2!L36</f>
        <v>-0.34096199999999999</v>
      </c>
      <c r="R37" s="11">
        <f>[9]gpt4omini_single_100_2!L36</f>
        <v>-0.623116</v>
      </c>
      <c r="S37">
        <v>34</v>
      </c>
      <c r="T37">
        <f>[5]gpt4omini_single_60_2!L36</f>
        <v>-0.24660299999999999</v>
      </c>
      <c r="U37">
        <f>[6]gpt4omini_single_60_2!L36</f>
        <v>-0.20464199999999999</v>
      </c>
      <c r="V37">
        <f>[7]gpt4omini_single_60_2!L36</f>
        <v>2.4988E-2</v>
      </c>
      <c r="W37">
        <f>[8]gpt4omini_single_60_2!L36</f>
        <v>-7.0163000000000003E-2</v>
      </c>
      <c r="X37">
        <f>[9]gpt4omini_single_60_2!L36</f>
        <v>-0.287657</v>
      </c>
    </row>
    <row r="38" spans="1:24" x14ac:dyDescent="0.2">
      <c r="A38" s="12">
        <v>35</v>
      </c>
      <c r="B38">
        <f>[5]gpt4omini_single_100!L37</f>
        <v>-0.23224400000000001</v>
      </c>
      <c r="C38">
        <f>[6]gpt4omini_single_100!L37</f>
        <v>-1.5334E-2</v>
      </c>
      <c r="D38">
        <f>[7]gpt4omini_single_100!L37</f>
        <v>9.4353999999999993E-2</v>
      </c>
      <c r="E38">
        <f>[8]gpt4omini_single_100!L37</f>
        <v>0.27108700000000002</v>
      </c>
      <c r="F38" s="11">
        <f>[9]gpt4omini_single_100!L37</f>
        <v>-0.33457700000000001</v>
      </c>
      <c r="G38">
        <v>35</v>
      </c>
      <c r="H38">
        <f>[5]gpt4omini_single_60!L37</f>
        <v>-0.114983</v>
      </c>
      <c r="I38">
        <f>[6]gpt4omini_single_60!L37</f>
        <v>6.5613000000000005E-2</v>
      </c>
      <c r="J38">
        <f>[7]gpt4omini_single_60!L37</f>
        <v>0.140405</v>
      </c>
      <c r="K38">
        <f>[8]gpt4omini_single_60!L37</f>
        <v>0.83111500000000005</v>
      </c>
      <c r="L38">
        <f>[9]gpt4omini_single_60!L37</f>
        <v>-6.3668000000000002E-2</v>
      </c>
      <c r="M38" s="12">
        <v>35</v>
      </c>
      <c r="N38">
        <f>[5]gpt4omini_single_100_2!L37</f>
        <v>-0.577735</v>
      </c>
      <c r="O38">
        <f>[6]gpt4omini_single_100_2!L37</f>
        <v>-0.49860500000000002</v>
      </c>
      <c r="P38">
        <f>[7]gpt4omini_single_100_2!L37</f>
        <v>-0.288574</v>
      </c>
      <c r="Q38">
        <f>[8]gpt4omini_single_100_2!L37</f>
        <v>-0.36950300000000003</v>
      </c>
      <c r="R38" s="11">
        <f>[9]gpt4omini_single_100_2!L37</f>
        <v>-0.63135399999999997</v>
      </c>
      <c r="S38">
        <v>35</v>
      </c>
      <c r="T38">
        <f>[5]gpt4omini_single_60_2!L37</f>
        <v>-0.26374500000000001</v>
      </c>
      <c r="U38">
        <f>[6]gpt4omini_single_60_2!L37</f>
        <v>-0.20400299999999999</v>
      </c>
      <c r="V38">
        <f>[7]gpt4omini_single_60_2!L37</f>
        <v>-9.6539999999999994E-3</v>
      </c>
      <c r="W38">
        <f>[8]gpt4omini_single_60_2!L37</f>
        <v>-7.0152999999999993E-2</v>
      </c>
      <c r="X38">
        <f>[9]gpt4omini_single_60_2!L37</f>
        <v>-0.29048600000000002</v>
      </c>
    </row>
    <row r="39" spans="1:24" x14ac:dyDescent="0.2">
      <c r="A39" s="12">
        <v>36</v>
      </c>
      <c r="B39">
        <f>[5]gpt4omini_single_100!L38</f>
        <v>-0.23829</v>
      </c>
      <c r="C39">
        <f>[6]gpt4omini_single_100!L38</f>
        <v>-1.0130999999999999E-2</v>
      </c>
      <c r="D39">
        <f>[7]gpt4omini_single_100!L38</f>
        <v>0.102483</v>
      </c>
      <c r="E39">
        <f>[8]gpt4omini_single_100!L38</f>
        <v>0.28348499999999999</v>
      </c>
      <c r="F39" s="11">
        <f>[9]gpt4omini_single_100!L38</f>
        <v>-0.34696199999999999</v>
      </c>
      <c r="G39">
        <v>36</v>
      </c>
      <c r="H39">
        <f>[5]gpt4omini_single_60!L38</f>
        <v>-0.11661000000000001</v>
      </c>
      <c r="I39">
        <f>[6]gpt4omini_single_60!L38</f>
        <v>6.7018999999999995E-2</v>
      </c>
      <c r="J39">
        <f>[7]gpt4omini_single_60!L38</f>
        <v>0.15104799999999999</v>
      </c>
      <c r="K39">
        <f>[8]gpt4omini_single_60!L38</f>
        <v>0.84796499999999997</v>
      </c>
      <c r="L39">
        <f>[9]gpt4omini_single_60!L38</f>
        <v>-6.3811999999999994E-2</v>
      </c>
      <c r="M39" s="12">
        <v>36</v>
      </c>
      <c r="N39">
        <f>[5]gpt4omini_single_100_2!L38</f>
        <v>-0.59776399999999996</v>
      </c>
      <c r="O39">
        <f>[6]gpt4omini_single_100_2!L38</f>
        <v>-0.51252900000000001</v>
      </c>
      <c r="P39">
        <f>[7]gpt4omini_single_100_2!L38</f>
        <v>-0.29046499999999997</v>
      </c>
      <c r="Q39">
        <f>[8]gpt4omini_single_100_2!L38</f>
        <v>-0.36530600000000002</v>
      </c>
      <c r="R39" s="11">
        <f>[9]gpt4omini_single_100_2!L38</f>
        <v>-0.65187300000000004</v>
      </c>
      <c r="S39">
        <v>36</v>
      </c>
      <c r="T39">
        <f>[5]gpt4omini_single_60_2!L38</f>
        <v>-0.27997499999999997</v>
      </c>
      <c r="U39">
        <f>[6]gpt4omini_single_60_2!L38</f>
        <v>-0.20002300000000001</v>
      </c>
      <c r="V39">
        <f>[7]gpt4omini_single_60_2!L38</f>
        <v>-2.9588E-2</v>
      </c>
      <c r="W39">
        <f>[8]gpt4omini_single_60_2!L38</f>
        <v>-8.5875999999999994E-2</v>
      </c>
      <c r="X39">
        <f>[9]gpt4omini_single_60_2!L38</f>
        <v>-0.29942999999999997</v>
      </c>
    </row>
    <row r="40" spans="1:24" x14ac:dyDescent="0.2">
      <c r="A40" s="12">
        <v>37</v>
      </c>
      <c r="B40">
        <f>[5]gpt4omini_single_100!L39</f>
        <v>-0.24157899999999999</v>
      </c>
      <c r="C40">
        <f>[6]gpt4omini_single_100!L39</f>
        <v>-1.8440999999999999E-2</v>
      </c>
      <c r="D40">
        <f>[7]gpt4omini_single_100!L39</f>
        <v>9.4463000000000005E-2</v>
      </c>
      <c r="E40">
        <f>[8]gpt4omini_single_100!L39</f>
        <v>0.27454499999999998</v>
      </c>
      <c r="F40" s="11">
        <f>[9]gpt4omini_single_100!L39</f>
        <v>-0.355211</v>
      </c>
      <c r="G40">
        <v>37</v>
      </c>
      <c r="H40">
        <f>[5]gpt4omini_single_60!L39</f>
        <v>-0.117271</v>
      </c>
      <c r="I40">
        <f>[6]gpt4omini_single_60!L39</f>
        <v>7.3255000000000001E-2</v>
      </c>
      <c r="J40">
        <f>[7]gpt4omini_single_60!L39</f>
        <v>0.149973</v>
      </c>
      <c r="K40">
        <f>[8]gpt4omini_single_60!L39</f>
        <v>0.80762199999999995</v>
      </c>
      <c r="L40">
        <f>[9]gpt4omini_single_60!L39</f>
        <v>-6.5922999999999995E-2</v>
      </c>
      <c r="M40" s="12">
        <v>37</v>
      </c>
      <c r="N40">
        <f>[5]gpt4omini_single_100_2!L39</f>
        <v>-0.60774499999999998</v>
      </c>
      <c r="O40">
        <f>[6]gpt4omini_single_100_2!L39</f>
        <v>-0.53089799999999998</v>
      </c>
      <c r="P40">
        <f>[7]gpt4omini_single_100_2!L39</f>
        <v>-0.31615500000000002</v>
      </c>
      <c r="Q40">
        <f>[8]gpt4omini_single_100_2!L39</f>
        <v>-0.38255899999999998</v>
      </c>
      <c r="R40" s="11">
        <f>[9]gpt4omini_single_100_2!L39</f>
        <v>-0.65666500000000005</v>
      </c>
      <c r="S40">
        <v>37</v>
      </c>
      <c r="T40">
        <f>[5]gpt4omini_single_60_2!L39</f>
        <v>-0.29628300000000002</v>
      </c>
      <c r="U40">
        <f>[6]gpt4omini_single_60_2!L39</f>
        <v>-0.20840400000000001</v>
      </c>
      <c r="V40">
        <f>[7]gpt4omini_single_60_2!L39</f>
        <v>-2.5978000000000001E-2</v>
      </c>
      <c r="W40">
        <f>[8]gpt4omini_single_60_2!L39</f>
        <v>7.3125999999999997E-2</v>
      </c>
      <c r="X40">
        <f>[9]gpt4omini_single_60_2!L39</f>
        <v>-0.30650100000000002</v>
      </c>
    </row>
    <row r="41" spans="1:24" x14ac:dyDescent="0.2">
      <c r="A41" s="12">
        <v>38</v>
      </c>
      <c r="B41">
        <f>[5]gpt4omini_single_100!L40</f>
        <v>-0.244339</v>
      </c>
      <c r="C41">
        <f>[6]gpt4omini_single_100!L40</f>
        <v>-2.2005E-2</v>
      </c>
      <c r="D41">
        <f>[7]gpt4omini_single_100!L40</f>
        <v>9.4092999999999996E-2</v>
      </c>
      <c r="E41">
        <f>[8]gpt4omini_single_100!L40</f>
        <v>0.28199000000000002</v>
      </c>
      <c r="F41" s="11">
        <f>[9]gpt4omini_single_100!L40</f>
        <v>-0.36504399999999998</v>
      </c>
      <c r="G41">
        <v>38</v>
      </c>
      <c r="H41">
        <f>[5]gpt4omini_single_60!L40</f>
        <v>-0.12606999999999999</v>
      </c>
      <c r="I41">
        <f>[6]gpt4omini_single_60!L40</f>
        <v>6.744E-2</v>
      </c>
      <c r="J41">
        <f>[7]gpt4omini_single_60!L40</f>
        <v>0.15424199999999999</v>
      </c>
      <c r="K41">
        <f>[8]gpt4omini_single_60!L40</f>
        <v>0.86389099999999996</v>
      </c>
      <c r="L41">
        <f>[9]gpt4omini_single_60!L40</f>
        <v>-6.0766000000000001E-2</v>
      </c>
      <c r="M41" s="12">
        <v>38</v>
      </c>
      <c r="N41">
        <f>[5]gpt4omini_single_100_2!L40</f>
        <v>-0.63007400000000002</v>
      </c>
      <c r="O41">
        <f>[6]gpt4omini_single_100_2!L40</f>
        <v>-0.55020199999999997</v>
      </c>
      <c r="P41">
        <f>[7]gpt4omini_single_100_2!L40</f>
        <v>-0.33022800000000002</v>
      </c>
      <c r="Q41">
        <f>[8]gpt4omini_single_100_2!L40</f>
        <v>-0.40549800000000003</v>
      </c>
      <c r="R41" s="11">
        <f>[9]gpt4omini_single_100_2!L40</f>
        <v>-0.67499200000000004</v>
      </c>
      <c r="S41">
        <v>38</v>
      </c>
      <c r="T41">
        <f>[5]gpt4omini_single_60_2!L40</f>
        <v>-0.31431799999999999</v>
      </c>
      <c r="U41">
        <f>[6]gpt4omini_single_60_2!L40</f>
        <v>-0.20655599999999999</v>
      </c>
      <c r="V41">
        <f>[7]gpt4omini_single_60_2!L40</f>
        <v>-2.5464000000000001E-2</v>
      </c>
      <c r="W41">
        <f>[8]gpt4omini_single_60_2!L40</f>
        <v>9.3718999999999997E-2</v>
      </c>
      <c r="X41">
        <f>[9]gpt4omini_single_60_2!L40</f>
        <v>-0.30590499999999998</v>
      </c>
    </row>
    <row r="42" spans="1:24" x14ac:dyDescent="0.2">
      <c r="A42" s="12">
        <v>39</v>
      </c>
      <c r="B42">
        <f>[5]gpt4omini_single_100!L41</f>
        <v>-0.25019599999999997</v>
      </c>
      <c r="C42">
        <f>[6]gpt4omini_single_100!L41</f>
        <v>-2.5253000000000001E-2</v>
      </c>
      <c r="D42">
        <f>[7]gpt4omini_single_100!L41</f>
        <v>9.6724000000000004E-2</v>
      </c>
      <c r="E42">
        <f>[8]gpt4omini_single_100!L41</f>
        <v>0.291408</v>
      </c>
      <c r="F42" s="11">
        <f>[9]gpt4omini_single_100!L41</f>
        <v>-0.36529600000000001</v>
      </c>
      <c r="G42">
        <v>39</v>
      </c>
      <c r="H42">
        <f>[5]gpt4omini_single_60!L41</f>
        <v>-0.12995899999999999</v>
      </c>
      <c r="I42">
        <f>[6]gpt4omini_single_60!L41</f>
        <v>7.1687000000000001E-2</v>
      </c>
      <c r="J42">
        <f>[7]gpt4omini_single_60!L41</f>
        <v>0.16308</v>
      </c>
      <c r="K42">
        <f>[8]gpt4omini_single_60!L41</f>
        <v>0.76712199999999997</v>
      </c>
      <c r="L42">
        <f>[9]gpt4omini_single_60!L41</f>
        <v>-5.9910999999999999E-2</v>
      </c>
      <c r="M42" s="12">
        <v>39</v>
      </c>
      <c r="N42">
        <f>[5]gpt4omini_single_100_2!L41</f>
        <v>-0.64067499999999999</v>
      </c>
      <c r="O42">
        <f>[6]gpt4omini_single_100_2!L41</f>
        <v>-0.53067500000000001</v>
      </c>
      <c r="P42">
        <f>[7]gpt4omini_single_100_2!L41</f>
        <v>-0.33308700000000002</v>
      </c>
      <c r="Q42">
        <f>[8]gpt4omini_single_100_2!L41</f>
        <v>-0.4118</v>
      </c>
      <c r="R42" s="11">
        <f>[9]gpt4omini_single_100_2!L41</f>
        <v>-0.67146899999999998</v>
      </c>
      <c r="S42">
        <v>39</v>
      </c>
      <c r="T42">
        <f>[5]gpt4omini_single_60_2!L41</f>
        <v>-0.32800000000000001</v>
      </c>
      <c r="U42">
        <f>[6]gpt4omini_single_60_2!L41</f>
        <v>-0.21319399999999999</v>
      </c>
      <c r="V42">
        <f>[7]gpt4omini_single_60_2!L41</f>
        <v>-2.5059000000000001E-2</v>
      </c>
      <c r="W42">
        <f>[8]gpt4omini_single_60_2!L41</f>
        <v>8.4361000000000005E-2</v>
      </c>
      <c r="X42">
        <f>[9]gpt4omini_single_60_2!L41</f>
        <v>-0.301927</v>
      </c>
    </row>
    <row r="43" spans="1:24" x14ac:dyDescent="0.2">
      <c r="A43" s="12">
        <v>40</v>
      </c>
      <c r="B43">
        <f>[5]gpt4omini_single_100!L42</f>
        <v>-0.26334200000000002</v>
      </c>
      <c r="C43">
        <f>[6]gpt4omini_single_100!L42</f>
        <v>-2.8268000000000001E-2</v>
      </c>
      <c r="D43">
        <f>[7]gpt4omini_single_100!L42</f>
        <v>0.106617</v>
      </c>
      <c r="E43">
        <f>[8]gpt4omini_single_100!L42</f>
        <v>0.31329600000000002</v>
      </c>
      <c r="F43" s="11">
        <f>[9]gpt4omini_single_100!L42</f>
        <v>-0.37657600000000002</v>
      </c>
      <c r="G43">
        <v>40</v>
      </c>
      <c r="H43">
        <f>[5]gpt4omini_single_60!L42</f>
        <v>-0.13350600000000001</v>
      </c>
      <c r="I43">
        <f>[6]gpt4omini_single_60!L42</f>
        <v>6.8240999999999996E-2</v>
      </c>
      <c r="J43">
        <f>[7]gpt4omini_single_60!L42</f>
        <v>0.16564100000000001</v>
      </c>
      <c r="K43">
        <f>[8]gpt4omini_single_60!L42</f>
        <v>0.77402000000000004</v>
      </c>
      <c r="L43">
        <f>[9]gpt4omini_single_60!L42</f>
        <v>-5.9163E-2</v>
      </c>
      <c r="M43" s="12">
        <v>40</v>
      </c>
      <c r="N43">
        <f>[5]gpt4omini_single_100_2!L42</f>
        <v>-0.65656199999999998</v>
      </c>
      <c r="O43">
        <f>[6]gpt4omini_single_100_2!L42</f>
        <v>-0.54228399999999999</v>
      </c>
      <c r="P43">
        <f>[7]gpt4omini_single_100_2!L42</f>
        <v>-0.345914</v>
      </c>
      <c r="Q43">
        <f>[8]gpt4omini_single_100_2!L42</f>
        <v>-0.41584300000000002</v>
      </c>
      <c r="R43" s="11">
        <f>[9]gpt4omini_single_100_2!L42</f>
        <v>-0.68995200000000001</v>
      </c>
      <c r="S43">
        <v>40</v>
      </c>
      <c r="T43">
        <f>[5]gpt4omini_single_60_2!L42</f>
        <v>-0.33194299999999999</v>
      </c>
      <c r="U43">
        <f>[6]gpt4omini_single_60_2!L42</f>
        <v>-0.22029699999999999</v>
      </c>
      <c r="V43">
        <f>[7]gpt4omini_single_60_2!L42</f>
        <v>-2.1568E-2</v>
      </c>
      <c r="W43">
        <f>[8]gpt4omini_single_60_2!L42</f>
        <v>6.2491999999999999E-2</v>
      </c>
      <c r="X43">
        <f>[9]gpt4omini_single_60_2!L42</f>
        <v>-0.30595299999999997</v>
      </c>
    </row>
    <row r="44" spans="1:24" x14ac:dyDescent="0.2">
      <c r="A44" s="12">
        <v>41</v>
      </c>
      <c r="B44">
        <f>[5]gpt4omini_single_100!L43</f>
        <v>-0.273283</v>
      </c>
      <c r="C44">
        <f>[6]gpt4omini_single_100!L43</f>
        <v>-3.3568000000000001E-2</v>
      </c>
      <c r="D44">
        <f>[7]gpt4omini_single_100!L43</f>
        <v>0.103898</v>
      </c>
      <c r="E44">
        <f>[8]gpt4omini_single_100!L43</f>
        <v>0.31417200000000001</v>
      </c>
      <c r="F44" s="11">
        <f>[9]gpt4omini_single_100!L43</f>
        <v>-0.38673000000000002</v>
      </c>
      <c r="G44">
        <v>41</v>
      </c>
      <c r="H44">
        <f>[5]gpt4omini_single_60!L43</f>
        <v>-0.13678999999999999</v>
      </c>
      <c r="I44">
        <f>[6]gpt4omini_single_60!L43</f>
        <v>3.2418000000000002E-2</v>
      </c>
      <c r="J44">
        <f>[7]gpt4omini_single_60!L43</f>
        <v>0.14338200000000001</v>
      </c>
      <c r="K44">
        <f>[8]gpt4omini_single_60!L43</f>
        <v>0.63699700000000004</v>
      </c>
      <c r="L44">
        <f>[9]gpt4omini_single_60!L43</f>
        <v>-8.6000999999999994E-2</v>
      </c>
      <c r="M44" s="12">
        <v>41</v>
      </c>
      <c r="N44">
        <f>[5]gpt4omini_single_100_2!L43</f>
        <v>-0.664524</v>
      </c>
      <c r="O44">
        <f>[6]gpt4omini_single_100_2!L43</f>
        <v>-0.54974599999999996</v>
      </c>
      <c r="P44">
        <f>[7]gpt4omini_single_100_2!L43</f>
        <v>-0.36096600000000001</v>
      </c>
      <c r="Q44">
        <f>[8]gpt4omini_single_100_2!L43</f>
        <v>-0.41927500000000001</v>
      </c>
      <c r="R44" s="11">
        <f>[9]gpt4omini_single_100_2!L43</f>
        <v>-0.69785799999999998</v>
      </c>
      <c r="S44">
        <v>41</v>
      </c>
      <c r="T44">
        <f>[5]gpt4omini_single_60_2!L43</f>
        <v>-0.336399</v>
      </c>
      <c r="U44">
        <f>[6]gpt4omini_single_60_2!L43</f>
        <v>-0.220802</v>
      </c>
      <c r="V44">
        <f>[7]gpt4omini_single_60_2!L43</f>
        <v>-0.11808399999999999</v>
      </c>
      <c r="W44">
        <f>[8]gpt4omini_single_60_2!L43</f>
        <v>-0.12823799999999999</v>
      </c>
      <c r="X44">
        <f>[9]gpt4omini_single_60_2!L43</f>
        <v>-0.32240600000000003</v>
      </c>
    </row>
    <row r="45" spans="1:24" x14ac:dyDescent="0.2">
      <c r="A45" s="12">
        <v>42</v>
      </c>
      <c r="B45">
        <f>[5]gpt4omini_single_100!L44</f>
        <v>-0.27764899999999998</v>
      </c>
      <c r="C45">
        <f>[6]gpt4omini_single_100!L44</f>
        <v>-3.3924999999999997E-2</v>
      </c>
      <c r="D45">
        <f>[7]gpt4omini_single_100!L44</f>
        <v>0.109226</v>
      </c>
      <c r="E45">
        <f>[8]gpt4omini_single_100!L44</f>
        <v>0.30976500000000001</v>
      </c>
      <c r="F45" s="11">
        <f>[9]gpt4omini_single_100!L44</f>
        <v>-0.37787100000000001</v>
      </c>
      <c r="G45">
        <v>42</v>
      </c>
      <c r="H45">
        <f>[5]gpt4omini_single_60!L44</f>
        <v>-0.13580700000000001</v>
      </c>
      <c r="I45">
        <f>[6]gpt4omini_single_60!L44</f>
        <v>3.6831000000000003E-2</v>
      </c>
      <c r="J45">
        <f>[7]gpt4omini_single_60!L44</f>
        <v>0.14765200000000001</v>
      </c>
      <c r="K45">
        <f>[8]gpt4omini_single_60!L44</f>
        <v>0.72388799999999998</v>
      </c>
      <c r="L45">
        <f>[9]gpt4omini_single_60!L44</f>
        <v>-8.2150000000000001E-2</v>
      </c>
      <c r="M45" s="12">
        <v>42</v>
      </c>
      <c r="N45">
        <f>[5]gpt4omini_single_100_2!L44</f>
        <v>-0.67139800000000005</v>
      </c>
      <c r="O45">
        <f>[6]gpt4omini_single_100_2!L44</f>
        <v>-0.55461199999999999</v>
      </c>
      <c r="P45">
        <f>[7]gpt4omini_single_100_2!L44</f>
        <v>-0.36851200000000001</v>
      </c>
      <c r="Q45">
        <f>[8]gpt4omini_single_100_2!L44</f>
        <v>-0.440971</v>
      </c>
      <c r="R45" s="11">
        <f>[9]gpt4omini_single_100_2!L44</f>
        <v>-0.70249499999999998</v>
      </c>
      <c r="S45">
        <v>42</v>
      </c>
      <c r="T45">
        <f>[5]gpt4omini_single_60_2!L44</f>
        <v>-0.33431499999999997</v>
      </c>
      <c r="U45">
        <f>[6]gpt4omini_single_60_2!L44</f>
        <v>-0.21881100000000001</v>
      </c>
      <c r="V45">
        <f>[7]gpt4omini_single_60_2!L44</f>
        <v>-0.126639</v>
      </c>
      <c r="W45">
        <f>[8]gpt4omini_single_60_2!L44</f>
        <v>-0.14086399999999999</v>
      </c>
      <c r="X45">
        <f>[9]gpt4omini_single_60_2!L44</f>
        <v>-0.31444299999999997</v>
      </c>
    </row>
    <row r="46" spans="1:24" x14ac:dyDescent="0.2">
      <c r="A46" s="12">
        <v>43</v>
      </c>
      <c r="B46">
        <f>[5]gpt4omini_single_100!L45</f>
        <v>-0.28048200000000001</v>
      </c>
      <c r="C46">
        <f>[6]gpt4omini_single_100!L45</f>
        <v>-3.2298E-2</v>
      </c>
      <c r="D46">
        <f>[7]gpt4omini_single_100!L45</f>
        <v>0.127611</v>
      </c>
      <c r="E46">
        <f>[8]gpt4omini_single_100!L45</f>
        <v>0.30383300000000002</v>
      </c>
      <c r="F46" s="11">
        <f>[9]gpt4omini_single_100!L45</f>
        <v>-0.38108999999999998</v>
      </c>
      <c r="G46">
        <v>43</v>
      </c>
      <c r="H46">
        <f>[5]gpt4omini_single_60!L45</f>
        <v>-0.136124</v>
      </c>
      <c r="I46">
        <f>[6]gpt4omini_single_60!L45</f>
        <v>3.6052000000000001E-2</v>
      </c>
      <c r="J46">
        <f>[7]gpt4omini_single_60!L45</f>
        <v>0.14868999999999999</v>
      </c>
      <c r="K46">
        <f>[8]gpt4omini_single_60!L45</f>
        <v>0.76518299999999995</v>
      </c>
      <c r="L46">
        <f>[9]gpt4omini_single_60!L45</f>
        <v>-8.5716000000000001E-2</v>
      </c>
      <c r="M46" s="12">
        <v>43</v>
      </c>
      <c r="N46">
        <f>[5]gpt4omini_single_100_2!L45</f>
        <v>-0.677091</v>
      </c>
      <c r="O46">
        <f>[6]gpt4omini_single_100_2!L45</f>
        <v>-0.55710000000000004</v>
      </c>
      <c r="P46">
        <f>[7]gpt4omini_single_100_2!L45</f>
        <v>-0.36489199999999999</v>
      </c>
      <c r="Q46">
        <f>[8]gpt4omini_single_100_2!L45</f>
        <v>-0.44249899999999998</v>
      </c>
      <c r="R46" s="11">
        <f>[9]gpt4omini_single_100_2!L45</f>
        <v>-0.65621600000000002</v>
      </c>
      <c r="S46">
        <v>43</v>
      </c>
      <c r="T46">
        <f>[5]gpt4omini_single_60_2!L45</f>
        <v>-0.34103699999999998</v>
      </c>
      <c r="U46">
        <f>[6]gpt4omini_single_60_2!L45</f>
        <v>-0.219579</v>
      </c>
      <c r="V46">
        <f>[7]gpt4omini_single_60_2!L45</f>
        <v>-0.122863</v>
      </c>
      <c r="W46">
        <f>[8]gpt4omini_single_60_2!L45</f>
        <v>-0.15296699999999999</v>
      </c>
      <c r="X46">
        <f>[9]gpt4omini_single_60_2!L45</f>
        <v>-0.32419700000000001</v>
      </c>
    </row>
    <row r="47" spans="1:24" x14ac:dyDescent="0.2">
      <c r="A47" s="12">
        <v>44</v>
      </c>
      <c r="B47">
        <f>[5]gpt4omini_single_100!L46</f>
        <v>-0.28049299999999999</v>
      </c>
      <c r="C47">
        <f>[6]gpt4omini_single_100!L46</f>
        <v>-3.4278000000000003E-2</v>
      </c>
      <c r="D47">
        <f>[7]gpt4omini_single_100!L46</f>
        <v>0.12969900000000001</v>
      </c>
      <c r="E47">
        <f>[8]gpt4omini_single_100!L46</f>
        <v>0.33019399999999999</v>
      </c>
      <c r="F47" s="11">
        <f>[9]gpt4omini_single_100!L46</f>
        <v>-0.38736399999999999</v>
      </c>
      <c r="G47">
        <v>44</v>
      </c>
      <c r="H47">
        <f>[5]gpt4omini_single_60!L46</f>
        <v>-0.14480499999999999</v>
      </c>
      <c r="I47">
        <f>[6]gpt4omini_single_60!L46</f>
        <v>3.3111000000000002E-2</v>
      </c>
      <c r="J47">
        <f>[7]gpt4omini_single_60!L46</f>
        <v>0.15587799999999999</v>
      </c>
      <c r="K47">
        <f>[8]gpt4omini_single_60!L46</f>
        <v>0.820052</v>
      </c>
      <c r="L47">
        <f>[9]gpt4omini_single_60!L46</f>
        <v>-7.5378000000000001E-2</v>
      </c>
      <c r="M47" s="12">
        <v>44</v>
      </c>
      <c r="N47">
        <f>[5]gpt4omini_single_100_2!L46</f>
        <v>-0.67796199999999995</v>
      </c>
      <c r="O47">
        <f>[6]gpt4omini_single_100_2!L46</f>
        <v>-0.56408899999999995</v>
      </c>
      <c r="P47">
        <f>[7]gpt4omini_single_100_2!L46</f>
        <v>-0.372722</v>
      </c>
      <c r="Q47">
        <f>[8]gpt4omini_single_100_2!L46</f>
        <v>-0.462783</v>
      </c>
      <c r="R47" s="11">
        <f>[9]gpt4omini_single_100_2!L46</f>
        <v>-0.67939300000000002</v>
      </c>
      <c r="S47">
        <v>44</v>
      </c>
      <c r="T47">
        <f>[5]gpt4omini_single_60_2!L46</f>
        <v>-0.35408200000000001</v>
      </c>
      <c r="U47">
        <f>[6]gpt4omini_single_60_2!L46</f>
        <v>-0.22362099999999999</v>
      </c>
      <c r="V47">
        <f>[7]gpt4omini_single_60_2!L46</f>
        <v>-0.127775</v>
      </c>
      <c r="W47">
        <f>[8]gpt4omini_single_60_2!L46</f>
        <v>-0.149508</v>
      </c>
      <c r="X47">
        <f>[9]gpt4omini_single_60_2!L46</f>
        <v>-0.32497199999999998</v>
      </c>
    </row>
    <row r="48" spans="1:24" x14ac:dyDescent="0.2">
      <c r="A48" s="12">
        <v>45</v>
      </c>
      <c r="B48">
        <f>[5]gpt4omini_single_100!L47</f>
        <v>-0.28450300000000001</v>
      </c>
      <c r="C48">
        <f>[6]gpt4omini_single_100!L47</f>
        <v>-3.8177999999999997E-2</v>
      </c>
      <c r="D48">
        <f>[7]gpt4omini_single_100!L47</f>
        <v>0.12731100000000001</v>
      </c>
      <c r="E48">
        <f>[8]gpt4omini_single_100!L47</f>
        <v>0.33906700000000001</v>
      </c>
      <c r="F48" s="11">
        <f>[9]gpt4omini_single_100!L47</f>
        <v>-0.39197900000000002</v>
      </c>
      <c r="G48">
        <v>45</v>
      </c>
      <c r="H48">
        <f>[5]gpt4omini_single_60!L47</f>
        <v>-0.15060499999999999</v>
      </c>
      <c r="I48">
        <f>[6]gpt4omini_single_60!L47</f>
        <v>3.4014999999999997E-2</v>
      </c>
      <c r="J48">
        <f>[7]gpt4omini_single_60!L47</f>
        <v>0.16029399999999999</v>
      </c>
      <c r="K48">
        <f>[8]gpt4omini_single_60!L47</f>
        <v>0.80838600000000005</v>
      </c>
      <c r="L48">
        <f>[9]gpt4omini_single_60!L47</f>
        <v>-7.4090000000000003E-2</v>
      </c>
      <c r="M48" s="12">
        <v>45</v>
      </c>
      <c r="N48">
        <f>[5]gpt4omini_single_100_2!L47</f>
        <v>-0.68667100000000003</v>
      </c>
      <c r="O48">
        <f>[6]gpt4omini_single_100_2!L47</f>
        <v>-0.57463799999999998</v>
      </c>
      <c r="P48">
        <f>[7]gpt4omini_single_100_2!L47</f>
        <v>-0.38312499999999999</v>
      </c>
      <c r="Q48">
        <f>[8]gpt4omini_single_100_2!L47</f>
        <v>-0.473665</v>
      </c>
      <c r="R48" s="11">
        <f>[9]gpt4omini_single_100_2!L47</f>
        <v>-0.68701800000000002</v>
      </c>
      <c r="S48">
        <v>45</v>
      </c>
      <c r="T48">
        <f>[5]gpt4omini_single_60_2!L47</f>
        <v>-0.36062300000000003</v>
      </c>
      <c r="U48">
        <f>[6]gpt4omini_single_60_2!L47</f>
        <v>-0.22703699999999999</v>
      </c>
      <c r="V48">
        <f>[7]gpt4omini_single_60_2!L47</f>
        <v>-0.12617700000000001</v>
      </c>
      <c r="W48">
        <f>[8]gpt4omini_single_60_2!L47</f>
        <v>-0.15593699999999999</v>
      </c>
      <c r="X48">
        <f>[9]gpt4omini_single_60_2!L47</f>
        <v>-0.32832600000000001</v>
      </c>
    </row>
    <row r="49" spans="1:24" x14ac:dyDescent="0.2">
      <c r="A49" s="12">
        <v>46</v>
      </c>
      <c r="B49">
        <f>[5]gpt4omini_single_100!L48</f>
        <v>-0.28868300000000002</v>
      </c>
      <c r="C49">
        <f>[6]gpt4omini_single_100!L48</f>
        <v>-4.2592999999999999E-2</v>
      </c>
      <c r="D49">
        <f>[7]gpt4omini_single_100!L48</f>
        <v>0.12171899999999999</v>
      </c>
      <c r="E49">
        <f>[8]gpt4omini_single_100!L48</f>
        <v>0.30179600000000001</v>
      </c>
      <c r="F49" s="11">
        <f>[9]gpt4omini_single_100!L48</f>
        <v>-0.39638400000000001</v>
      </c>
      <c r="G49">
        <v>46</v>
      </c>
      <c r="H49">
        <f>[5]gpt4omini_single_60!L48</f>
        <v>-0.16153899999999999</v>
      </c>
      <c r="I49">
        <f>[6]gpt4omini_single_60!L48</f>
        <v>2.7317000000000001E-2</v>
      </c>
      <c r="J49">
        <f>[7]gpt4omini_single_60!L48</f>
        <v>0.154586</v>
      </c>
      <c r="K49">
        <f>[8]gpt4omini_single_60!L48</f>
        <v>0.78320800000000002</v>
      </c>
      <c r="L49">
        <f>[9]gpt4omini_single_60!L48</f>
        <v>-7.3547000000000001E-2</v>
      </c>
      <c r="M49" s="12">
        <v>46</v>
      </c>
      <c r="N49">
        <f>[5]gpt4omini_single_100_2!L48</f>
        <v>-0.69091899999999995</v>
      </c>
      <c r="O49">
        <f>[6]gpt4omini_single_100_2!L48</f>
        <v>-0.57803899999999997</v>
      </c>
      <c r="P49">
        <f>[7]gpt4omini_single_100_2!L48</f>
        <v>-0.39354899999999998</v>
      </c>
      <c r="Q49">
        <f>[8]gpt4omini_single_100_2!L48</f>
        <v>-0.48042299999999999</v>
      </c>
      <c r="R49" s="11">
        <f>[9]gpt4omini_single_100_2!L48</f>
        <v>-0.69238500000000003</v>
      </c>
      <c r="S49">
        <v>46</v>
      </c>
      <c r="T49">
        <f>[5]gpt4omini_single_60_2!L48</f>
        <v>-0.37020700000000001</v>
      </c>
      <c r="U49">
        <f>[6]gpt4omini_single_60_2!L48</f>
        <v>-0.23777699999999999</v>
      </c>
      <c r="V49">
        <f>[7]gpt4omini_single_60_2!L48</f>
        <v>-0.12659599999999999</v>
      </c>
      <c r="W49">
        <f>[8]gpt4omini_single_60_2!L48</f>
        <v>-0.179092</v>
      </c>
      <c r="X49">
        <f>[9]gpt4omini_single_60_2!L48</f>
        <v>-0.34331699999999998</v>
      </c>
    </row>
    <row r="50" spans="1:24" x14ac:dyDescent="0.2">
      <c r="A50" s="12">
        <v>47</v>
      </c>
      <c r="B50">
        <f>[5]gpt4omini_single_100!L49</f>
        <v>-0.29620999999999997</v>
      </c>
      <c r="C50">
        <f>[6]gpt4omini_single_100!L49</f>
        <v>-4.9798000000000002E-2</v>
      </c>
      <c r="D50">
        <f>[7]gpt4omini_single_100!L49</f>
        <v>0.115286</v>
      </c>
      <c r="E50">
        <f>[8]gpt4omini_single_100!L49</f>
        <v>0.310141</v>
      </c>
      <c r="F50" s="11">
        <f>[9]gpt4omini_single_100!L49</f>
        <v>-0.40276600000000001</v>
      </c>
      <c r="G50">
        <v>47</v>
      </c>
      <c r="H50">
        <f>[5]gpt4omini_single_60!L49</f>
        <v>-0.16261700000000001</v>
      </c>
      <c r="I50">
        <f>[6]gpt4omini_single_60!L49</f>
        <v>1.4485E-2</v>
      </c>
      <c r="J50">
        <f>[7]gpt4omini_single_60!L49</f>
        <v>0.15836</v>
      </c>
      <c r="K50">
        <f>[8]gpt4omini_single_60!L49</f>
        <v>0.72844399999999998</v>
      </c>
      <c r="L50">
        <f>[9]gpt4omini_single_60!L49</f>
        <v>-7.0290000000000005E-2</v>
      </c>
      <c r="M50" s="12">
        <v>47</v>
      </c>
      <c r="N50">
        <f>[5]gpt4omini_single_100_2!L49</f>
        <v>-0.700129</v>
      </c>
      <c r="O50">
        <f>[6]gpt4omini_single_100_2!L49</f>
        <v>-0.58481000000000005</v>
      </c>
      <c r="P50">
        <f>[7]gpt4omini_single_100_2!L49</f>
        <v>-0.40820200000000001</v>
      </c>
      <c r="Q50">
        <f>[8]gpt4omini_single_100_2!L49</f>
        <v>-0.49143599999999998</v>
      </c>
      <c r="R50" s="11">
        <f>[9]gpt4omini_single_100_2!L49</f>
        <v>-0.70479700000000001</v>
      </c>
      <c r="S50">
        <v>47</v>
      </c>
      <c r="T50">
        <f>[5]gpt4omini_single_60_2!L49</f>
        <v>-0.36842200000000003</v>
      </c>
      <c r="U50">
        <f>[6]gpt4omini_single_60_2!L49</f>
        <v>-0.24541399999999999</v>
      </c>
      <c r="V50">
        <f>[7]gpt4omini_single_60_2!L49</f>
        <v>-0.129001</v>
      </c>
      <c r="W50">
        <f>[8]gpt4omini_single_60_2!L49</f>
        <v>-0.22414700000000001</v>
      </c>
      <c r="X50">
        <f>[9]gpt4omini_single_60_2!L49</f>
        <v>-0.34300199999999997</v>
      </c>
    </row>
    <row r="51" spans="1:24" x14ac:dyDescent="0.2">
      <c r="A51" s="12">
        <v>48</v>
      </c>
      <c r="B51">
        <f>[5]gpt4omini_single_100!L50</f>
        <v>-0.30202200000000001</v>
      </c>
      <c r="C51">
        <f>[6]gpt4omini_single_100!L50</f>
        <v>-4.7536000000000002E-2</v>
      </c>
      <c r="D51">
        <f>[7]gpt4omini_single_100!L50</f>
        <v>0.117897</v>
      </c>
      <c r="E51">
        <f>[8]gpt4omini_single_100!L50</f>
        <v>0.315332</v>
      </c>
      <c r="F51" s="11">
        <f>[9]gpt4omini_single_100!L50</f>
        <v>-0.40945700000000002</v>
      </c>
      <c r="G51">
        <v>48</v>
      </c>
      <c r="H51">
        <f>[5]gpt4omini_single_60!L50</f>
        <v>-0.162913</v>
      </c>
      <c r="I51">
        <f>[6]gpt4omini_single_60!L50</f>
        <v>1.8766999999999999E-2</v>
      </c>
      <c r="J51">
        <f>[7]gpt4omini_single_60!L50</f>
        <v>0.16433700000000001</v>
      </c>
      <c r="K51">
        <f>[8]gpt4omini_single_60!L50</f>
        <v>0.81396299999999999</v>
      </c>
      <c r="L51">
        <f>[9]gpt4omini_single_60!L50</f>
        <v>-7.1831999999999993E-2</v>
      </c>
      <c r="M51" s="12">
        <v>48</v>
      </c>
      <c r="N51">
        <f>[5]gpt4omini_single_100_2!L50</f>
        <v>-0.70193099999999997</v>
      </c>
      <c r="O51">
        <f>[6]gpt4omini_single_100_2!L50</f>
        <v>-0.58380299999999996</v>
      </c>
      <c r="P51">
        <f>[7]gpt4omini_single_100_2!L50</f>
        <v>-0.40010400000000002</v>
      </c>
      <c r="Q51">
        <f>[8]gpt4omini_single_100_2!L50</f>
        <v>-0.48883799999999999</v>
      </c>
      <c r="R51" s="11">
        <f>[9]gpt4omini_single_100_2!L50</f>
        <v>-0.70144899999999999</v>
      </c>
      <c r="S51">
        <v>48</v>
      </c>
      <c r="T51">
        <f>[5]gpt4omini_single_60_2!L50</f>
        <v>-0.37426300000000001</v>
      </c>
      <c r="U51">
        <f>[6]gpt4omini_single_60_2!L50</f>
        <v>-0.25683800000000001</v>
      </c>
      <c r="V51">
        <f>[7]gpt4omini_single_60_2!L50</f>
        <v>-0.136517</v>
      </c>
      <c r="W51">
        <f>[8]gpt4omini_single_60_2!L50</f>
        <v>-0.253025</v>
      </c>
      <c r="X51">
        <f>[9]gpt4omini_single_60_2!L50</f>
        <v>-0.35639199999999999</v>
      </c>
    </row>
    <row r="52" spans="1:24" x14ac:dyDescent="0.2">
      <c r="A52" s="12">
        <v>49</v>
      </c>
      <c r="B52">
        <f>[5]gpt4omini_single_100!L51</f>
        <v>-0.307029</v>
      </c>
      <c r="C52">
        <f>[6]gpt4omini_single_100!L51</f>
        <v>-6.4014000000000001E-2</v>
      </c>
      <c r="D52">
        <f>[7]gpt4omini_single_100!L51</f>
        <v>0.119709</v>
      </c>
      <c r="E52">
        <f>[8]gpt4omini_single_100!L51</f>
        <v>0.31852000000000003</v>
      </c>
      <c r="F52" s="11">
        <f>[9]gpt4omini_single_100!L51</f>
        <v>-0.413993</v>
      </c>
      <c r="G52">
        <v>49</v>
      </c>
      <c r="H52">
        <f>[5]gpt4omini_single_60!L51</f>
        <v>-0.158556</v>
      </c>
      <c r="I52">
        <f>[6]gpt4omini_single_60!L51</f>
        <v>2.3434E-2</v>
      </c>
      <c r="J52">
        <f>[7]gpt4omini_single_60!L51</f>
        <v>0.17361299999999999</v>
      </c>
      <c r="K52">
        <f>[8]gpt4omini_single_60!L51</f>
        <v>0.814141</v>
      </c>
      <c r="L52">
        <f>[9]gpt4omini_single_60!L51</f>
        <v>-6.8904999999999994E-2</v>
      </c>
      <c r="M52" s="12">
        <v>49</v>
      </c>
      <c r="N52">
        <f>[5]gpt4omini_single_100_2!L51</f>
        <v>-0.70643199999999995</v>
      </c>
      <c r="O52">
        <f>[6]gpt4omini_single_100_2!L51</f>
        <v>-0.59168200000000004</v>
      </c>
      <c r="P52">
        <f>[7]gpt4omini_single_100_2!L51</f>
        <v>-0.39248100000000002</v>
      </c>
      <c r="Q52">
        <f>[8]gpt4omini_single_100_2!L51</f>
        <v>-0.48924899999999999</v>
      </c>
      <c r="R52" s="11">
        <f>[9]gpt4omini_single_100_2!L51</f>
        <v>-0.70472999999999997</v>
      </c>
      <c r="S52">
        <v>49</v>
      </c>
      <c r="T52">
        <f>[5]gpt4omini_single_60_2!L51</f>
        <v>-0.37868800000000002</v>
      </c>
      <c r="U52">
        <f>[6]gpt4omini_single_60_2!L51</f>
        <v>-0.26375799999999999</v>
      </c>
      <c r="V52">
        <f>[7]gpt4omini_single_60_2!L51</f>
        <v>-0.13631299999999999</v>
      </c>
      <c r="W52">
        <f>[8]gpt4omini_single_60_2!L51</f>
        <v>-0.253</v>
      </c>
      <c r="X52">
        <f>[9]gpt4omini_single_60_2!L51</f>
        <v>-0.35026299999999999</v>
      </c>
    </row>
    <row r="53" spans="1:24" x14ac:dyDescent="0.2">
      <c r="A53" s="12">
        <v>50</v>
      </c>
      <c r="B53">
        <f>[5]gpt4omini_single_100!L52</f>
        <v>-0.31669999999999998</v>
      </c>
      <c r="C53">
        <f>[6]gpt4omini_single_100!L52</f>
        <v>-7.3248999999999995E-2</v>
      </c>
      <c r="D53">
        <f>[7]gpt4omini_single_100!L52</f>
        <v>0.119183</v>
      </c>
      <c r="E53">
        <f>[8]gpt4omini_single_100!L52</f>
        <v>0.32228099999999998</v>
      </c>
      <c r="F53" s="11">
        <f>[9]gpt4omini_single_100!L52</f>
        <v>-0.414408</v>
      </c>
      <c r="G53">
        <v>50</v>
      </c>
      <c r="H53">
        <f>[5]gpt4omini_single_60!L52</f>
        <v>-0.16478100000000001</v>
      </c>
      <c r="I53">
        <f>[6]gpt4omini_single_60!L52</f>
        <v>3.7508E-2</v>
      </c>
      <c r="J53">
        <f>[7]gpt4omini_single_60!L52</f>
        <v>0.17757200000000001</v>
      </c>
      <c r="K53">
        <f>[8]gpt4omini_single_60!L52</f>
        <v>0.80979999999999996</v>
      </c>
      <c r="L53">
        <f>[9]gpt4omini_single_60!L52</f>
        <v>-7.3996999999999993E-2</v>
      </c>
      <c r="M53" s="12">
        <v>50</v>
      </c>
      <c r="N53">
        <f>[5]gpt4omini_single_100_2!L52</f>
        <v>-0.71548999999999996</v>
      </c>
      <c r="O53">
        <f>[6]gpt4omini_single_100_2!L52</f>
        <v>-0.65684900000000002</v>
      </c>
      <c r="P53">
        <f>[7]gpt4omini_single_100_2!L52</f>
        <v>-0.40634100000000001</v>
      </c>
      <c r="Q53">
        <f>[8]gpt4omini_single_100_2!L52</f>
        <v>-0.50331999999999999</v>
      </c>
      <c r="R53" s="11">
        <f>[9]gpt4omini_single_100_2!L52</f>
        <v>-0.73250800000000005</v>
      </c>
      <c r="S53">
        <v>50</v>
      </c>
      <c r="T53">
        <f>[5]gpt4omini_single_60_2!L52</f>
        <v>-0.38633200000000001</v>
      </c>
      <c r="U53">
        <f>[6]gpt4omini_single_60_2!L52</f>
        <v>-0.27511999999999998</v>
      </c>
      <c r="V53">
        <f>[7]gpt4omini_single_60_2!L52</f>
        <v>-0.12388299999999999</v>
      </c>
      <c r="W53">
        <f>[8]gpt4omini_single_60_2!L52</f>
        <v>5.0429999999999997E-3</v>
      </c>
      <c r="X53">
        <f>[9]gpt4omini_single_60_2!L52</f>
        <v>-0.35744599999999999</v>
      </c>
    </row>
    <row r="54" spans="1:24" x14ac:dyDescent="0.2">
      <c r="A54" s="12">
        <v>51</v>
      </c>
      <c r="B54">
        <f>[5]gpt4omini_single_100!L53</f>
        <v>-0.31929600000000002</v>
      </c>
      <c r="C54">
        <f>[6]gpt4omini_single_100!L53</f>
        <v>-5.0776000000000002E-2</v>
      </c>
      <c r="D54">
        <f>[7]gpt4omini_single_100!L53</f>
        <v>0.117185</v>
      </c>
      <c r="E54">
        <f>[8]gpt4omini_single_100!L53</f>
        <v>0.35072799999999998</v>
      </c>
      <c r="F54" s="11">
        <f>[9]gpt4omini_single_100!L53</f>
        <v>-0.41673700000000002</v>
      </c>
      <c r="G54">
        <v>51</v>
      </c>
      <c r="H54">
        <f>[5]gpt4omini_single_60!L53</f>
        <v>-0.16198299999999999</v>
      </c>
      <c r="I54">
        <f>[6]gpt4omini_single_60!L53</f>
        <v>4.5900999999999997E-2</v>
      </c>
      <c r="J54">
        <f>[7]gpt4omini_single_60!L53</f>
        <v>0.177818</v>
      </c>
      <c r="K54">
        <f>[8]gpt4omini_single_60!L53</f>
        <v>0.89448300000000003</v>
      </c>
      <c r="L54">
        <f>[9]gpt4omini_single_60!L53</f>
        <v>-7.2081999999999993E-2</v>
      </c>
      <c r="M54" s="12">
        <v>51</v>
      </c>
      <c r="N54">
        <f>[5]gpt4omini_single_100_2!L53</f>
        <v>-0.71819100000000002</v>
      </c>
      <c r="O54">
        <f>[6]gpt4omini_single_100_2!L53</f>
        <v>-0.65420599999999995</v>
      </c>
      <c r="P54">
        <f>[7]gpt4omini_single_100_2!L53</f>
        <v>-0.39248499999999997</v>
      </c>
      <c r="Q54">
        <f>[8]gpt4omini_single_100_2!L53</f>
        <v>-0.487485</v>
      </c>
      <c r="R54" s="11">
        <f>[9]gpt4omini_single_100_2!L53</f>
        <v>-0.732043</v>
      </c>
      <c r="S54">
        <v>51</v>
      </c>
      <c r="T54">
        <f>[5]gpt4omini_single_60_2!L53</f>
        <v>-0.40845599999999999</v>
      </c>
      <c r="U54">
        <f>[6]gpt4omini_single_60_2!L53</f>
        <v>-0.27581299999999997</v>
      </c>
      <c r="V54">
        <f>[7]gpt4omini_single_60_2!L53</f>
        <v>-0.119895</v>
      </c>
      <c r="W54">
        <f>[8]gpt4omini_single_60_2!L53</f>
        <v>-7.5159000000000004E-2</v>
      </c>
      <c r="X54">
        <f>[9]gpt4omini_single_60_2!L53</f>
        <v>-0.36683500000000002</v>
      </c>
    </row>
    <row r="55" spans="1:24" x14ac:dyDescent="0.2">
      <c r="A55" s="12">
        <v>52</v>
      </c>
      <c r="B55">
        <f>[5]gpt4omini_single_100!L54</f>
        <v>-0.32494699999999999</v>
      </c>
      <c r="C55">
        <f>[6]gpt4omini_single_100!L54</f>
        <v>-3.1932000000000002E-2</v>
      </c>
      <c r="D55">
        <f>[7]gpt4omini_single_100!L54</f>
        <v>0.108472</v>
      </c>
      <c r="E55">
        <f>[8]gpt4omini_single_100!L54</f>
        <v>0.29616799999999999</v>
      </c>
      <c r="F55" s="11">
        <f>[9]gpt4omini_single_100!L54</f>
        <v>-0.42026200000000002</v>
      </c>
      <c r="G55">
        <v>52</v>
      </c>
      <c r="H55">
        <f>[5]gpt4omini_single_60!L54</f>
        <v>-0.16614899999999999</v>
      </c>
      <c r="I55">
        <f>[6]gpt4omini_single_60!L54</f>
        <v>4.8002999999999997E-2</v>
      </c>
      <c r="J55">
        <f>[7]gpt4omini_single_60!L54</f>
        <v>0.186858</v>
      </c>
      <c r="K55">
        <f>[8]gpt4omini_single_60!L54</f>
        <v>1.0341640000000001</v>
      </c>
      <c r="L55">
        <f>[9]gpt4omini_single_60!L54</f>
        <v>-7.7317999999999998E-2</v>
      </c>
      <c r="M55" s="12">
        <v>52</v>
      </c>
      <c r="N55">
        <f>[5]gpt4omini_single_100_2!L54</f>
        <v>-0.70800600000000002</v>
      </c>
      <c r="O55">
        <f>[6]gpt4omini_single_100_2!L54</f>
        <v>-0.63702499999999995</v>
      </c>
      <c r="P55">
        <f>[7]gpt4omini_single_100_2!L54</f>
        <v>-0.36869400000000002</v>
      </c>
      <c r="Q55">
        <f>[8]gpt4omini_single_100_2!L54</f>
        <v>-0.48673699999999998</v>
      </c>
      <c r="R55" s="11">
        <f>[9]gpt4omini_single_100_2!L54</f>
        <v>-0.74330399999999996</v>
      </c>
      <c r="S55">
        <v>52</v>
      </c>
      <c r="T55">
        <f>[5]gpt4omini_single_60_2!L54</f>
        <v>-0.42069000000000001</v>
      </c>
      <c r="U55">
        <f>[6]gpt4omini_single_60_2!L54</f>
        <v>-0.28267799999999998</v>
      </c>
      <c r="V55">
        <f>[7]gpt4omini_single_60_2!L54</f>
        <v>-0.12640499999999999</v>
      </c>
      <c r="W55">
        <f>[8]gpt4omini_single_60_2!L54</f>
        <v>5.6087999999999999E-2</v>
      </c>
      <c r="X55">
        <f>[9]gpt4omini_single_60_2!L54</f>
        <v>-0.37926799999999999</v>
      </c>
    </row>
    <row r="56" spans="1:24" x14ac:dyDescent="0.2">
      <c r="A56" s="12">
        <v>53</v>
      </c>
      <c r="B56">
        <f>[5]gpt4omini_single_100!L55</f>
        <v>-0.33687400000000001</v>
      </c>
      <c r="C56">
        <f>[6]gpt4omini_single_100!L55</f>
        <v>-3.5943000000000003E-2</v>
      </c>
      <c r="D56">
        <f>[7]gpt4omini_single_100!L55</f>
        <v>0.11328299999999999</v>
      </c>
      <c r="E56">
        <f>[8]gpt4omini_single_100!L55</f>
        <v>0.33698299999999998</v>
      </c>
      <c r="F56" s="11">
        <f>[9]gpt4omini_single_100!L55</f>
        <v>-0.429977</v>
      </c>
      <c r="G56">
        <v>53</v>
      </c>
      <c r="H56">
        <f>[5]gpt4omini_single_60!L55</f>
        <v>-0.12740099999999999</v>
      </c>
      <c r="I56">
        <f>[6]gpt4omini_single_60!L55</f>
        <v>5.0214000000000002E-2</v>
      </c>
      <c r="J56">
        <f>[7]gpt4omini_single_60!L55</f>
        <v>0.16631199999999999</v>
      </c>
      <c r="K56">
        <f>[8]gpt4omini_single_60!L55</f>
        <v>0.85209800000000002</v>
      </c>
      <c r="L56">
        <f>[9]gpt4omini_single_60!L55</f>
        <v>-7.5453999999999993E-2</v>
      </c>
      <c r="M56" s="12">
        <v>53</v>
      </c>
      <c r="N56">
        <f>[5]gpt4omini_single_100_2!L55</f>
        <v>-0.73285599999999995</v>
      </c>
      <c r="O56">
        <f>[6]gpt4omini_single_100_2!L55</f>
        <v>-0.67849999999999999</v>
      </c>
      <c r="P56">
        <f>[7]gpt4omini_single_100_2!L55</f>
        <v>-0.40457900000000002</v>
      </c>
      <c r="Q56">
        <f>[8]gpt4omini_single_100_2!L55</f>
        <v>-0.53009300000000004</v>
      </c>
      <c r="R56" s="11">
        <f>[9]gpt4omini_single_100_2!L55</f>
        <v>-0.75803299999999996</v>
      </c>
      <c r="S56">
        <v>53</v>
      </c>
      <c r="T56">
        <f>[5]gpt4omini_single_60_2!L55</f>
        <v>-0.37255199999999999</v>
      </c>
      <c r="U56">
        <f>[6]gpt4omini_single_60_2!L55</f>
        <v>-0.27578900000000001</v>
      </c>
      <c r="V56">
        <f>[7]gpt4omini_single_60_2!L55</f>
        <v>-0.14791799999999999</v>
      </c>
      <c r="W56">
        <f>[8]gpt4omini_single_60_2!L55</f>
        <v>4.2314999999999998E-2</v>
      </c>
      <c r="X56">
        <f>[9]gpt4omini_single_60_2!L55</f>
        <v>-0.372861</v>
      </c>
    </row>
    <row r="57" spans="1:24" x14ac:dyDescent="0.2">
      <c r="A57" s="12">
        <v>54</v>
      </c>
      <c r="B57">
        <f>[5]gpt4omini_single_100!L56</f>
        <v>-0.34012500000000001</v>
      </c>
      <c r="C57">
        <f>[6]gpt4omini_single_100!L56</f>
        <v>-3.4993000000000003E-2</v>
      </c>
      <c r="D57">
        <f>[7]gpt4omini_single_100!L56</f>
        <v>0.116243</v>
      </c>
      <c r="E57">
        <f>[8]gpt4omini_single_100!L56</f>
        <v>0.32627800000000001</v>
      </c>
      <c r="F57" s="11">
        <f>[9]gpt4omini_single_100!L56</f>
        <v>-0.42770599999999998</v>
      </c>
      <c r="G57">
        <v>54</v>
      </c>
      <c r="H57">
        <f>[5]gpt4omini_single_60!L56</f>
        <v>-0.13472500000000001</v>
      </c>
      <c r="I57">
        <f>[6]gpt4omini_single_60!L56</f>
        <v>5.9663000000000001E-2</v>
      </c>
      <c r="J57">
        <f>[7]gpt4omini_single_60!L56</f>
        <v>0.180616</v>
      </c>
      <c r="K57">
        <f>[8]gpt4omini_single_60!L56</f>
        <v>1.105234</v>
      </c>
      <c r="L57">
        <f>[9]gpt4omini_single_60!L56</f>
        <v>-7.6814999999999994E-2</v>
      </c>
      <c r="M57" s="12">
        <v>54</v>
      </c>
      <c r="N57">
        <f>[5]gpt4omini_single_100_2!L56</f>
        <v>-0.73196300000000003</v>
      </c>
      <c r="O57">
        <f>[6]gpt4omini_single_100_2!L56</f>
        <v>-0.67275099999999999</v>
      </c>
      <c r="P57">
        <f>[7]gpt4omini_single_100_2!L56</f>
        <v>-0.40481800000000001</v>
      </c>
      <c r="Q57">
        <f>[8]gpt4omini_single_100_2!L56</f>
        <v>-0.51275099999999996</v>
      </c>
      <c r="R57" s="11">
        <f>[9]gpt4omini_single_100_2!L56</f>
        <v>-0.75578699999999999</v>
      </c>
      <c r="S57">
        <v>54</v>
      </c>
      <c r="T57">
        <f>[5]gpt4omini_single_60_2!L56</f>
        <v>-0.39048100000000002</v>
      </c>
      <c r="U57">
        <f>[6]gpt4omini_single_60_2!L56</f>
        <v>-0.28730699999999998</v>
      </c>
      <c r="V57">
        <f>[7]gpt4omini_single_60_2!L56</f>
        <v>-0.16298399999999999</v>
      </c>
      <c r="W57">
        <f>[8]gpt4omini_single_60_2!L56</f>
        <v>6.0277999999999998E-2</v>
      </c>
      <c r="X57">
        <f>[9]gpt4omini_single_60_2!L56</f>
        <v>-0.39555200000000001</v>
      </c>
    </row>
    <row r="58" spans="1:24" x14ac:dyDescent="0.2">
      <c r="A58" s="12">
        <v>55</v>
      </c>
      <c r="B58">
        <f>[5]gpt4omini_single_100!L57</f>
        <v>-0.34717900000000002</v>
      </c>
      <c r="C58">
        <f>[6]gpt4omini_single_100!L57</f>
        <v>-4.9715000000000002E-2</v>
      </c>
      <c r="D58">
        <f>[7]gpt4omini_single_100!L57</f>
        <v>0.136042</v>
      </c>
      <c r="E58">
        <f>[8]gpt4omini_single_100!L57</f>
        <v>0.32903700000000002</v>
      </c>
      <c r="F58" s="11">
        <f>[9]gpt4omini_single_100!L57</f>
        <v>-0.43591299999999999</v>
      </c>
      <c r="G58">
        <v>55</v>
      </c>
      <c r="H58">
        <f>[5]gpt4omini_single_60!L57</f>
        <v>-0.132495</v>
      </c>
      <c r="I58">
        <f>[6]gpt4omini_single_60!L57</f>
        <v>7.2184999999999999E-2</v>
      </c>
      <c r="J58">
        <f>[7]gpt4omini_single_60!L57</f>
        <v>0.18097099999999999</v>
      </c>
      <c r="K58">
        <f>[8]gpt4omini_single_60!L57</f>
        <v>1.1489549999999999</v>
      </c>
      <c r="L58">
        <f>[9]gpt4omini_single_60!L57</f>
        <v>-7.7358999999999997E-2</v>
      </c>
      <c r="M58" s="12">
        <v>55</v>
      </c>
      <c r="N58">
        <f>[5]gpt4omini_single_100_2!L57</f>
        <v>-0.73983699999999997</v>
      </c>
      <c r="O58">
        <f>[6]gpt4omini_single_100_2!L57</f>
        <v>-0.688886</v>
      </c>
      <c r="P58">
        <f>[7]gpt4omini_single_100_2!L57</f>
        <v>-0.38601799999999997</v>
      </c>
      <c r="Q58">
        <f>[8]gpt4omini_single_100_2!L57</f>
        <v>-0.47083199999999997</v>
      </c>
      <c r="R58" s="11">
        <f>[9]gpt4omini_single_100_2!L57</f>
        <v>-0.76454599999999995</v>
      </c>
      <c r="S58">
        <v>55</v>
      </c>
      <c r="T58">
        <f>[5]gpt4omini_single_60_2!L57</f>
        <v>-0.39364399999999999</v>
      </c>
      <c r="U58">
        <f>[6]gpt4omini_single_60_2!L57</f>
        <v>-0.28944300000000001</v>
      </c>
      <c r="V58">
        <f>[7]gpt4omini_single_60_2!L57</f>
        <v>-0.15869900000000001</v>
      </c>
      <c r="W58">
        <f>[8]gpt4omini_single_60_2!L57</f>
        <v>6.7012000000000002E-2</v>
      </c>
      <c r="X58">
        <f>[9]gpt4omini_single_60_2!L57</f>
        <v>-0.39734700000000001</v>
      </c>
    </row>
    <row r="59" spans="1:24" x14ac:dyDescent="0.2">
      <c r="A59" s="12">
        <v>56</v>
      </c>
      <c r="B59">
        <f>[5]gpt4omini_single_100!L58</f>
        <v>-0.35692400000000002</v>
      </c>
      <c r="C59">
        <f>[6]gpt4omini_single_100!L58</f>
        <v>-4.3893000000000001E-2</v>
      </c>
      <c r="D59">
        <f>[7]gpt4omini_single_100!L58</f>
        <v>0.13079199999999999</v>
      </c>
      <c r="E59">
        <f>[8]gpt4omini_single_100!L58</f>
        <v>0.29027700000000001</v>
      </c>
      <c r="F59" s="11">
        <f>[9]gpt4omini_single_100!L58</f>
        <v>-0.424037</v>
      </c>
      <c r="G59">
        <v>56</v>
      </c>
      <c r="H59">
        <f>[5]gpt4omini_single_60!L58</f>
        <v>-0.134931</v>
      </c>
      <c r="I59">
        <f>[6]gpt4omini_single_60!L58</f>
        <v>7.4366000000000002E-2</v>
      </c>
      <c r="J59">
        <f>[7]gpt4omini_single_60!L58</f>
        <v>0.185499</v>
      </c>
      <c r="K59">
        <f>[8]gpt4omini_single_60!L58</f>
        <v>1.139947</v>
      </c>
      <c r="L59">
        <f>[9]gpt4omini_single_60!L58</f>
        <v>-7.4352000000000001E-2</v>
      </c>
      <c r="M59" s="12">
        <v>56</v>
      </c>
      <c r="N59">
        <f>[5]gpt4omini_single_100_2!L58</f>
        <v>-0.74702599999999997</v>
      </c>
      <c r="O59">
        <f>[6]gpt4omini_single_100_2!L58</f>
        <v>-0.68294699999999997</v>
      </c>
      <c r="P59">
        <f>[7]gpt4omini_single_100_2!L58</f>
        <v>-0.40213300000000002</v>
      </c>
      <c r="Q59">
        <f>[8]gpt4omini_single_100_2!L58</f>
        <v>-0.49821799999999999</v>
      </c>
      <c r="R59" s="11">
        <f>[9]gpt4omini_single_100_2!L58</f>
        <v>-0.75387099999999996</v>
      </c>
      <c r="S59">
        <v>56</v>
      </c>
      <c r="T59">
        <f>[5]gpt4omini_single_60_2!L58</f>
        <v>-0.400169</v>
      </c>
      <c r="U59">
        <f>[6]gpt4omini_single_60_2!L58</f>
        <v>-0.29473199999999999</v>
      </c>
      <c r="V59">
        <f>[7]gpt4omini_single_60_2!L58</f>
        <v>-0.14626</v>
      </c>
      <c r="W59">
        <f>[8]gpt4omini_single_60_2!L58</f>
        <v>0.16107299999999999</v>
      </c>
      <c r="X59">
        <f>[9]gpt4omini_single_60_2!L58</f>
        <v>-0.39606599999999997</v>
      </c>
    </row>
    <row r="60" spans="1:24" x14ac:dyDescent="0.2">
      <c r="A60" s="12">
        <v>57</v>
      </c>
      <c r="B60">
        <f>[5]gpt4omini_single_100!L59</f>
        <v>-0.39018700000000001</v>
      </c>
      <c r="C60">
        <f>[6]gpt4omini_single_100!L59</f>
        <v>-3.9562E-2</v>
      </c>
      <c r="D60">
        <f>[7]gpt4omini_single_100!L59</f>
        <v>0.12694900000000001</v>
      </c>
      <c r="E60">
        <f>[8]gpt4omini_single_100!L59</f>
        <v>0.31490099999999999</v>
      </c>
      <c r="F60" s="11">
        <f>[9]gpt4omini_single_100!L59</f>
        <v>-0.442527</v>
      </c>
      <c r="G60">
        <v>57</v>
      </c>
      <c r="H60">
        <f>[5]gpt4omini_single_60!L59</f>
        <v>-0.13570099999999999</v>
      </c>
      <c r="I60">
        <f>[6]gpt4omini_single_60!L59</f>
        <v>6.4852999999999994E-2</v>
      </c>
      <c r="J60">
        <f>[7]gpt4omini_single_60!L59</f>
        <v>0.18726699999999999</v>
      </c>
      <c r="K60">
        <f>[8]gpt4omini_single_60!L59</f>
        <v>1.1602779999999999</v>
      </c>
      <c r="L60">
        <f>[9]gpt4omini_single_60!L59</f>
        <v>-7.3976E-2</v>
      </c>
      <c r="M60" s="12">
        <v>57</v>
      </c>
      <c r="N60">
        <f>[5]gpt4omini_single_100_2!L59</f>
        <v>-0.749502</v>
      </c>
      <c r="O60">
        <f>[6]gpt4omini_single_100_2!L59</f>
        <v>-0.69628800000000002</v>
      </c>
      <c r="P60">
        <f>[7]gpt4omini_single_100_2!L59</f>
        <v>-0.41871900000000001</v>
      </c>
      <c r="Q60">
        <f>[8]gpt4omini_single_100_2!L59</f>
        <v>-0.53182099999999999</v>
      </c>
      <c r="R60" s="11">
        <f>[9]gpt4omini_single_100_2!L59</f>
        <v>-0.77170000000000005</v>
      </c>
      <c r="S60">
        <v>57</v>
      </c>
      <c r="T60">
        <f>[5]gpt4omini_single_60_2!L59</f>
        <v>-0.405335</v>
      </c>
      <c r="U60">
        <f>[6]gpt4omini_single_60_2!L59</f>
        <v>-0.30048200000000003</v>
      </c>
      <c r="V60">
        <f>[7]gpt4omini_single_60_2!L59</f>
        <v>-0.14923900000000001</v>
      </c>
      <c r="W60">
        <f>[8]gpt4omini_single_60_2!L59</f>
        <v>0.171374</v>
      </c>
      <c r="X60">
        <f>[9]gpt4omini_single_60_2!L59</f>
        <v>-0.39356200000000002</v>
      </c>
    </row>
    <row r="61" spans="1:24" x14ac:dyDescent="0.2">
      <c r="A61" s="12">
        <v>58</v>
      </c>
      <c r="B61">
        <f>[5]gpt4omini_single_100!L60</f>
        <v>-0.40405000000000002</v>
      </c>
      <c r="C61">
        <f>[6]gpt4omini_single_100!L60</f>
        <v>-1.7876E-2</v>
      </c>
      <c r="D61">
        <f>[7]gpt4omini_single_100!L60</f>
        <v>0.13905999999999999</v>
      </c>
      <c r="E61">
        <f>[8]gpt4omini_single_100!L60</f>
        <v>0.31592599999999998</v>
      </c>
      <c r="F61" s="11">
        <f>[9]gpt4omini_single_100!L60</f>
        <v>-0.45585999999999999</v>
      </c>
      <c r="G61">
        <v>58</v>
      </c>
      <c r="H61">
        <f>[5]gpt4omini_single_60!L60</f>
        <v>-0.118823</v>
      </c>
      <c r="I61">
        <f>[6]gpt4omini_single_60!L60</f>
        <v>7.3154999999999998E-2</v>
      </c>
      <c r="J61">
        <f>[7]gpt4omini_single_60!L60</f>
        <v>0.18765799999999999</v>
      </c>
      <c r="K61">
        <f>[8]gpt4omini_single_60!L60</f>
        <v>1.234499</v>
      </c>
      <c r="L61">
        <f>[9]gpt4omini_single_60!L60</f>
        <v>-7.1857000000000004E-2</v>
      </c>
      <c r="M61" s="12">
        <v>58</v>
      </c>
      <c r="N61">
        <f>[5]gpt4omini_single_100_2!L60</f>
        <v>-0.77104600000000001</v>
      </c>
      <c r="O61">
        <f>[6]gpt4omini_single_100_2!L60</f>
        <v>-0.69331100000000001</v>
      </c>
      <c r="P61">
        <f>[7]gpt4omini_single_100_2!L60</f>
        <v>-0.40346599999999999</v>
      </c>
      <c r="Q61">
        <f>[8]gpt4omini_single_100_2!L60</f>
        <v>-0.53503900000000004</v>
      </c>
      <c r="R61" s="11">
        <f>[9]gpt4omini_single_100_2!L60</f>
        <v>-0.79856000000000005</v>
      </c>
      <c r="S61">
        <v>58</v>
      </c>
      <c r="T61">
        <f>[5]gpt4omini_single_60_2!L60</f>
        <v>-0.40960299999999999</v>
      </c>
      <c r="U61">
        <f>[6]gpt4omini_single_60_2!L60</f>
        <v>-0.30578499999999997</v>
      </c>
      <c r="V61">
        <f>[7]gpt4omini_single_60_2!L60</f>
        <v>-0.14882699999999999</v>
      </c>
      <c r="W61">
        <f>[8]gpt4omini_single_60_2!L60</f>
        <v>0.20955199999999999</v>
      </c>
      <c r="X61">
        <f>[9]gpt4omini_single_60_2!L60</f>
        <v>-0.39549899999999999</v>
      </c>
    </row>
    <row r="62" spans="1:24" x14ac:dyDescent="0.2">
      <c r="A62" s="12">
        <v>59</v>
      </c>
      <c r="B62">
        <f>[5]gpt4omini_single_100!L61</f>
        <v>-0.409134</v>
      </c>
      <c r="C62">
        <f>[6]gpt4omini_single_100!L61</f>
        <v>-2.1676999999999998E-2</v>
      </c>
      <c r="D62">
        <f>[7]gpt4omini_single_100!L61</f>
        <v>0.14049900000000001</v>
      </c>
      <c r="E62">
        <f>[8]gpt4omini_single_100!L61</f>
        <v>0.32020300000000002</v>
      </c>
      <c r="F62" s="11">
        <f>[9]gpt4omini_single_100!L61</f>
        <v>-0.43006</v>
      </c>
      <c r="G62">
        <v>59</v>
      </c>
      <c r="H62">
        <f>[5]gpt4omini_single_60!L61</f>
        <v>-0.120392</v>
      </c>
      <c r="I62">
        <f>[6]gpt4omini_single_60!L61</f>
        <v>8.6472999999999994E-2</v>
      </c>
      <c r="J62">
        <f>[7]gpt4omini_single_60!L61</f>
        <v>0.209727</v>
      </c>
      <c r="K62">
        <f>[8]gpt4omini_single_60!L61</f>
        <v>1.2592429999999999</v>
      </c>
      <c r="L62">
        <f>[9]gpt4omini_single_60!L61</f>
        <v>-8.6333999999999994E-2</v>
      </c>
      <c r="M62" s="12">
        <v>59</v>
      </c>
      <c r="N62">
        <f>[5]gpt4omini_single_100_2!L61</f>
        <v>-0.71730799999999995</v>
      </c>
      <c r="O62">
        <f>[6]gpt4omini_single_100_2!L61</f>
        <v>-0.68886400000000003</v>
      </c>
      <c r="P62">
        <f>[7]gpt4omini_single_100_2!L61</f>
        <v>-0.39101999999999998</v>
      </c>
      <c r="Q62">
        <f>[8]gpt4omini_single_100_2!L61</f>
        <v>-0.54059999999999997</v>
      </c>
      <c r="R62" s="11">
        <f>[9]gpt4omini_single_100_2!L61</f>
        <v>-0.80388899999999996</v>
      </c>
      <c r="S62">
        <v>59</v>
      </c>
      <c r="T62">
        <f>[5]gpt4omini_single_60_2!L61</f>
        <v>-0.40230100000000002</v>
      </c>
      <c r="U62">
        <f>[6]gpt4omini_single_60_2!L61</f>
        <v>-0.31525999999999998</v>
      </c>
      <c r="V62">
        <f>[7]gpt4omini_single_60_2!L61</f>
        <v>-0.137184</v>
      </c>
      <c r="W62">
        <f>[8]gpt4omini_single_60_2!L61</f>
        <v>0.24857399999999999</v>
      </c>
      <c r="X62">
        <f>[9]gpt4omini_single_60_2!L61</f>
        <v>-0.40173999999999999</v>
      </c>
    </row>
    <row r="63" spans="1:24" x14ac:dyDescent="0.2">
      <c r="A63" s="12">
        <v>60</v>
      </c>
      <c r="B63">
        <f>[5]gpt4omini_single_100!L62</f>
        <v>-0.428149</v>
      </c>
      <c r="C63">
        <f>[6]gpt4omini_single_100!L62</f>
        <v>-2.5366E-2</v>
      </c>
      <c r="D63">
        <f>[7]gpt4omini_single_100!L62</f>
        <v>0.13502</v>
      </c>
      <c r="E63">
        <f>[8]gpt4omini_single_100!L62</f>
        <v>0.34365800000000002</v>
      </c>
      <c r="F63" s="11">
        <f>[9]gpt4omini_single_100!L62</f>
        <v>-0.44896399999999997</v>
      </c>
      <c r="G63">
        <v>60</v>
      </c>
      <c r="H63">
        <f>[5]gpt4omini_single_60!L62</f>
        <v>-0.12123299999999999</v>
      </c>
      <c r="I63">
        <f>[6]gpt4omini_single_60!L62</f>
        <v>8.4541000000000005E-2</v>
      </c>
      <c r="J63">
        <f>[7]gpt4omini_single_60!L62</f>
        <v>0.216919</v>
      </c>
      <c r="K63">
        <f>[8]gpt4omini_single_60!L62</f>
        <v>1.2256020000000001</v>
      </c>
      <c r="L63">
        <f>[9]gpt4omini_single_60!L62</f>
        <v>-8.7847999999999996E-2</v>
      </c>
      <c r="M63" s="12">
        <v>60</v>
      </c>
      <c r="N63">
        <f>[5]gpt4omini_single_100_2!L62</f>
        <v>-0.78579600000000005</v>
      </c>
      <c r="O63">
        <f>[6]gpt4omini_single_100_2!L62</f>
        <v>-0.71581700000000004</v>
      </c>
      <c r="P63">
        <f>[7]gpt4omini_single_100_2!L62</f>
        <v>-0.412273</v>
      </c>
      <c r="Q63">
        <f>[8]gpt4omini_single_100_2!L62</f>
        <v>-0.55841799999999997</v>
      </c>
      <c r="R63" s="11">
        <f>[9]gpt4omini_single_100_2!L62</f>
        <v>-0.79589299999999996</v>
      </c>
      <c r="S63">
        <v>60</v>
      </c>
      <c r="T63">
        <f>[5]gpt4omini_single_60_2!L62</f>
        <v>-0.40472200000000003</v>
      </c>
      <c r="U63">
        <f>[6]gpt4omini_single_60_2!L62</f>
        <v>-0.33034000000000002</v>
      </c>
      <c r="V63">
        <f>[7]gpt4omini_single_60_2!L62</f>
        <v>-0.162244</v>
      </c>
      <c r="W63">
        <f>[8]gpt4omini_single_60_2!L62</f>
        <v>0.218504</v>
      </c>
      <c r="X63">
        <f>[9]gpt4omini_single_60_2!L62</f>
        <v>-0.39962799999999998</v>
      </c>
    </row>
    <row r="64" spans="1:24" x14ac:dyDescent="0.2">
      <c r="A64" s="12">
        <v>61</v>
      </c>
      <c r="B64">
        <f>[5]gpt4omini_single_100!L63</f>
        <v>-0.44175399999999998</v>
      </c>
      <c r="C64">
        <f>[6]gpt4omini_single_100!L63</f>
        <v>-2.9083999999999999E-2</v>
      </c>
      <c r="D64">
        <f>[7]gpt4omini_single_100!L63</f>
        <v>0.14659700000000001</v>
      </c>
      <c r="E64">
        <f>[8]gpt4omini_single_100!L63</f>
        <v>0.35386600000000001</v>
      </c>
      <c r="F64" s="11">
        <f>[9]gpt4omini_single_100!L63</f>
        <v>-0.46033099999999999</v>
      </c>
      <c r="M64" s="12">
        <v>61</v>
      </c>
      <c r="N64">
        <f>[5]gpt4omini_single_100_2!L63</f>
        <v>-0.80288899999999996</v>
      </c>
      <c r="O64">
        <f>[6]gpt4omini_single_100_2!L63</f>
        <v>-0.76847699999999997</v>
      </c>
      <c r="P64">
        <f>[7]gpt4omini_single_100_2!L63</f>
        <v>-0.42258299999999999</v>
      </c>
      <c r="Q64">
        <f>[8]gpt4omini_single_100_2!L63</f>
        <v>-0.62715299999999996</v>
      </c>
      <c r="R64" s="11">
        <f>[9]gpt4omini_single_100_2!L63</f>
        <v>-0.81758399999999998</v>
      </c>
    </row>
    <row r="65" spans="1:18" x14ac:dyDescent="0.2">
      <c r="A65" s="12">
        <v>62</v>
      </c>
      <c r="B65">
        <f>[5]gpt4omini_single_100!L64</f>
        <v>-0.43745299999999998</v>
      </c>
      <c r="C65">
        <f>[6]gpt4omini_single_100!L64</f>
        <v>-2.4955999999999999E-2</v>
      </c>
      <c r="D65">
        <f>[7]gpt4omini_single_100!L64</f>
        <v>0.133269</v>
      </c>
      <c r="E65">
        <f>[8]gpt4omini_single_100!L64</f>
        <v>0.35081800000000002</v>
      </c>
      <c r="F65" s="11">
        <f>[9]gpt4omini_single_100!L64</f>
        <v>-0.46114500000000003</v>
      </c>
      <c r="M65" s="12">
        <v>62</v>
      </c>
      <c r="N65">
        <f>[5]gpt4omini_single_100_2!L64</f>
        <v>-0.79210100000000006</v>
      </c>
      <c r="O65">
        <f>[6]gpt4omini_single_100_2!L64</f>
        <v>-0.760486</v>
      </c>
      <c r="P65">
        <f>[7]gpt4omini_single_100_2!L64</f>
        <v>-0.432641</v>
      </c>
      <c r="Q65">
        <f>[8]gpt4omini_single_100_2!L64</f>
        <v>-0.62482400000000005</v>
      </c>
      <c r="R65" s="11">
        <f>[9]gpt4omini_single_100_2!L64</f>
        <v>-0.80168899999999998</v>
      </c>
    </row>
    <row r="66" spans="1:18" x14ac:dyDescent="0.2">
      <c r="A66" s="12">
        <v>63</v>
      </c>
      <c r="B66">
        <f>[5]gpt4omini_single_100!L65</f>
        <v>-0.45815</v>
      </c>
      <c r="C66">
        <f>[6]gpt4omini_single_100!L65</f>
        <v>-2.5340000000000001E-2</v>
      </c>
      <c r="D66">
        <f>[7]gpt4omini_single_100!L65</f>
        <v>0.14343800000000001</v>
      </c>
      <c r="E66">
        <f>[8]gpt4omini_single_100!L65</f>
        <v>0.35249999999999998</v>
      </c>
      <c r="F66" s="11">
        <f>[9]gpt4omini_single_100!L65</f>
        <v>-0.47804799999999997</v>
      </c>
      <c r="M66" s="12">
        <v>63</v>
      </c>
      <c r="N66">
        <f>[5]gpt4omini_single_100_2!L65</f>
        <v>-0.82742300000000002</v>
      </c>
      <c r="O66">
        <f>[6]gpt4omini_single_100_2!L65</f>
        <v>-0.76823399999999997</v>
      </c>
      <c r="P66">
        <f>[7]gpt4omini_single_100_2!L65</f>
        <v>-0.448994</v>
      </c>
      <c r="Q66">
        <f>[8]gpt4omini_single_100_2!L65</f>
        <v>-0.64488699999999999</v>
      </c>
      <c r="R66" s="11">
        <f>[9]gpt4omini_single_100_2!L65</f>
        <v>-0.83098899999999998</v>
      </c>
    </row>
    <row r="67" spans="1:18" x14ac:dyDescent="0.2">
      <c r="A67" s="12">
        <v>64</v>
      </c>
      <c r="B67">
        <f>[5]gpt4omini_single_100!L66</f>
        <v>-0.46174599999999999</v>
      </c>
      <c r="C67">
        <f>[6]gpt4omini_single_100!L66</f>
        <v>-2.9149999999999999E-2</v>
      </c>
      <c r="D67">
        <f>[7]gpt4omini_single_100!L66</f>
        <v>0.13886499999999999</v>
      </c>
      <c r="E67">
        <f>[8]gpt4omini_single_100!L66</f>
        <v>0.37334000000000001</v>
      </c>
      <c r="F67" s="11">
        <f>[9]gpt4omini_single_100!L66</f>
        <v>-0.48047099999999998</v>
      </c>
      <c r="M67" s="12">
        <v>64</v>
      </c>
      <c r="N67">
        <f>[5]gpt4omini_single_100_2!L66</f>
        <v>-0.84104900000000005</v>
      </c>
      <c r="O67">
        <f>[6]gpt4omini_single_100_2!L66</f>
        <v>-0.78193299999999999</v>
      </c>
      <c r="P67">
        <f>[7]gpt4omini_single_100_2!L66</f>
        <v>-0.46648099999999998</v>
      </c>
      <c r="Q67">
        <f>[8]gpt4omini_single_100_2!L66</f>
        <v>-0.62040700000000004</v>
      </c>
      <c r="R67" s="11">
        <f>[9]gpt4omini_single_100_2!L66</f>
        <v>-0.83727200000000002</v>
      </c>
    </row>
    <row r="68" spans="1:18" x14ac:dyDescent="0.2">
      <c r="A68" s="12">
        <v>65</v>
      </c>
      <c r="B68">
        <f>[5]gpt4omini_single_100!L67</f>
        <v>-0.473246</v>
      </c>
      <c r="C68">
        <f>[6]gpt4omini_single_100!L67</f>
        <v>-3.3975999999999999E-2</v>
      </c>
      <c r="D68">
        <f>[7]gpt4omini_single_100!L67</f>
        <v>0.141843</v>
      </c>
      <c r="E68">
        <f>[8]gpt4omini_single_100!L67</f>
        <v>0.37986500000000001</v>
      </c>
      <c r="F68" s="11">
        <f>[9]gpt4omini_single_100!L67</f>
        <v>-0.48844599999999999</v>
      </c>
      <c r="M68" s="12">
        <v>65</v>
      </c>
      <c r="N68">
        <f>[5]gpt4omini_single_100_2!L67</f>
        <v>-0.85512200000000005</v>
      </c>
      <c r="O68">
        <f>[6]gpt4omini_single_100_2!L67</f>
        <v>-0.79149099999999994</v>
      </c>
      <c r="P68">
        <f>[7]gpt4omini_single_100_2!L67</f>
        <v>-0.47080499999999997</v>
      </c>
      <c r="Q68">
        <f>[8]gpt4omini_single_100_2!L67</f>
        <v>-0.65446400000000005</v>
      </c>
      <c r="R68" s="11">
        <f>[9]gpt4omini_single_100_2!L67</f>
        <v>-0.84332700000000005</v>
      </c>
    </row>
    <row r="69" spans="1:18" x14ac:dyDescent="0.2">
      <c r="A69" s="12">
        <v>66</v>
      </c>
      <c r="B69">
        <f>[5]gpt4omini_single_100!L68</f>
        <v>-0.47869899999999999</v>
      </c>
      <c r="C69">
        <f>[6]gpt4omini_single_100!L68</f>
        <v>-3.3661000000000003E-2</v>
      </c>
      <c r="D69">
        <f>[7]gpt4omini_single_100!L68</f>
        <v>0.13755899999999999</v>
      </c>
      <c r="E69">
        <f>[8]gpt4omini_single_100!L68</f>
        <v>0.40271000000000001</v>
      </c>
      <c r="F69" s="11">
        <f>[9]gpt4omini_single_100!L68</f>
        <v>-0.495311</v>
      </c>
      <c r="M69" s="12">
        <v>66</v>
      </c>
      <c r="N69">
        <f>[5]gpt4omini_single_100_2!L68</f>
        <v>-0.85980400000000001</v>
      </c>
      <c r="O69">
        <f>[6]gpt4omini_single_100_2!L68</f>
        <v>-0.794825</v>
      </c>
      <c r="P69">
        <f>[7]gpt4omini_single_100_2!L68</f>
        <v>-0.47578100000000001</v>
      </c>
      <c r="Q69">
        <f>[8]gpt4omini_single_100_2!L68</f>
        <v>-0.65641799999999995</v>
      </c>
      <c r="R69" s="11">
        <f>[9]gpt4omini_single_100_2!L68</f>
        <v>-0.84636500000000003</v>
      </c>
    </row>
    <row r="70" spans="1:18" x14ac:dyDescent="0.2">
      <c r="A70" s="12">
        <v>67</v>
      </c>
      <c r="B70">
        <f>[5]gpt4omini_single_100!L69</f>
        <v>-0.48391600000000001</v>
      </c>
      <c r="C70">
        <f>[6]gpt4omini_single_100!L69</f>
        <v>-3.7985999999999999E-2</v>
      </c>
      <c r="D70">
        <f>[7]gpt4omini_single_100!L69</f>
        <v>0.125862</v>
      </c>
      <c r="E70">
        <f>[8]gpt4omini_single_100!L69</f>
        <v>0.40555400000000003</v>
      </c>
      <c r="F70" s="11">
        <f>[9]gpt4omini_single_100!L69</f>
        <v>-0.50680599999999998</v>
      </c>
      <c r="M70" s="12">
        <v>67</v>
      </c>
      <c r="N70">
        <f>[5]gpt4omini_single_100_2!L69</f>
        <v>-0.86778999999999995</v>
      </c>
      <c r="O70">
        <f>[6]gpt4omini_single_100_2!L69</f>
        <v>-0.80684500000000003</v>
      </c>
      <c r="P70">
        <f>[7]gpt4omini_single_100_2!L69</f>
        <v>-0.490342</v>
      </c>
      <c r="Q70">
        <f>[8]gpt4omini_single_100_2!L69</f>
        <v>-0.72869899999999999</v>
      </c>
      <c r="R70" s="11">
        <f>[9]gpt4omini_single_100_2!L69</f>
        <v>-0.85285699999999998</v>
      </c>
    </row>
    <row r="71" spans="1:18" x14ac:dyDescent="0.2">
      <c r="A71" s="12">
        <v>68</v>
      </c>
      <c r="B71">
        <f>[5]gpt4omini_single_100!L70</f>
        <v>-0.48582700000000001</v>
      </c>
      <c r="C71">
        <f>[6]gpt4omini_single_100!L70</f>
        <v>-3.7893999999999997E-2</v>
      </c>
      <c r="D71">
        <f>[7]gpt4omini_single_100!L70</f>
        <v>0.13219500000000001</v>
      </c>
      <c r="E71">
        <f>[8]gpt4omini_single_100!L70</f>
        <v>0.42366300000000001</v>
      </c>
      <c r="F71" s="11">
        <f>[9]gpt4omini_single_100!L70</f>
        <v>-0.51028700000000005</v>
      </c>
      <c r="M71" s="12">
        <v>68</v>
      </c>
      <c r="N71">
        <f>[5]gpt4omini_single_100_2!L70</f>
        <v>-0.87392400000000003</v>
      </c>
      <c r="O71">
        <f>[6]gpt4omini_single_100_2!L70</f>
        <v>-0.80993499999999996</v>
      </c>
      <c r="P71">
        <f>[7]gpt4omini_single_100_2!L70</f>
        <v>-0.48724400000000001</v>
      </c>
      <c r="Q71">
        <f>[8]gpt4omini_single_100_2!L70</f>
        <v>-0.74085699999999999</v>
      </c>
      <c r="R71" s="11">
        <f>[9]gpt4omini_single_100_2!L70</f>
        <v>-0.85322900000000002</v>
      </c>
    </row>
    <row r="72" spans="1:18" x14ac:dyDescent="0.2">
      <c r="A72" s="12">
        <v>69</v>
      </c>
      <c r="B72">
        <f>[5]gpt4omini_single_100!L71</f>
        <v>-0.48110799999999998</v>
      </c>
      <c r="C72">
        <f>[6]gpt4omini_single_100!L71</f>
        <v>-4.3997000000000001E-2</v>
      </c>
      <c r="D72">
        <f>[7]gpt4omini_single_100!L71</f>
        <v>0.12979299999999999</v>
      </c>
      <c r="E72">
        <f>[8]gpt4omini_single_100!L71</f>
        <v>0.42948199999999997</v>
      </c>
      <c r="F72" s="11">
        <f>[9]gpt4omini_single_100!L71</f>
        <v>-0.50900299999999998</v>
      </c>
      <c r="M72" s="12">
        <v>69</v>
      </c>
      <c r="N72">
        <f>[5]gpt4omini_single_100_2!L71</f>
        <v>-0.86980299999999999</v>
      </c>
      <c r="O72">
        <f>[6]gpt4omini_single_100_2!L71</f>
        <v>-0.79666199999999998</v>
      </c>
      <c r="P72">
        <f>[7]gpt4omini_single_100_2!L71</f>
        <v>-0.48951</v>
      </c>
      <c r="Q72">
        <f>[8]gpt4omini_single_100_2!L71</f>
        <v>-0.69103300000000001</v>
      </c>
      <c r="R72" s="11">
        <f>[9]gpt4omini_single_100_2!L71</f>
        <v>-0.84876799999999997</v>
      </c>
    </row>
    <row r="73" spans="1:18" x14ac:dyDescent="0.2">
      <c r="A73" s="12">
        <v>70</v>
      </c>
      <c r="B73">
        <f>[5]gpt4omini_single_100!L72</f>
        <v>-0.49836900000000001</v>
      </c>
      <c r="C73">
        <f>[6]gpt4omini_single_100!L72</f>
        <v>-5.1857E-2</v>
      </c>
      <c r="D73">
        <f>[7]gpt4omini_single_100!L72</f>
        <v>0.125529</v>
      </c>
      <c r="E73">
        <f>[8]gpt4omini_single_100!L72</f>
        <v>0.461451</v>
      </c>
      <c r="F73" s="11">
        <f>[9]gpt4omini_single_100!L72</f>
        <v>-0.51632900000000004</v>
      </c>
      <c r="M73" s="12">
        <v>70</v>
      </c>
      <c r="N73">
        <f>[5]gpt4omini_single_100_2!L72</f>
        <v>-0.87629199999999996</v>
      </c>
      <c r="O73">
        <f>[6]gpt4omini_single_100_2!L72</f>
        <v>-0.80916699999999997</v>
      </c>
      <c r="P73">
        <f>[7]gpt4omini_single_100_2!L72</f>
        <v>-0.49984800000000001</v>
      </c>
      <c r="Q73">
        <f>[8]gpt4omini_single_100_2!L72</f>
        <v>-0.70980399999999999</v>
      </c>
      <c r="R73" s="11">
        <f>[9]gpt4omini_single_100_2!L72</f>
        <v>-0.86388799999999999</v>
      </c>
    </row>
    <row r="74" spans="1:18" x14ac:dyDescent="0.2">
      <c r="A74" s="12">
        <v>71</v>
      </c>
      <c r="B74">
        <f>[5]gpt4omini_single_100!L73</f>
        <v>-0.5111</v>
      </c>
      <c r="C74">
        <f>[6]gpt4omini_single_100!L73</f>
        <v>-4.3201999999999997E-2</v>
      </c>
      <c r="D74">
        <f>[7]gpt4omini_single_100!L73</f>
        <v>0.13444999999999999</v>
      </c>
      <c r="E74">
        <f>[8]gpt4omini_single_100!L73</f>
        <v>0.46528199999999997</v>
      </c>
      <c r="F74" s="11">
        <f>[9]gpt4omini_single_100!L73</f>
        <v>-0.53066899999999995</v>
      </c>
      <c r="M74" s="12">
        <v>71</v>
      </c>
      <c r="N74">
        <f>[5]gpt4omini_single_100_2!L73</f>
        <v>-0.89869500000000002</v>
      </c>
      <c r="O74">
        <f>[6]gpt4omini_single_100_2!L73</f>
        <v>-0.81361600000000001</v>
      </c>
      <c r="P74">
        <f>[7]gpt4omini_single_100_2!L73</f>
        <v>-0.50240399999999996</v>
      </c>
      <c r="Q74">
        <f>[8]gpt4omini_single_100_2!L73</f>
        <v>-0.75782899999999997</v>
      </c>
      <c r="R74" s="11">
        <f>[9]gpt4omini_single_100_2!L73</f>
        <v>-0.88186699999999996</v>
      </c>
    </row>
    <row r="75" spans="1:18" x14ac:dyDescent="0.2">
      <c r="A75" s="12">
        <v>72</v>
      </c>
      <c r="B75">
        <f>[5]gpt4omini_single_100!L74</f>
        <v>-0.516934</v>
      </c>
      <c r="C75">
        <f>[6]gpt4omini_single_100!L74</f>
        <v>-4.8425999999999997E-2</v>
      </c>
      <c r="D75">
        <f>[7]gpt4omini_single_100!L74</f>
        <v>0.147754</v>
      </c>
      <c r="E75">
        <f>[8]gpt4omini_single_100!L74</f>
        <v>0.40828199999999998</v>
      </c>
      <c r="F75" s="11">
        <f>[9]gpt4omini_single_100!L74</f>
        <v>-0.53448399999999996</v>
      </c>
      <c r="M75" s="12">
        <v>72</v>
      </c>
      <c r="N75">
        <f>[5]gpt4omini_single_100_2!L74</f>
        <v>-0.90558499999999997</v>
      </c>
      <c r="O75">
        <f>[6]gpt4omini_single_100_2!L74</f>
        <v>-0.83447700000000002</v>
      </c>
      <c r="P75">
        <f>[7]gpt4omini_single_100_2!L74</f>
        <v>-0.50255700000000003</v>
      </c>
      <c r="Q75">
        <f>[8]gpt4omini_single_100_2!L74</f>
        <v>-0.711758</v>
      </c>
      <c r="R75" s="11">
        <f>[9]gpt4omini_single_100_2!L74</f>
        <v>-0.87280500000000005</v>
      </c>
    </row>
    <row r="76" spans="1:18" x14ac:dyDescent="0.2">
      <c r="A76" s="12">
        <v>73</v>
      </c>
      <c r="B76">
        <f>[5]gpt4omini_single_100!L75</f>
        <v>-0.52703800000000001</v>
      </c>
      <c r="C76">
        <f>[6]gpt4omini_single_100!L75</f>
        <v>-4.6047999999999999E-2</v>
      </c>
      <c r="D76">
        <f>[7]gpt4omini_single_100!L75</f>
        <v>0.15820999999999999</v>
      </c>
      <c r="E76">
        <f>[8]gpt4omini_single_100!L75</f>
        <v>0.44181500000000001</v>
      </c>
      <c r="F76" s="11">
        <f>[9]gpt4omini_single_100!L75</f>
        <v>-0.53405899999999995</v>
      </c>
      <c r="M76" s="12">
        <v>73</v>
      </c>
      <c r="N76">
        <f>[5]gpt4omini_single_100_2!L75</f>
        <v>-0.90559000000000001</v>
      </c>
      <c r="O76">
        <f>[6]gpt4omini_single_100_2!L75</f>
        <v>-0.82822799999999996</v>
      </c>
      <c r="P76">
        <f>[7]gpt4omini_single_100_2!L75</f>
        <v>-0.51526400000000006</v>
      </c>
      <c r="Q76">
        <f>[8]gpt4omini_single_100_2!L75</f>
        <v>-0.6764</v>
      </c>
      <c r="R76" s="11">
        <f>[9]gpt4omini_single_100_2!L75</f>
        <v>-0.90952999999999995</v>
      </c>
    </row>
    <row r="77" spans="1:18" x14ac:dyDescent="0.2">
      <c r="A77" s="12">
        <v>74</v>
      </c>
      <c r="B77">
        <f>[5]gpt4omini_single_100!L76</f>
        <v>-0.51617999999999997</v>
      </c>
      <c r="C77">
        <f>[6]gpt4omini_single_100!L76</f>
        <v>-3.9551000000000003E-2</v>
      </c>
      <c r="D77">
        <f>[7]gpt4omini_single_100!L76</f>
        <v>0.15006</v>
      </c>
      <c r="E77">
        <f>[8]gpt4omini_single_100!L76</f>
        <v>0.41270499999999999</v>
      </c>
      <c r="F77" s="11">
        <f>[9]gpt4omini_single_100!L76</f>
        <v>-0.53653399999999996</v>
      </c>
      <c r="M77" s="12">
        <v>74</v>
      </c>
      <c r="N77">
        <f>[5]gpt4omini_single_100_2!L76</f>
        <v>-0.88933499999999999</v>
      </c>
      <c r="O77">
        <f>[6]gpt4omini_single_100_2!L76</f>
        <v>-0.82477500000000004</v>
      </c>
      <c r="P77">
        <f>[7]gpt4omini_single_100_2!L76</f>
        <v>-0.51822400000000002</v>
      </c>
      <c r="Q77">
        <f>[8]gpt4omini_single_100_2!L76</f>
        <v>-0.656837</v>
      </c>
      <c r="R77" s="11">
        <f>[9]gpt4omini_single_100_2!L76</f>
        <v>-0.90146599999999999</v>
      </c>
    </row>
    <row r="78" spans="1:18" x14ac:dyDescent="0.2">
      <c r="A78" s="12">
        <v>75</v>
      </c>
      <c r="B78">
        <f>[5]gpt4omini_single_100!L77</f>
        <v>-0.56554599999999999</v>
      </c>
      <c r="C78">
        <f>[6]gpt4omini_single_100!L77</f>
        <v>-4.6469000000000003E-2</v>
      </c>
      <c r="D78">
        <f>[7]gpt4omini_single_100!L77</f>
        <v>0.18001900000000001</v>
      </c>
      <c r="E78">
        <f>[8]gpt4omini_single_100!L77</f>
        <v>0.46358700000000003</v>
      </c>
      <c r="F78" s="11">
        <f>[9]gpt4omini_single_100!L77</f>
        <v>-0.55408000000000002</v>
      </c>
      <c r="M78" s="12">
        <v>75</v>
      </c>
      <c r="N78">
        <f>[5]gpt4omini_single_100_2!L77</f>
        <v>-0.954322</v>
      </c>
      <c r="O78">
        <f>[6]gpt4omini_single_100_2!L77</f>
        <v>-0.86586300000000005</v>
      </c>
      <c r="P78">
        <f>[7]gpt4omini_single_100_2!L77</f>
        <v>-0.53306200000000004</v>
      </c>
      <c r="Q78">
        <f>[8]gpt4omini_single_100_2!L77</f>
        <v>-0.70498899999999998</v>
      </c>
      <c r="R78" s="11">
        <f>[9]gpt4omini_single_100_2!L77</f>
        <v>-0.91045100000000001</v>
      </c>
    </row>
    <row r="79" spans="1:18" x14ac:dyDescent="0.2">
      <c r="A79" s="12">
        <v>76</v>
      </c>
      <c r="B79">
        <f>[5]gpt4omini_single_100!L78</f>
        <v>-0.579515</v>
      </c>
      <c r="C79">
        <f>[6]gpt4omini_single_100!L78</f>
        <v>-4.3707999999999997E-2</v>
      </c>
      <c r="D79">
        <f>[7]gpt4omini_single_100!L78</f>
        <v>0.19143199999999999</v>
      </c>
      <c r="E79">
        <f>[8]gpt4omini_single_100!L78</f>
        <v>0.477244</v>
      </c>
      <c r="F79" s="11">
        <f>[9]gpt4omini_single_100!L78</f>
        <v>-0.56648600000000005</v>
      </c>
      <c r="M79" s="12">
        <v>76</v>
      </c>
      <c r="N79">
        <f>[5]gpt4omini_single_100_2!L78</f>
        <v>-0.98911700000000002</v>
      </c>
      <c r="O79">
        <f>[6]gpt4omini_single_100_2!L78</f>
        <v>-0.900231</v>
      </c>
      <c r="P79">
        <f>[7]gpt4omini_single_100_2!L78</f>
        <v>-0.54713800000000001</v>
      </c>
      <c r="Q79">
        <f>[8]gpt4omini_single_100_2!L78</f>
        <v>-0.73309100000000005</v>
      </c>
      <c r="R79" s="11">
        <f>[9]gpt4omini_single_100_2!L78</f>
        <v>-0.94250500000000004</v>
      </c>
    </row>
    <row r="80" spans="1:18" x14ac:dyDescent="0.2">
      <c r="A80" s="12">
        <v>77</v>
      </c>
      <c r="B80">
        <f>[5]gpt4omini_single_100!L79</f>
        <v>-0.579453</v>
      </c>
      <c r="C80">
        <f>[6]gpt4omini_single_100!L79</f>
        <v>-3.8220999999999998E-2</v>
      </c>
      <c r="D80">
        <f>[7]gpt4omini_single_100!L79</f>
        <v>0.19395499999999999</v>
      </c>
      <c r="E80">
        <f>[8]gpt4omini_single_100!L79</f>
        <v>0.48032999999999998</v>
      </c>
      <c r="F80" s="11">
        <f>[9]gpt4omini_single_100!L79</f>
        <v>-0.574353</v>
      </c>
      <c r="M80" s="12">
        <v>77</v>
      </c>
      <c r="N80">
        <f>[5]gpt4omini_single_100_2!L79</f>
        <v>-0.99656999999999996</v>
      </c>
      <c r="O80">
        <f>[6]gpt4omini_single_100_2!L79</f>
        <v>-0.90736300000000003</v>
      </c>
      <c r="P80">
        <f>[7]gpt4omini_single_100_2!L79</f>
        <v>-0.558145</v>
      </c>
      <c r="Q80">
        <f>[8]gpt4omini_single_100_2!L79</f>
        <v>-0.74568299999999998</v>
      </c>
      <c r="R80" s="11">
        <f>[9]gpt4omini_single_100_2!L79</f>
        <v>-0.95722700000000005</v>
      </c>
    </row>
    <row r="81" spans="1:18" x14ac:dyDescent="0.2">
      <c r="A81" s="12">
        <v>78</v>
      </c>
      <c r="B81">
        <f>[5]gpt4omini_single_100!L80</f>
        <v>-0.56903899999999996</v>
      </c>
      <c r="C81">
        <f>[6]gpt4omini_single_100!L80</f>
        <v>-4.1660000000000003E-2</v>
      </c>
      <c r="D81">
        <f>[7]gpt4omini_single_100!L80</f>
        <v>0.18751899999999999</v>
      </c>
      <c r="E81">
        <f>[8]gpt4omini_single_100!L80</f>
        <v>0.47008800000000001</v>
      </c>
      <c r="F81" s="11">
        <f>[9]gpt4omini_single_100!L80</f>
        <v>-0.55840699999999999</v>
      </c>
      <c r="M81" s="12">
        <v>78</v>
      </c>
      <c r="N81">
        <f>[5]gpt4omini_single_100_2!L80</f>
        <v>-0.966395</v>
      </c>
      <c r="O81">
        <f>[6]gpt4omini_single_100_2!L80</f>
        <v>-0.892127</v>
      </c>
      <c r="P81">
        <f>[7]gpt4omini_single_100_2!L80</f>
        <v>-0.57237199999999999</v>
      </c>
      <c r="Q81">
        <f>[8]gpt4omini_single_100_2!L80</f>
        <v>-0.76316899999999999</v>
      </c>
      <c r="R81" s="11">
        <f>[9]gpt4omini_single_100_2!L80</f>
        <v>-0.92420800000000003</v>
      </c>
    </row>
    <row r="82" spans="1:18" x14ac:dyDescent="0.2">
      <c r="A82" s="12">
        <v>79</v>
      </c>
      <c r="B82">
        <f>[5]gpt4omini_single_100!L81</f>
        <v>-0.528366</v>
      </c>
      <c r="C82">
        <f>[6]gpt4omini_single_100!L81</f>
        <v>-1.3675E-2</v>
      </c>
      <c r="D82">
        <f>[7]gpt4omini_single_100!L81</f>
        <v>0.19862299999999999</v>
      </c>
      <c r="E82">
        <f>[8]gpt4omini_single_100!L81</f>
        <v>0.461669</v>
      </c>
      <c r="F82" s="11">
        <f>[9]gpt4omini_single_100!L81</f>
        <v>-0.51070899999999997</v>
      </c>
      <c r="M82" s="12">
        <v>79</v>
      </c>
      <c r="N82">
        <f>[5]gpt4omini_single_100_2!L81</f>
        <v>-0.98621700000000001</v>
      </c>
      <c r="O82">
        <f>[6]gpt4omini_single_100_2!L81</f>
        <v>-0.88659100000000002</v>
      </c>
      <c r="P82">
        <f>[7]gpt4omini_single_100_2!L81</f>
        <v>-0.55362599999999995</v>
      </c>
      <c r="Q82">
        <f>[8]gpt4omini_single_100_2!L81</f>
        <v>-0.772401</v>
      </c>
      <c r="R82" s="11">
        <f>[9]gpt4omini_single_100_2!L81</f>
        <v>-0.924346</v>
      </c>
    </row>
    <row r="83" spans="1:18" x14ac:dyDescent="0.2">
      <c r="A83" s="12">
        <v>80</v>
      </c>
      <c r="B83">
        <f>[5]gpt4omini_single_100!L82</f>
        <v>-0.55744899999999997</v>
      </c>
      <c r="C83">
        <f>[6]gpt4omini_single_100!L82</f>
        <v>-8.541E-3</v>
      </c>
      <c r="D83">
        <f>[7]gpt4omini_single_100!L82</f>
        <v>0.21582299999999999</v>
      </c>
      <c r="E83">
        <f>[8]gpt4omini_single_100!L82</f>
        <v>0.52017999999999998</v>
      </c>
      <c r="F83" s="11">
        <f>[9]gpt4omini_single_100!L82</f>
        <v>-0.53037800000000002</v>
      </c>
      <c r="M83" s="12">
        <v>80</v>
      </c>
      <c r="N83">
        <f>[5]gpt4omini_single_100_2!L82</f>
        <v>-0.97888900000000001</v>
      </c>
      <c r="O83">
        <f>[6]gpt4omini_single_100_2!L82</f>
        <v>-0.95915399999999995</v>
      </c>
      <c r="P83">
        <f>[7]gpt4omini_single_100_2!L82</f>
        <v>-0.59017200000000003</v>
      </c>
      <c r="Q83">
        <f>[8]gpt4omini_single_100_2!L82</f>
        <v>-0.84904400000000002</v>
      </c>
      <c r="R83" s="11">
        <f>[9]gpt4omini_single_100_2!L82</f>
        <v>-1.000078</v>
      </c>
    </row>
    <row r="84" spans="1:18" x14ac:dyDescent="0.2">
      <c r="A84" s="12">
        <v>81</v>
      </c>
      <c r="B84">
        <f>[5]gpt4omini_single_100!L83</f>
        <v>-0.53135600000000005</v>
      </c>
      <c r="C84">
        <f>[6]gpt4omini_single_100!L83</f>
        <v>8.7930000000000005E-3</v>
      </c>
      <c r="D84">
        <f>[7]gpt4omini_single_100!L83</f>
        <v>0.23053100000000001</v>
      </c>
      <c r="E84">
        <f>[8]gpt4omini_single_100!L83</f>
        <v>0.53406600000000004</v>
      </c>
      <c r="F84" s="11">
        <f>[9]gpt4omini_single_100!L83</f>
        <v>-0.56515899999999997</v>
      </c>
      <c r="M84" s="12">
        <v>81</v>
      </c>
      <c r="N84">
        <f>[5]gpt4omini_single_100_2!L83</f>
        <v>-1.029779</v>
      </c>
      <c r="O84">
        <f>[6]gpt4omini_single_100_2!L83</f>
        <v>-0.94999100000000003</v>
      </c>
      <c r="P84">
        <f>[7]gpt4omini_single_100_2!L83</f>
        <v>-0.60390900000000003</v>
      </c>
      <c r="Q84">
        <f>[8]gpt4omini_single_100_2!L83</f>
        <v>-0.81281000000000003</v>
      </c>
      <c r="R84" s="11">
        <f>[9]gpt4omini_single_100_2!L83</f>
        <v>-0.979321</v>
      </c>
    </row>
    <row r="85" spans="1:18" x14ac:dyDescent="0.2">
      <c r="A85" s="12">
        <v>82</v>
      </c>
      <c r="B85">
        <f>[5]gpt4omini_single_100!L84</f>
        <v>-0.55629200000000001</v>
      </c>
      <c r="C85">
        <f>[6]gpt4omini_single_100!L84</f>
        <v>8.2999999999999998E-5</v>
      </c>
      <c r="D85">
        <f>[7]gpt4omini_single_100!L84</f>
        <v>0.233379</v>
      </c>
      <c r="E85">
        <f>[8]gpt4omini_single_100!L84</f>
        <v>0.50226899999999997</v>
      </c>
      <c r="F85" s="11">
        <f>[9]gpt4omini_single_100!L84</f>
        <v>-0.58344799999999997</v>
      </c>
      <c r="M85" s="12">
        <v>82</v>
      </c>
      <c r="N85">
        <f>[5]gpt4omini_single_100_2!L84</f>
        <v>-1.062603</v>
      </c>
      <c r="O85">
        <f>[6]gpt4omini_single_100_2!L84</f>
        <v>-0.96326699999999998</v>
      </c>
      <c r="P85">
        <f>[7]gpt4omini_single_100_2!L84</f>
        <v>-0.644486</v>
      </c>
      <c r="Q85">
        <f>[8]gpt4omini_single_100_2!L84</f>
        <v>-0.80379100000000003</v>
      </c>
      <c r="R85" s="11">
        <f>[9]gpt4omini_single_100_2!L84</f>
        <v>-1.007185</v>
      </c>
    </row>
    <row r="86" spans="1:18" x14ac:dyDescent="0.2">
      <c r="A86" s="12">
        <v>83</v>
      </c>
      <c r="B86">
        <f>[5]gpt4omini_single_100!L85</f>
        <v>-0.53253499999999998</v>
      </c>
      <c r="C86">
        <f>[6]gpt4omini_single_100!L85</f>
        <v>-7.43E-3</v>
      </c>
      <c r="D86">
        <f>[7]gpt4omini_single_100!L85</f>
        <v>0.22000800000000001</v>
      </c>
      <c r="E86">
        <f>[8]gpt4omini_single_100!L85</f>
        <v>0.52320800000000001</v>
      </c>
      <c r="F86" s="11">
        <f>[9]gpt4omini_single_100!L85</f>
        <v>-0.59106800000000004</v>
      </c>
      <c r="M86" s="12">
        <v>83</v>
      </c>
      <c r="N86">
        <f>[5]gpt4omini_single_100_2!L85</f>
        <v>-1.0543279999999999</v>
      </c>
      <c r="O86">
        <f>[6]gpt4omini_single_100_2!L85</f>
        <v>-0.99751900000000004</v>
      </c>
      <c r="P86">
        <f>[7]gpt4omini_single_100_2!L85</f>
        <v>-0.65019800000000005</v>
      </c>
      <c r="Q86">
        <f>[8]gpt4omini_single_100_2!L85</f>
        <v>-0.86345099999999997</v>
      </c>
      <c r="R86" s="11">
        <f>[9]gpt4omini_single_100_2!L85</f>
        <v>-1.025061</v>
      </c>
    </row>
    <row r="87" spans="1:18" x14ac:dyDescent="0.2">
      <c r="A87" s="12">
        <v>84</v>
      </c>
      <c r="B87">
        <f>[5]gpt4omini_single_100!L86</f>
        <v>-0.55162699999999998</v>
      </c>
      <c r="C87">
        <f>[6]gpt4omini_single_100!L86</f>
        <v>-9.6919999999999992E-3</v>
      </c>
      <c r="D87">
        <f>[7]gpt4omini_single_100!L86</f>
        <v>0.22701099999999999</v>
      </c>
      <c r="E87">
        <f>[8]gpt4omini_single_100!L86</f>
        <v>0.55291699999999999</v>
      </c>
      <c r="F87" s="11">
        <f>[9]gpt4omini_single_100!L86</f>
        <v>-0.594773</v>
      </c>
      <c r="M87" s="12">
        <v>84</v>
      </c>
      <c r="N87">
        <f>[5]gpt4omini_single_100_2!L86</f>
        <v>-1.0711079999999999</v>
      </c>
      <c r="O87">
        <f>[6]gpt4omini_single_100_2!L86</f>
        <v>-1.0242599999999999</v>
      </c>
      <c r="P87">
        <f>[7]gpt4omini_single_100_2!L86</f>
        <v>-0.68172200000000005</v>
      </c>
      <c r="Q87">
        <f>[8]gpt4omini_single_100_2!L86</f>
        <v>-0.87556100000000003</v>
      </c>
      <c r="R87" s="11">
        <f>[9]gpt4omini_single_100_2!L86</f>
        <v>-1.04674</v>
      </c>
    </row>
    <row r="88" spans="1:18" x14ac:dyDescent="0.2">
      <c r="A88" s="12">
        <v>85</v>
      </c>
      <c r="B88">
        <f>[5]gpt4omini_single_100!L87</f>
        <v>-0.54917700000000003</v>
      </c>
      <c r="C88">
        <f>[6]gpt4omini_single_100!L87</f>
        <v>-2.2603000000000002E-2</v>
      </c>
      <c r="D88">
        <f>[7]gpt4omini_single_100!L87</f>
        <v>0.2084</v>
      </c>
      <c r="E88">
        <f>[8]gpt4omini_single_100!L87</f>
        <v>0.53144000000000002</v>
      </c>
      <c r="F88" s="11">
        <f>[9]gpt4omini_single_100!L87</f>
        <v>-0.57749099999999998</v>
      </c>
      <c r="M88" s="12">
        <v>85</v>
      </c>
      <c r="N88">
        <f>[5]gpt4omini_single_100_2!L87</f>
        <v>-1.069545</v>
      </c>
      <c r="O88">
        <f>[6]gpt4omini_single_100_2!L87</f>
        <v>-1.0121089999999999</v>
      </c>
      <c r="P88">
        <f>[7]gpt4omini_single_100_2!L87</f>
        <v>-0.67336300000000004</v>
      </c>
      <c r="Q88">
        <f>[8]gpt4omini_single_100_2!L87</f>
        <v>-0.81308100000000005</v>
      </c>
      <c r="R88" s="11">
        <f>[9]gpt4omini_single_100_2!L87</f>
        <v>-1.0229220000000001</v>
      </c>
    </row>
    <row r="89" spans="1:18" x14ac:dyDescent="0.2">
      <c r="A89" s="12">
        <v>86</v>
      </c>
      <c r="B89">
        <f>[5]gpt4omini_single_100!L88</f>
        <v>-0.576963</v>
      </c>
      <c r="C89">
        <f>[6]gpt4omini_single_100!L88</f>
        <v>-2.4555E-2</v>
      </c>
      <c r="D89">
        <f>[7]gpt4omini_single_100!L88</f>
        <v>0.216282</v>
      </c>
      <c r="E89">
        <f>[8]gpt4omini_single_100!L88</f>
        <v>0.54763600000000001</v>
      </c>
      <c r="F89" s="11">
        <f>[9]gpt4omini_single_100!L88</f>
        <v>-0.60035799999999995</v>
      </c>
      <c r="M89" s="12">
        <v>86</v>
      </c>
      <c r="N89">
        <f>[5]gpt4omini_single_100_2!L88</f>
        <v>-1.0785229999999999</v>
      </c>
      <c r="O89">
        <f>[6]gpt4omini_single_100_2!L88</f>
        <v>-1.034286</v>
      </c>
      <c r="P89">
        <f>[7]gpt4omini_single_100_2!L88</f>
        <v>-0.71692299999999998</v>
      </c>
      <c r="Q89">
        <f>[8]gpt4omini_single_100_2!L88</f>
        <v>-0.68201299999999998</v>
      </c>
      <c r="R89" s="11">
        <f>[9]gpt4omini_single_100_2!L88</f>
        <v>-1.050602</v>
      </c>
    </row>
    <row r="90" spans="1:18" x14ac:dyDescent="0.2">
      <c r="A90" s="12">
        <v>87</v>
      </c>
      <c r="B90">
        <f>[5]gpt4omini_single_100!L89</f>
        <v>-0.58078700000000005</v>
      </c>
      <c r="C90">
        <f>[6]gpt4omini_single_100!L89</f>
        <v>-2.3845999999999999E-2</v>
      </c>
      <c r="D90">
        <f>[7]gpt4omini_single_100!L89</f>
        <v>0.217893</v>
      </c>
      <c r="E90">
        <f>[8]gpt4omini_single_100!L89</f>
        <v>0.57463799999999998</v>
      </c>
      <c r="F90" s="11">
        <f>[9]gpt4omini_single_100!L89</f>
        <v>-0.60131800000000002</v>
      </c>
      <c r="M90" s="12">
        <v>87</v>
      </c>
      <c r="N90">
        <f>[5]gpt4omini_single_100_2!L89</f>
        <v>-1.081037</v>
      </c>
      <c r="O90">
        <f>[6]gpt4omini_single_100_2!L89</f>
        <v>-1.0165740000000001</v>
      </c>
      <c r="P90">
        <f>[7]gpt4omini_single_100_2!L89</f>
        <v>-0.725406</v>
      </c>
      <c r="Q90">
        <f>[8]gpt4omini_single_100_2!L89</f>
        <v>-0.67944899999999997</v>
      </c>
      <c r="R90" s="11">
        <f>[9]gpt4omini_single_100_2!L89</f>
        <v>-1.0415000000000001</v>
      </c>
    </row>
    <row r="91" spans="1:18" x14ac:dyDescent="0.2">
      <c r="A91" s="12">
        <v>88</v>
      </c>
      <c r="B91">
        <f>[5]gpt4omini_single_100!L90</f>
        <v>-0.59518300000000002</v>
      </c>
      <c r="C91">
        <f>[6]gpt4omini_single_100!L90</f>
        <v>-1.2684000000000001E-2</v>
      </c>
      <c r="D91">
        <f>[7]gpt4omini_single_100!L90</f>
        <v>0.24627199999999999</v>
      </c>
      <c r="E91">
        <f>[8]gpt4omini_single_100!L90</f>
        <v>0.59272100000000005</v>
      </c>
      <c r="F91" s="11">
        <f>[9]gpt4omini_single_100!L90</f>
        <v>-0.61096099999999998</v>
      </c>
      <c r="M91" s="12">
        <v>88</v>
      </c>
      <c r="N91">
        <f>[5]gpt4omini_single_100_2!L90</f>
        <v>-1.1125849999999999</v>
      </c>
      <c r="O91">
        <f>[6]gpt4omini_single_100_2!L90</f>
        <v>-1.017609</v>
      </c>
      <c r="P91">
        <f>[7]gpt4omini_single_100_2!L90</f>
        <v>-0.739228</v>
      </c>
      <c r="Q91">
        <f>[8]gpt4omini_single_100_2!L90</f>
        <v>-0.68435599999999996</v>
      </c>
      <c r="R91" s="11">
        <f>[9]gpt4omini_single_100_2!L90</f>
        <v>-1.0558529999999999</v>
      </c>
    </row>
    <row r="92" spans="1:18" x14ac:dyDescent="0.2">
      <c r="A92" s="12">
        <v>89</v>
      </c>
      <c r="B92">
        <f>[5]gpt4omini_single_100!L91</f>
        <v>-0.57799599999999995</v>
      </c>
      <c r="C92">
        <f>[6]gpt4omini_single_100!L91</f>
        <v>-8.8170000000000002E-3</v>
      </c>
      <c r="D92">
        <f>[7]gpt4omini_single_100!L91</f>
        <v>0.249699</v>
      </c>
      <c r="E92">
        <f>[8]gpt4omini_single_100!L91</f>
        <v>0.60869399999999996</v>
      </c>
      <c r="F92" s="11">
        <f>[9]gpt4omini_single_100!L91</f>
        <v>-0.61631800000000003</v>
      </c>
      <c r="M92" s="12">
        <v>89</v>
      </c>
      <c r="N92">
        <f>[5]gpt4omini_single_100_2!L91</f>
        <v>-1.082875</v>
      </c>
      <c r="O92">
        <f>[6]gpt4omini_single_100_2!L91</f>
        <v>-1.0032939999999999</v>
      </c>
      <c r="P92">
        <f>[7]gpt4omini_single_100_2!L91</f>
        <v>-0.75831599999999999</v>
      </c>
      <c r="Q92">
        <f>[8]gpt4omini_single_100_2!L91</f>
        <v>-0.63835900000000001</v>
      </c>
      <c r="R92" s="11">
        <f>[9]gpt4omini_single_100_2!L91</f>
        <v>-1.075483</v>
      </c>
    </row>
    <row r="93" spans="1:18" x14ac:dyDescent="0.2">
      <c r="A93" s="12">
        <v>90</v>
      </c>
      <c r="B93">
        <f>[5]gpt4omini_single_100!L92</f>
        <v>-0.57972699999999999</v>
      </c>
      <c r="C93">
        <f>[6]gpt4omini_single_100!L92</f>
        <v>-2.6339000000000001E-2</v>
      </c>
      <c r="D93">
        <f>[7]gpt4omini_single_100!L92</f>
        <v>0.22913600000000001</v>
      </c>
      <c r="E93">
        <f>[8]gpt4omini_single_100!L92</f>
        <v>0.61405500000000002</v>
      </c>
      <c r="F93" s="11">
        <f>[9]gpt4omini_single_100!L92</f>
        <v>-0.62262099999999998</v>
      </c>
      <c r="M93" s="12">
        <v>90</v>
      </c>
      <c r="N93">
        <f>[5]gpt4omini_single_100_2!L92</f>
        <v>-1.0928629999999999</v>
      </c>
      <c r="O93">
        <f>[6]gpt4omini_single_100_2!L92</f>
        <v>-1.014726</v>
      </c>
      <c r="P93">
        <f>[7]gpt4omini_single_100_2!L92</f>
        <v>-0.77681599999999995</v>
      </c>
      <c r="Q93">
        <f>[8]gpt4omini_single_100_2!L92</f>
        <v>-0.66914099999999999</v>
      </c>
      <c r="R93" s="11">
        <f>[9]gpt4omini_single_100_2!L92</f>
        <v>-1.0898969999999999</v>
      </c>
    </row>
    <row r="94" spans="1:18" x14ac:dyDescent="0.2">
      <c r="A94" s="12">
        <v>91</v>
      </c>
      <c r="B94">
        <f>[5]gpt4omini_single_100!L93</f>
        <v>-0.60439900000000002</v>
      </c>
      <c r="C94">
        <f>[6]gpt4omini_single_100!L93</f>
        <v>-3.0064E-2</v>
      </c>
      <c r="D94">
        <f>[7]gpt4omini_single_100!L93</f>
        <v>0.239506</v>
      </c>
      <c r="E94">
        <f>[8]gpt4omini_single_100!L93</f>
        <v>0.60801499999999997</v>
      </c>
      <c r="F94" s="11">
        <f>[9]gpt4omini_single_100!L93</f>
        <v>-0.64354500000000003</v>
      </c>
      <c r="M94" s="12">
        <v>91</v>
      </c>
      <c r="N94">
        <f>[5]gpt4omini_single_100_2!L93</f>
        <v>-1.126217</v>
      </c>
      <c r="O94">
        <f>[6]gpt4omini_single_100_2!L93</f>
        <v>-1.0414369999999999</v>
      </c>
      <c r="P94">
        <f>[7]gpt4omini_single_100_2!L93</f>
        <v>-0.78801100000000002</v>
      </c>
      <c r="Q94">
        <f>[8]gpt4omini_single_100_2!L93</f>
        <v>-0.69115499999999996</v>
      </c>
      <c r="R94" s="11">
        <f>[9]gpt4omini_single_100_2!L93</f>
        <v>-1.080894</v>
      </c>
    </row>
    <row r="95" spans="1:18" x14ac:dyDescent="0.2">
      <c r="A95" s="12">
        <v>92</v>
      </c>
      <c r="B95">
        <f>[5]gpt4omini_single_100!L94</f>
        <v>-0.60814299999999999</v>
      </c>
      <c r="C95">
        <f>[6]gpt4omini_single_100!L94</f>
        <v>-3.3260999999999999E-2</v>
      </c>
      <c r="D95">
        <f>[7]gpt4omini_single_100!L94</f>
        <v>0.23149600000000001</v>
      </c>
      <c r="E95">
        <f>[8]gpt4omini_single_100!L94</f>
        <v>0.61709800000000004</v>
      </c>
      <c r="F95" s="11">
        <f>[9]gpt4omini_single_100!L94</f>
        <v>-0.64471800000000001</v>
      </c>
      <c r="M95" s="12">
        <v>92</v>
      </c>
      <c r="N95">
        <f>[5]gpt4omini_single_100_2!L94</f>
        <v>-1.139559</v>
      </c>
      <c r="O95">
        <f>[6]gpt4omini_single_100_2!L94</f>
        <v>-1.049533</v>
      </c>
      <c r="P95">
        <f>[7]gpt4omini_single_100_2!L94</f>
        <v>-0.79188599999999998</v>
      </c>
      <c r="Q95">
        <f>[8]gpt4omini_single_100_2!L94</f>
        <v>-0.70630800000000005</v>
      </c>
      <c r="R95" s="11">
        <f>[9]gpt4omini_single_100_2!L94</f>
        <v>-1.0838540000000001</v>
      </c>
    </row>
    <row r="96" spans="1:18" x14ac:dyDescent="0.2">
      <c r="A96" s="12">
        <v>93</v>
      </c>
      <c r="B96">
        <f>[5]gpt4omini_single_100!L95</f>
        <v>-0.61302999999999996</v>
      </c>
      <c r="C96">
        <f>[6]gpt4omini_single_100!L95</f>
        <v>-2.5793E-2</v>
      </c>
      <c r="D96">
        <f>[7]gpt4omini_single_100!L95</f>
        <v>0.24496899999999999</v>
      </c>
      <c r="E96">
        <f>[8]gpt4omini_single_100!L95</f>
        <v>0.62547600000000003</v>
      </c>
      <c r="F96" s="11">
        <f>[9]gpt4omini_single_100!L95</f>
        <v>-0.63893299999999997</v>
      </c>
      <c r="M96" s="12">
        <v>93</v>
      </c>
      <c r="N96">
        <f>[5]gpt4omini_single_100_2!L95</f>
        <v>-1.144188</v>
      </c>
      <c r="O96">
        <f>[6]gpt4omini_single_100_2!L95</f>
        <v>-1.0250950000000001</v>
      </c>
      <c r="P96">
        <f>[7]gpt4omini_single_100_2!L95</f>
        <v>-0.77707000000000004</v>
      </c>
      <c r="Q96">
        <f>[8]gpt4omini_single_100_2!L95</f>
        <v>-0.69347999999999999</v>
      </c>
      <c r="R96" s="11">
        <f>[9]gpt4omini_single_100_2!L95</f>
        <v>-1.0585370000000001</v>
      </c>
    </row>
    <row r="97" spans="1:18" x14ac:dyDescent="0.2">
      <c r="A97" s="12">
        <v>94</v>
      </c>
      <c r="B97">
        <f>[5]gpt4omini_single_100!L96</f>
        <v>-0.61558999999999997</v>
      </c>
      <c r="C97">
        <f>[6]gpt4omini_single_100!L96</f>
        <v>-3.1919000000000003E-2</v>
      </c>
      <c r="D97">
        <f>[7]gpt4omini_single_100!L96</f>
        <v>0.24191799999999999</v>
      </c>
      <c r="E97">
        <f>[8]gpt4omini_single_100!L96</f>
        <v>0.61411700000000002</v>
      </c>
      <c r="F97" s="11">
        <f>[9]gpt4omini_single_100!L96</f>
        <v>-0.65803400000000001</v>
      </c>
      <c r="M97" s="12">
        <v>94</v>
      </c>
      <c r="N97">
        <f>[5]gpt4omini_single_100_2!L96</f>
        <v>-1.149017</v>
      </c>
      <c r="O97">
        <f>[6]gpt4omini_single_100_2!L96</f>
        <v>-1.0584549999999999</v>
      </c>
      <c r="P97">
        <f>[7]gpt4omini_single_100_2!L96</f>
        <v>-0.80386800000000003</v>
      </c>
      <c r="Q97">
        <f>[8]gpt4omini_single_100_2!L96</f>
        <v>-0.71768600000000005</v>
      </c>
      <c r="R97" s="11">
        <f>[9]gpt4omini_single_100_2!L96</f>
        <v>-1.085081</v>
      </c>
    </row>
    <row r="98" spans="1:18" x14ac:dyDescent="0.2">
      <c r="A98" s="12">
        <v>95</v>
      </c>
      <c r="B98">
        <f>[5]gpt4omini_single_100!L97</f>
        <v>-0.624054</v>
      </c>
      <c r="C98">
        <f>[6]gpt4omini_single_100!L97</f>
        <v>-5.2558000000000001E-2</v>
      </c>
      <c r="D98">
        <f>[7]gpt4omini_single_100!L97</f>
        <v>0.23647299999999999</v>
      </c>
      <c r="E98">
        <f>[8]gpt4omini_single_100!L97</f>
        <v>0.640463</v>
      </c>
      <c r="F98" s="11">
        <f>[9]gpt4omini_single_100!L97</f>
        <v>-0.65356099999999995</v>
      </c>
      <c r="M98" s="12">
        <v>95</v>
      </c>
      <c r="N98">
        <f>[5]gpt4omini_single_100_2!L97</f>
        <v>-1.162102</v>
      </c>
      <c r="O98">
        <f>[6]gpt4omini_single_100_2!L97</f>
        <v>-1.061248</v>
      </c>
      <c r="P98">
        <f>[7]gpt4omini_single_100_2!L97</f>
        <v>-0.80167900000000003</v>
      </c>
      <c r="Q98">
        <f>[8]gpt4omini_single_100_2!L97</f>
        <v>-0.74484899999999998</v>
      </c>
      <c r="R98" s="11">
        <f>[9]gpt4omini_single_100_2!L97</f>
        <v>-1.078031</v>
      </c>
    </row>
    <row r="99" spans="1:18" x14ac:dyDescent="0.2">
      <c r="A99" s="12">
        <v>96</v>
      </c>
      <c r="B99">
        <f>[5]gpt4omini_single_100!L98</f>
        <v>-0.62823899999999999</v>
      </c>
      <c r="C99">
        <f>[6]gpt4omini_single_100!L98</f>
        <v>-5.6292000000000002E-2</v>
      </c>
      <c r="D99">
        <f>[7]gpt4omini_single_100!L98</f>
        <v>0.23425099999999999</v>
      </c>
      <c r="E99">
        <f>[8]gpt4omini_single_100!L98</f>
        <v>0.62914199999999998</v>
      </c>
      <c r="F99" s="11">
        <f>[9]gpt4omini_single_100!L98</f>
        <v>-0.65806399999999998</v>
      </c>
      <c r="M99" s="12">
        <v>96</v>
      </c>
      <c r="N99">
        <f>[5]gpt4omini_single_100_2!L98</f>
        <v>-1.177997</v>
      </c>
      <c r="O99">
        <f>[6]gpt4omini_single_100_2!L98</f>
        <v>-1.0868500000000001</v>
      </c>
      <c r="P99">
        <f>[7]gpt4omini_single_100_2!L98</f>
        <v>-0.81172500000000003</v>
      </c>
      <c r="Q99">
        <f>[8]gpt4omini_single_100_2!L98</f>
        <v>-0.73404000000000003</v>
      </c>
      <c r="R99" s="11">
        <f>[9]gpt4omini_single_100_2!L98</f>
        <v>-1.093186</v>
      </c>
    </row>
    <row r="100" spans="1:18" x14ac:dyDescent="0.2">
      <c r="A100" s="12">
        <v>97</v>
      </c>
      <c r="B100">
        <f>[5]gpt4omini_single_100!L99</f>
        <v>-0.63127</v>
      </c>
      <c r="C100">
        <f>[6]gpt4omini_single_100!L99</f>
        <v>-5.4543000000000001E-2</v>
      </c>
      <c r="D100">
        <f>[7]gpt4omini_single_100!L99</f>
        <v>0.23454900000000001</v>
      </c>
      <c r="E100">
        <f>[8]gpt4omini_single_100!L99</f>
        <v>0.66372799999999998</v>
      </c>
      <c r="F100" s="11">
        <f>[9]gpt4omini_single_100!L99</f>
        <v>-0.65870499999999998</v>
      </c>
      <c r="M100" s="12">
        <v>97</v>
      </c>
      <c r="N100">
        <f>[5]gpt4omini_single_100_2!L99</f>
        <v>-1.180947</v>
      </c>
      <c r="O100">
        <f>[6]gpt4omini_single_100_2!L99</f>
        <v>-1.0946959999999999</v>
      </c>
      <c r="P100">
        <f>[7]gpt4omini_single_100_2!L99</f>
        <v>-0.81866300000000003</v>
      </c>
      <c r="Q100">
        <f>[8]gpt4omini_single_100_2!L99</f>
        <v>-0.76424700000000001</v>
      </c>
      <c r="R100" s="11">
        <f>[9]gpt4omini_single_100_2!L99</f>
        <v>-1.1125659999999999</v>
      </c>
    </row>
    <row r="101" spans="1:18" x14ac:dyDescent="0.2">
      <c r="A101" s="12">
        <v>98</v>
      </c>
      <c r="B101">
        <f>[5]gpt4omini_single_100!L100</f>
        <v>-0.63309499999999996</v>
      </c>
      <c r="C101">
        <f>[6]gpt4omini_single_100!L100</f>
        <v>-6.2447000000000003E-2</v>
      </c>
      <c r="D101">
        <f>[7]gpt4omini_single_100!L100</f>
        <v>0.223972</v>
      </c>
      <c r="E101">
        <f>[8]gpt4omini_single_100!L100</f>
        <v>0.65401399999999998</v>
      </c>
      <c r="F101" s="11">
        <f>[9]gpt4omini_single_100!L100</f>
        <v>-0.65953200000000001</v>
      </c>
      <c r="M101" s="12">
        <v>98</v>
      </c>
      <c r="N101">
        <f>[5]gpt4omini_single_100_2!L100</f>
        <v>-1.168293</v>
      </c>
      <c r="O101">
        <f>[6]gpt4omini_single_100_2!L100</f>
        <v>-1.0848629999999999</v>
      </c>
      <c r="P101">
        <f>[7]gpt4omini_single_100_2!L100</f>
        <v>-0.82408499999999996</v>
      </c>
      <c r="Q101">
        <f>[8]gpt4omini_single_100_2!L100</f>
        <v>-0.78142800000000001</v>
      </c>
      <c r="R101" s="11">
        <f>[9]gpt4omini_single_100_2!L100</f>
        <v>-1.0953489999999999</v>
      </c>
    </row>
    <row r="102" spans="1:18" x14ac:dyDescent="0.2">
      <c r="A102" s="12">
        <v>99</v>
      </c>
      <c r="B102">
        <f>[5]gpt4omini_single_100!L101</f>
        <v>-0.63656599999999997</v>
      </c>
      <c r="C102">
        <f>[6]gpt4omini_single_100!L101</f>
        <v>-6.5541000000000002E-2</v>
      </c>
      <c r="D102">
        <f>[7]gpt4omini_single_100!L101</f>
        <v>0.23002900000000001</v>
      </c>
      <c r="E102">
        <f>[8]gpt4omini_single_100!L101</f>
        <v>0.67313599999999996</v>
      </c>
      <c r="F102" s="11">
        <f>[9]gpt4omini_single_100!L101</f>
        <v>-0.66933799999999999</v>
      </c>
      <c r="M102" s="12">
        <v>99</v>
      </c>
      <c r="N102">
        <f>[5]gpt4omini_single_100_2!L101</f>
        <v>-1.188823</v>
      </c>
      <c r="O102">
        <f>[6]gpt4omini_single_100_2!L101</f>
        <v>-1.115451</v>
      </c>
      <c r="P102">
        <f>[7]gpt4omini_single_100_2!L101</f>
        <v>-0.83884199999999998</v>
      </c>
      <c r="Q102">
        <f>[8]gpt4omini_single_100_2!L101</f>
        <v>-0.80385799999999996</v>
      </c>
      <c r="R102" s="11">
        <f>[9]gpt4omini_single_100_2!L101</f>
        <v>-1.1221289999999999</v>
      </c>
    </row>
    <row r="103" spans="1:18" x14ac:dyDescent="0.2">
      <c r="A103" s="12">
        <v>100</v>
      </c>
      <c r="B103">
        <f>[5]gpt4omini_single_100!L102</f>
        <v>-0.63621700000000003</v>
      </c>
      <c r="C103">
        <f>[6]gpt4omini_single_100!L102</f>
        <v>-6.9587999999999997E-2</v>
      </c>
      <c r="D103">
        <f>[7]gpt4omini_single_100!L102</f>
        <v>0.21617</v>
      </c>
      <c r="E103">
        <f>[8]gpt4omini_single_100!L102</f>
        <v>0.64480199999999999</v>
      </c>
      <c r="F103" s="11">
        <f>[9]gpt4omini_single_100!L102</f>
        <v>-0.65888199999999997</v>
      </c>
      <c r="M103" s="12">
        <v>100</v>
      </c>
      <c r="N103">
        <f>[5]gpt4omini_single_100_2!L102</f>
        <v>-1.1682490000000001</v>
      </c>
      <c r="O103">
        <f>[6]gpt4omini_single_100_2!L102</f>
        <v>-1.10232</v>
      </c>
      <c r="P103">
        <f>[7]gpt4omini_single_100_2!L102</f>
        <v>-0.82979400000000003</v>
      </c>
      <c r="Q103">
        <f>[8]gpt4omini_single_100_2!L102</f>
        <v>-0.80690899999999999</v>
      </c>
      <c r="R103" s="11">
        <f>[9]gpt4omini_single_100_2!L102</f>
        <v>-1.104663</v>
      </c>
    </row>
  </sheetData>
  <mergeCells count="4">
    <mergeCell ref="S1:X1"/>
    <mergeCell ref="M1:R1"/>
    <mergeCell ref="G1:L1"/>
    <mergeCell ref="A1:F1"/>
  </mergeCells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6FE7-A6CD-1446-A7A0-2E8140A93FF0}">
  <dimension ref="A1:N39"/>
  <sheetViews>
    <sheetView topLeftCell="A4" zoomScale="125" workbookViewId="0">
      <selection activeCell="I23" sqref="I23"/>
    </sheetView>
  </sheetViews>
  <sheetFormatPr baseColWidth="10" defaultColWidth="8.83203125" defaultRowHeight="15" x14ac:dyDescent="0.2"/>
  <cols>
    <col min="1" max="1" width="25" customWidth="1"/>
    <col min="2" max="8" width="12" customWidth="1"/>
    <col min="9" max="9" width="18" bestFit="1" customWidth="1"/>
    <col min="12" max="12" width="8.83203125" customWidth="1"/>
    <col min="13" max="16" width="9.6640625" bestFit="1" customWidth="1"/>
  </cols>
  <sheetData>
    <row r="1" spans="1:12" ht="30" x14ac:dyDescent="0.2">
      <c r="A1" s="1"/>
      <c r="B1" s="1" t="s">
        <v>24</v>
      </c>
      <c r="C1" s="1" t="s">
        <v>19</v>
      </c>
      <c r="D1" s="1" t="s">
        <v>20</v>
      </c>
      <c r="E1" s="1" t="s">
        <v>18</v>
      </c>
      <c r="F1" s="1" t="s">
        <v>21</v>
      </c>
      <c r="G1" s="1" t="s">
        <v>22</v>
      </c>
      <c r="H1" s="1" t="s">
        <v>23</v>
      </c>
    </row>
    <row r="2" spans="1:12" x14ac:dyDescent="0.2">
      <c r="A2" s="26" t="s">
        <v>4</v>
      </c>
      <c r="B2" s="3" t="s">
        <v>0</v>
      </c>
      <c r="C2" s="5">
        <f>[10]gpt4omini_single_100!O5</f>
        <v>1</v>
      </c>
      <c r="D2" s="3">
        <f>[10]gpt4omini_single_100!O4</f>
        <v>0</v>
      </c>
      <c r="E2" s="17">
        <f>[10]gpt4omini_single_100!O6</f>
        <v>-0.66263499999999997</v>
      </c>
      <c r="F2" s="6">
        <f>[10]gpt4omini_shuffle_100!AA4</f>
        <v>1</v>
      </c>
      <c r="G2" s="6">
        <f>[10]gpt4omini_shuffle_100!AA2</f>
        <v>1</v>
      </c>
      <c r="H2" s="6">
        <f>[10]gpt4omini_shuffle_100!AA3</f>
        <v>1</v>
      </c>
    </row>
    <row r="3" spans="1:12" x14ac:dyDescent="0.2">
      <c r="A3" s="26"/>
      <c r="B3" s="3" t="s">
        <v>15</v>
      </c>
      <c r="C3" s="5">
        <f>[11]gpt4omini_single_100!O5</f>
        <v>0.57999999999999996</v>
      </c>
      <c r="D3" s="3">
        <f>[11]gpt4omini_single_100!O4</f>
        <v>42</v>
      </c>
      <c r="E3" s="17">
        <f>[11]gpt4omini_single_100!O6</f>
        <v>0.144481</v>
      </c>
      <c r="F3" s="6">
        <f>[11]gpt4omini_shuffle_100!AA4</f>
        <v>0.37433300000000003</v>
      </c>
      <c r="G3" s="6">
        <f>[11]gpt4omini_shuffle_100!AA2</f>
        <v>0.78</v>
      </c>
      <c r="H3" s="6">
        <f>[11]gpt4omini_shuffle_100!AA3</f>
        <v>0</v>
      </c>
    </row>
    <row r="4" spans="1:12" x14ac:dyDescent="0.2">
      <c r="A4" s="26"/>
      <c r="B4" s="3" t="s">
        <v>1</v>
      </c>
      <c r="C4" s="5">
        <f>[12]gpt4omini_single_100!O5</f>
        <v>0.08</v>
      </c>
      <c r="D4" s="3">
        <f>[12]gpt4omini_single_100!O4</f>
        <v>92</v>
      </c>
      <c r="E4" s="17">
        <f>[12]gpt4omini_single_100!O6</f>
        <v>0.376863</v>
      </c>
      <c r="F4" s="6">
        <f>[12]gpt4omini_shuffle_100!AA4</f>
        <v>0.113667</v>
      </c>
      <c r="G4" s="6">
        <f>[12]gpt4omini_shuffle_100!AA2</f>
        <v>0.32</v>
      </c>
      <c r="H4" s="6">
        <f>[12]gpt4omini_shuffle_100!AA3</f>
        <v>0</v>
      </c>
    </row>
    <row r="5" spans="1:12" x14ac:dyDescent="0.2">
      <c r="A5" s="26"/>
      <c r="B5" s="3" t="s">
        <v>2</v>
      </c>
      <c r="C5" s="5">
        <f>[13]gpt4omini_single_100!O5</f>
        <v>0.09</v>
      </c>
      <c r="D5" s="3">
        <f>[13]gpt4omini_single_100!O4</f>
        <v>91</v>
      </c>
      <c r="E5" s="17">
        <f>[13]gpt4omini_single_100!O6</f>
        <v>0.34220800000000001</v>
      </c>
      <c r="F5" s="6">
        <f>[13]gpt4omini_shuffle_100!AA4</f>
        <v>0.120333</v>
      </c>
      <c r="G5" s="6">
        <f>[13]gpt4omini_shuffle_100!AA2</f>
        <v>0.49</v>
      </c>
      <c r="H5" s="6">
        <f>[13]gpt4omini_shuffle_100!AA3</f>
        <v>0</v>
      </c>
    </row>
    <row r="6" spans="1:12" x14ac:dyDescent="0.2">
      <c r="A6" s="27"/>
      <c r="B6" s="7" t="s">
        <v>3</v>
      </c>
      <c r="C6" s="8">
        <f>[14]gpt4omini_single_100!O5</f>
        <v>1</v>
      </c>
      <c r="D6" s="7">
        <f>[14]gpt4omini_single_100!O4</f>
        <v>0</v>
      </c>
      <c r="E6" s="18">
        <f>[14]gpt4omini_single_100!O6</f>
        <v>-0.64491200000000004</v>
      </c>
      <c r="F6" s="9">
        <f>[14]gpt4omini_shuffle_100!AA4</f>
        <v>1</v>
      </c>
      <c r="G6" s="9">
        <f>[14]gpt4omini_shuffle_100!AA2</f>
        <v>1</v>
      </c>
      <c r="H6" s="9">
        <f>[14]gpt4omini_shuffle_100!AA3</f>
        <v>1</v>
      </c>
      <c r="L6" s="2"/>
    </row>
    <row r="7" spans="1:12" x14ac:dyDescent="0.2">
      <c r="A7" s="28" t="s">
        <v>9</v>
      </c>
      <c r="B7" s="3" t="s">
        <v>0</v>
      </c>
      <c r="C7" s="5">
        <f>[10]gpt4omini_single_60!O5</f>
        <v>1</v>
      </c>
      <c r="D7" s="3">
        <f>[10]gpt4omini_single_60!O4</f>
        <v>0</v>
      </c>
      <c r="E7" s="17">
        <f>[10]gpt4omini_single_60!O6</f>
        <v>-0.27674799999999999</v>
      </c>
      <c r="F7" s="6">
        <f>[10]gpt4omini_shuffle_60!AA4</f>
        <v>1</v>
      </c>
      <c r="G7" s="6">
        <f>[10]gpt4omini_shuffle_60!AA2</f>
        <v>1</v>
      </c>
      <c r="H7" s="6">
        <f>[10]gpt4omini_shuffle_60!AA3</f>
        <v>1</v>
      </c>
    </row>
    <row r="8" spans="1:12" x14ac:dyDescent="0.2">
      <c r="A8" s="26"/>
      <c r="B8" s="3" t="s">
        <v>14</v>
      </c>
      <c r="C8" s="5">
        <f>[11]gpt4omini_single_60!O5</f>
        <v>0.283333</v>
      </c>
      <c r="D8" s="3">
        <f>[11]gpt4omini_single_60!O4</f>
        <v>43</v>
      </c>
      <c r="E8" s="17">
        <f>[11]gpt4omini_single_60!O6</f>
        <v>0.13669000000000001</v>
      </c>
      <c r="F8" s="6">
        <f>[11]gpt4omini_shuffle_60!AA4</f>
        <v>9.3332999999999999E-2</v>
      </c>
      <c r="G8" s="6">
        <f>[11]gpt4omini_shuffle_60!AA2</f>
        <v>0.3</v>
      </c>
      <c r="H8" s="6">
        <f>[11]gpt4omini_shuffle_60!AA3</f>
        <v>0</v>
      </c>
    </row>
    <row r="9" spans="1:12" x14ac:dyDescent="0.2">
      <c r="A9" s="26"/>
      <c r="B9" s="3" t="s">
        <v>1</v>
      </c>
      <c r="C9" s="5">
        <f>[12]gpt4omini_single_60!O5</f>
        <v>0.11666700000000001</v>
      </c>
      <c r="D9" s="3">
        <f>[12]gpt4omini_single_60!O4</f>
        <v>53</v>
      </c>
      <c r="E9" s="17">
        <f>[12]gpt4omini_single_60!O6</f>
        <v>0.208563</v>
      </c>
      <c r="F9" s="6">
        <f>[12]gpt4omini_shuffle_60!AA4</f>
        <v>7.4999999999999997E-2</v>
      </c>
      <c r="G9" s="6">
        <f>[12]gpt4omini_shuffle_60!AA2</f>
        <v>0.216667</v>
      </c>
      <c r="H9" s="6">
        <f>[12]gpt4omini_shuffle_60!AA3</f>
        <v>0</v>
      </c>
    </row>
    <row r="10" spans="1:12" x14ac:dyDescent="0.2">
      <c r="A10" s="26"/>
      <c r="B10" s="3" t="s">
        <v>2</v>
      </c>
      <c r="C10" s="5">
        <f>[13]gpt4omini_single_60!O5</f>
        <v>3.3333000000000002E-2</v>
      </c>
      <c r="D10" s="3">
        <f>[13]gpt4omini_single_60!O4</f>
        <v>58</v>
      </c>
      <c r="E10" s="17">
        <f>[13]gpt4omini_single_60!O6</f>
        <v>0.168457</v>
      </c>
      <c r="F10" s="6">
        <f>[13]gpt4omini_shuffle_60!AA4</f>
        <v>7.3332999999999995E-2</v>
      </c>
      <c r="G10" s="6">
        <f>[13]gpt4omini_shuffle_60!AA2</f>
        <v>0.31666699999999998</v>
      </c>
      <c r="H10" s="6">
        <f>[13]gpt4omini_shuffle_60!AA3</f>
        <v>0</v>
      </c>
    </row>
    <row r="11" spans="1:12" x14ac:dyDescent="0.2">
      <c r="A11" s="27"/>
      <c r="B11" s="7" t="s">
        <v>3</v>
      </c>
      <c r="C11" s="8">
        <f>[14]gpt4omini_single_60!O5</f>
        <v>1</v>
      </c>
      <c r="D11" s="7">
        <f>[14]gpt4omini_single_60!O4</f>
        <v>0</v>
      </c>
      <c r="E11" s="18">
        <f>[14]gpt4omini_single_60!O6</f>
        <v>-0.25800200000000001</v>
      </c>
      <c r="F11" s="9">
        <f>[14]gpt4omini_shuffle_60!AA4</f>
        <v>1</v>
      </c>
      <c r="G11" s="9">
        <f>[14]gpt4omini_shuffle_60!AA2</f>
        <v>1</v>
      </c>
      <c r="H11" s="9">
        <f>[14]gpt4omini_shuffle_60!AA3</f>
        <v>1</v>
      </c>
    </row>
    <row r="12" spans="1:12" x14ac:dyDescent="0.2">
      <c r="A12" s="28" t="s">
        <v>10</v>
      </c>
      <c r="B12" s="3" t="s">
        <v>0</v>
      </c>
      <c r="C12" s="5">
        <f>[10]gpt4omini_single_100_2!O5</f>
        <v>1</v>
      </c>
      <c r="D12" s="3">
        <f>[10]gpt4omini_single_100_2!O4</f>
        <v>0</v>
      </c>
      <c r="E12" s="17">
        <f>[10]gpt4omini_single_100_2!O6</f>
        <v>-0.96533599999999997</v>
      </c>
      <c r="F12" s="6">
        <f>[10]gpt4omini_shuffle_100_2!AA4</f>
        <v>1</v>
      </c>
      <c r="G12" s="6">
        <f>[10]gpt4omini_shuffle_100_2!AA2</f>
        <v>1</v>
      </c>
      <c r="H12" s="6">
        <f>[10]gpt4omini_shuffle_100_2!AA3</f>
        <v>1</v>
      </c>
    </row>
    <row r="13" spans="1:12" x14ac:dyDescent="0.2">
      <c r="A13" s="26"/>
      <c r="B13" s="3" t="s">
        <v>14</v>
      </c>
      <c r="C13" s="5">
        <f>[11]gpt4omini_single_100_2!O5</f>
        <v>1</v>
      </c>
      <c r="D13" s="3">
        <f>[11]gpt4omini_single_100_2!O4</f>
        <v>0</v>
      </c>
      <c r="E13" s="17">
        <f>[11]gpt4omini_single_100_2!O6</f>
        <v>-0.85173100000000002</v>
      </c>
      <c r="F13" s="6">
        <f>[11]gpt4omini_shuffle_100_2!AA4</f>
        <v>0.999</v>
      </c>
      <c r="G13" s="6">
        <f>[11]gpt4omini_shuffle_100_2!AA2</f>
        <v>1</v>
      </c>
      <c r="H13" s="6">
        <f>[11]gpt4omini_shuffle_100_2!AA3</f>
        <v>0.98</v>
      </c>
    </row>
    <row r="14" spans="1:12" x14ac:dyDescent="0.2">
      <c r="A14" s="26"/>
      <c r="B14" s="3" t="s">
        <v>1</v>
      </c>
      <c r="C14" s="5">
        <f>[12]gpt4omini_single_100_2!O5</f>
        <v>1</v>
      </c>
      <c r="D14" s="3">
        <f>[12]gpt4omini_single_100_2!O4</f>
        <v>0</v>
      </c>
      <c r="E14" s="17">
        <f>[12]gpt4omini_single_100_2!O6</f>
        <v>-0.68309600000000004</v>
      </c>
      <c r="F14" s="6">
        <f>[12]gpt4omini_shuffle_100_2!AA4</f>
        <v>0.99099999999999999</v>
      </c>
      <c r="G14" s="6">
        <f>[12]gpt4omini_shuffle_100_2!AA2</f>
        <v>1</v>
      </c>
      <c r="H14" s="6">
        <f>[12]gpt4omini_shuffle_100_2!AA3</f>
        <v>0.92</v>
      </c>
    </row>
    <row r="15" spans="1:12" x14ac:dyDescent="0.2">
      <c r="A15" s="26"/>
      <c r="B15" s="3" t="s">
        <v>2</v>
      </c>
      <c r="C15" s="5">
        <f>[13]gpt4omini_single_100_2!O5</f>
        <v>1</v>
      </c>
      <c r="D15" s="3">
        <f>[13]gpt4omini_single_100_2!O4</f>
        <v>0</v>
      </c>
      <c r="E15" s="17">
        <f>[13]gpt4omini_single_100_2!O6</f>
        <v>-0.54631700000000005</v>
      </c>
      <c r="F15" s="6">
        <f>[13]gpt4omini_shuffle_100_2!AA4</f>
        <v>0.98899999999999999</v>
      </c>
      <c r="G15" s="6">
        <f>[13]gpt4omini_shuffle_100_2!AA2</f>
        <v>1</v>
      </c>
      <c r="H15" s="6">
        <f>[13]gpt4omini_shuffle_100_2!AA3</f>
        <v>0.84</v>
      </c>
    </row>
    <row r="16" spans="1:12" x14ac:dyDescent="0.2">
      <c r="A16" s="27"/>
      <c r="B16" s="7" t="s">
        <v>3</v>
      </c>
      <c r="C16" s="8">
        <f>[14]gpt4omini_single_100_2!O5</f>
        <v>1</v>
      </c>
      <c r="D16" s="7">
        <f>[14]gpt4omini_single_100_2!O4</f>
        <v>0</v>
      </c>
      <c r="E16" s="18">
        <f>[14]gpt4omini_single_100_2!O6</f>
        <v>-0.91516299999999995</v>
      </c>
      <c r="F16" s="9">
        <f>[14]gpt4omini_shuffle_100_2!AA4</f>
        <v>1</v>
      </c>
      <c r="G16" s="9">
        <f>[14]gpt4omini_shuffle_100_2!AA2</f>
        <v>1</v>
      </c>
      <c r="H16" s="9">
        <f>[14]gpt4omini_shuffle_100_2!AA3</f>
        <v>1</v>
      </c>
    </row>
    <row r="17" spans="1:8" x14ac:dyDescent="0.2">
      <c r="A17" s="28" t="s">
        <v>11</v>
      </c>
      <c r="B17" s="3" t="s">
        <v>0</v>
      </c>
      <c r="C17" s="5">
        <f>[10]gpt4omini_single_60_2!O5</f>
        <v>1</v>
      </c>
      <c r="D17" s="3">
        <f>[10]gpt4omini_single_60_2!O4</f>
        <v>0</v>
      </c>
      <c r="E17" s="17">
        <f>[10]gpt4omini_single_60_2!O6</f>
        <v>-0.48918099999999998</v>
      </c>
      <c r="F17" s="6">
        <f>[10]gpt4omini_shuffle_60_2!AA4</f>
        <v>1</v>
      </c>
      <c r="G17" s="6">
        <f>[10]gpt4omini_shuffle_60_2!AA2</f>
        <v>1</v>
      </c>
      <c r="H17" s="6">
        <f>[10]gpt4omini_shuffle_60_2!AA3</f>
        <v>1</v>
      </c>
    </row>
    <row r="18" spans="1:8" x14ac:dyDescent="0.2">
      <c r="A18" s="26"/>
      <c r="B18" s="3" t="s">
        <v>14</v>
      </c>
      <c r="C18" s="5">
        <f>[11]gpt4omini_single_60_2!O5</f>
        <v>1</v>
      </c>
      <c r="D18" s="3">
        <f>[11]gpt4omini_single_60_2!O4</f>
        <v>0</v>
      </c>
      <c r="E18" s="17">
        <f>[11]gpt4omini_single_60_2!O6</f>
        <v>-0.25151000000000001</v>
      </c>
      <c r="F18" s="6">
        <f>[11]gpt4omini_shuffle_60_2!AA4</f>
        <v>0.98166699999999996</v>
      </c>
      <c r="G18" s="6">
        <f>[11]gpt4omini_shuffle_60_2!AA2</f>
        <v>1</v>
      </c>
      <c r="H18" s="6">
        <f>[11]gpt4omini_shuffle_60_2!AA3</f>
        <v>0.9</v>
      </c>
    </row>
    <row r="19" spans="1:8" x14ac:dyDescent="0.2">
      <c r="A19" s="26"/>
      <c r="B19" s="3" t="s">
        <v>1</v>
      </c>
      <c r="C19" s="5">
        <f>[12]gpt4omini_single_60_2!O5</f>
        <v>1</v>
      </c>
      <c r="D19" s="3">
        <f>[12]gpt4omini_single_60_2!O4</f>
        <v>0</v>
      </c>
      <c r="E19" s="17">
        <f>[12]gpt4omini_single_60_2!O6</f>
        <v>-7.3568999999999996E-2</v>
      </c>
      <c r="F19" s="6">
        <f>[12]gpt4omini_shuffle_60_2!AA4</f>
        <v>0.89833300000000005</v>
      </c>
      <c r="G19" s="6">
        <f>[12]gpt4omini_shuffle_60_2!AA2</f>
        <v>1</v>
      </c>
      <c r="H19" s="6">
        <f>[12]gpt4omini_shuffle_60_2!AA3</f>
        <v>0.5</v>
      </c>
    </row>
    <row r="20" spans="1:8" x14ac:dyDescent="0.2">
      <c r="A20" s="26"/>
      <c r="B20" s="3" t="s">
        <v>2</v>
      </c>
      <c r="C20" s="5">
        <f>[13]gpt4omini_single_60_2!O5</f>
        <v>0.96666700000000005</v>
      </c>
      <c r="D20" s="3">
        <f>[13]gpt4omini_single_60_2!O4</f>
        <v>2</v>
      </c>
      <c r="E20" s="17">
        <f>[13]gpt4omini_single_60_2!O6</f>
        <v>-0.14432600000000001</v>
      </c>
      <c r="F20" s="6">
        <f>[13]gpt4omini_shuffle_60_2!AA4</f>
        <v>0.92500000000000004</v>
      </c>
      <c r="G20" s="6">
        <f>[13]gpt4omini_shuffle_60_2!AA2</f>
        <v>1</v>
      </c>
      <c r="H20" s="6">
        <f>[13]gpt4omini_shuffle_60_2!AA3</f>
        <v>0.68333299999999997</v>
      </c>
    </row>
    <row r="21" spans="1:8" x14ac:dyDescent="0.2">
      <c r="A21" s="26"/>
      <c r="B21" s="3" t="s">
        <v>3</v>
      </c>
      <c r="C21" s="5">
        <f>[14]gpt4omini_single_60_2!O5</f>
        <v>1</v>
      </c>
      <c r="D21" s="3">
        <f>[14]gpt4omini_single_60_2!O4</f>
        <v>0</v>
      </c>
      <c r="E21" s="17">
        <f>[14]gpt4omini_single_60_2!O6</f>
        <v>-0.41546899999999998</v>
      </c>
      <c r="F21" s="6">
        <f>[14]gpt4omini_shuffle_60_2!AA4</f>
        <v>1</v>
      </c>
      <c r="G21" s="6">
        <f>[14]gpt4omini_shuffle_60_2!AA2</f>
        <v>1</v>
      </c>
      <c r="H21" s="6">
        <f>[14]gpt4omini_shuffle_60_2!AA3</f>
        <v>1</v>
      </c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4"/>
    </row>
    <row r="25" spans="1:8" x14ac:dyDescent="0.2">
      <c r="A25" s="4"/>
    </row>
    <row r="26" spans="1:8" x14ac:dyDescent="0.2">
      <c r="A26" s="4"/>
    </row>
    <row r="27" spans="1:8" x14ac:dyDescent="0.2">
      <c r="A27" s="4"/>
    </row>
    <row r="28" spans="1:8" x14ac:dyDescent="0.2">
      <c r="A28" s="4"/>
    </row>
    <row r="29" spans="1:8" x14ac:dyDescent="0.2">
      <c r="A29" s="4"/>
      <c r="B29" s="3"/>
      <c r="C29" s="3"/>
      <c r="D29" s="3"/>
      <c r="E29" s="3"/>
      <c r="F29" s="3"/>
      <c r="G29" s="3"/>
      <c r="H29" s="3"/>
    </row>
    <row r="30" spans="1:8" x14ac:dyDescent="0.2">
      <c r="A30" s="4"/>
      <c r="B30" s="3"/>
      <c r="C30" s="3"/>
      <c r="D30" s="3"/>
      <c r="E30" s="3"/>
      <c r="F30" s="3"/>
      <c r="G30" s="3"/>
      <c r="H30" s="3"/>
    </row>
    <row r="31" spans="1:8" x14ac:dyDescent="0.2">
      <c r="A31" s="4"/>
      <c r="B31" s="3"/>
      <c r="C31" s="3"/>
      <c r="D31" s="3"/>
      <c r="E31" s="3"/>
      <c r="F31" s="3"/>
      <c r="G31" s="3"/>
      <c r="H31" s="3"/>
    </row>
    <row r="32" spans="1:8" x14ac:dyDescent="0.2">
      <c r="A32" s="4"/>
      <c r="B32" s="3"/>
      <c r="C32" s="3"/>
      <c r="D32" s="3"/>
      <c r="E32" s="3"/>
      <c r="F32" s="3"/>
      <c r="G32" s="3"/>
      <c r="H32" s="3"/>
    </row>
    <row r="33" spans="1:14" x14ac:dyDescent="0.2">
      <c r="A33" s="4"/>
      <c r="B33" s="3"/>
      <c r="C33" s="3"/>
      <c r="D33" s="3"/>
      <c r="E33" s="3"/>
      <c r="F33" s="3"/>
      <c r="G33" s="3"/>
      <c r="H33" s="3"/>
    </row>
    <row r="34" spans="1:14" x14ac:dyDescent="0.2">
      <c r="A34" s="4"/>
      <c r="B34" s="3"/>
      <c r="C34" s="3"/>
      <c r="D34" s="3"/>
      <c r="E34" s="3"/>
      <c r="F34" s="3"/>
      <c r="G34" s="3"/>
      <c r="H34" s="3"/>
      <c r="I34" s="16" t="s">
        <v>13</v>
      </c>
      <c r="J34" s="19" t="s">
        <v>0</v>
      </c>
      <c r="K34" s="19" t="s">
        <v>14</v>
      </c>
      <c r="L34" s="19" t="s">
        <v>1</v>
      </c>
      <c r="M34" s="19" t="s">
        <v>2</v>
      </c>
      <c r="N34" s="19" t="s">
        <v>3</v>
      </c>
    </row>
    <row r="35" spans="1:14" x14ac:dyDescent="0.2">
      <c r="A35" s="4"/>
      <c r="B35" s="3"/>
      <c r="C35" s="3"/>
      <c r="D35" s="3"/>
      <c r="E35" s="3"/>
      <c r="F35" s="3"/>
      <c r="G35" s="3"/>
      <c r="H35" s="3"/>
      <c r="I35" s="19" t="s">
        <v>5</v>
      </c>
      <c r="J35" s="10">
        <f>E2</f>
        <v>-0.66263499999999997</v>
      </c>
      <c r="K35" s="10">
        <f>E3</f>
        <v>0.144481</v>
      </c>
      <c r="L35" s="10">
        <f>E4</f>
        <v>0.376863</v>
      </c>
      <c r="M35" s="10">
        <f>E5</f>
        <v>0.34220800000000001</v>
      </c>
      <c r="N35" s="10">
        <f>E6</f>
        <v>-0.64491200000000004</v>
      </c>
    </row>
    <row r="36" spans="1:14" x14ac:dyDescent="0.2">
      <c r="A36" s="4"/>
      <c r="B36" s="3"/>
      <c r="C36" s="3"/>
      <c r="D36" s="3"/>
      <c r="E36" s="3"/>
      <c r="F36" s="3"/>
      <c r="G36" s="3"/>
      <c r="H36" s="3"/>
      <c r="I36" s="19" t="s">
        <v>6</v>
      </c>
      <c r="J36" s="10">
        <f>E7</f>
        <v>-0.27674799999999999</v>
      </c>
      <c r="K36" s="10">
        <f>E8</f>
        <v>0.13669000000000001</v>
      </c>
      <c r="L36" s="10">
        <f>E9</f>
        <v>0.208563</v>
      </c>
      <c r="M36" s="10">
        <f>E10</f>
        <v>0.168457</v>
      </c>
      <c r="N36" s="10">
        <f>E11</f>
        <v>-0.25800200000000001</v>
      </c>
    </row>
    <row r="37" spans="1:14" x14ac:dyDescent="0.2">
      <c r="A37" s="4"/>
      <c r="B37" s="3"/>
      <c r="C37" s="3"/>
      <c r="D37" s="3"/>
      <c r="E37" s="3"/>
      <c r="F37" s="3"/>
      <c r="G37" s="3"/>
      <c r="H37" s="3"/>
      <c r="I37" s="19" t="s">
        <v>7</v>
      </c>
      <c r="J37" s="10">
        <f>E12</f>
        <v>-0.96533599999999997</v>
      </c>
      <c r="K37" s="10">
        <f>E13</f>
        <v>-0.85173100000000002</v>
      </c>
      <c r="L37" s="10">
        <f>E14</f>
        <v>-0.68309600000000004</v>
      </c>
      <c r="M37" s="10">
        <f>E15</f>
        <v>-0.54631700000000005</v>
      </c>
      <c r="N37" s="10">
        <f>E16</f>
        <v>-0.91516299999999995</v>
      </c>
    </row>
    <row r="38" spans="1:14" x14ac:dyDescent="0.2">
      <c r="A38" s="4"/>
      <c r="B38" s="3"/>
      <c r="C38" s="3"/>
      <c r="D38" s="3"/>
      <c r="E38" s="3"/>
      <c r="F38" s="3"/>
      <c r="G38" s="3"/>
      <c r="H38" s="3"/>
      <c r="I38" s="19" t="s">
        <v>8</v>
      </c>
      <c r="J38" s="10">
        <f>E17</f>
        <v>-0.48918099999999998</v>
      </c>
      <c r="K38" s="10">
        <f>E18</f>
        <v>-0.25151000000000001</v>
      </c>
      <c r="L38" s="10">
        <f>E19</f>
        <v>-7.3568999999999996E-2</v>
      </c>
      <c r="M38" s="10">
        <f>E20</f>
        <v>-0.14432600000000001</v>
      </c>
      <c r="N38" s="10">
        <f>E21</f>
        <v>-0.41546899999999998</v>
      </c>
    </row>
    <row r="39" spans="1:14" x14ac:dyDescent="0.2">
      <c r="A39" s="4"/>
      <c r="B39" s="3"/>
      <c r="C39" s="3"/>
      <c r="D39" s="3"/>
      <c r="E39" s="3"/>
      <c r="F39" s="3"/>
      <c r="G39" s="3"/>
      <c r="H39" s="3"/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7712-6E2C-ED4C-8307-E81C7C002F53}">
  <dimension ref="A1:X103"/>
  <sheetViews>
    <sheetView topLeftCell="P1" zoomScale="125" zoomScaleNormal="167" workbookViewId="0">
      <selection activeCell="Y1" sqref="Y1"/>
    </sheetView>
  </sheetViews>
  <sheetFormatPr baseColWidth="10" defaultColWidth="8.83203125" defaultRowHeight="15" x14ac:dyDescent="0.2"/>
  <sheetData>
    <row r="1" spans="1:24" x14ac:dyDescent="0.2">
      <c r="A1" s="32" t="s">
        <v>4</v>
      </c>
      <c r="B1" s="31"/>
      <c r="C1" s="31"/>
      <c r="D1" s="31"/>
      <c r="E1" s="31"/>
      <c r="F1" s="33"/>
      <c r="G1" s="31" t="s">
        <v>9</v>
      </c>
      <c r="H1" s="31"/>
      <c r="I1" s="31"/>
      <c r="J1" s="31"/>
      <c r="K1" s="31"/>
      <c r="L1" s="31"/>
      <c r="M1" s="32" t="s">
        <v>10</v>
      </c>
      <c r="N1" s="31"/>
      <c r="O1" s="31"/>
      <c r="P1" s="31"/>
      <c r="Q1" s="31"/>
      <c r="R1" s="33"/>
      <c r="S1" s="31" t="s">
        <v>11</v>
      </c>
      <c r="T1" s="31"/>
      <c r="U1" s="31"/>
      <c r="V1" s="31"/>
      <c r="W1" s="31"/>
      <c r="X1" s="31"/>
    </row>
    <row r="2" spans="1:24" x14ac:dyDescent="0.2">
      <c r="A2" s="13" t="s">
        <v>12</v>
      </c>
      <c r="B2" s="14" t="s">
        <v>0</v>
      </c>
      <c r="C2" s="14" t="s">
        <v>14</v>
      </c>
      <c r="D2" s="14" t="s">
        <v>1</v>
      </c>
      <c r="E2" s="14" t="s">
        <v>2</v>
      </c>
      <c r="F2" s="15" t="s">
        <v>3</v>
      </c>
      <c r="G2" s="14" t="s">
        <v>12</v>
      </c>
      <c r="H2" s="14" t="s">
        <v>0</v>
      </c>
      <c r="I2" s="14" t="s">
        <v>14</v>
      </c>
      <c r="J2" s="14" t="s">
        <v>1</v>
      </c>
      <c r="K2" s="14" t="s">
        <v>2</v>
      </c>
      <c r="L2" s="14" t="s">
        <v>3</v>
      </c>
      <c r="M2" s="13" t="s">
        <v>12</v>
      </c>
      <c r="N2" s="14" t="s">
        <v>0</v>
      </c>
      <c r="O2" s="14" t="s">
        <v>14</v>
      </c>
      <c r="P2" s="14" t="s">
        <v>1</v>
      </c>
      <c r="Q2" s="14" t="s">
        <v>2</v>
      </c>
      <c r="R2" s="15" t="s">
        <v>3</v>
      </c>
      <c r="S2" s="14" t="s">
        <v>12</v>
      </c>
      <c r="T2" s="14" t="s">
        <v>0</v>
      </c>
      <c r="U2" s="14" t="s">
        <v>14</v>
      </c>
      <c r="V2" s="14" t="s">
        <v>1</v>
      </c>
      <c r="W2" s="14" t="s">
        <v>2</v>
      </c>
      <c r="X2" s="14" t="s">
        <v>3</v>
      </c>
    </row>
    <row r="3" spans="1:24" x14ac:dyDescent="0.2">
      <c r="A3" s="12">
        <v>0</v>
      </c>
      <c r="B3">
        <f>[10]gpt4omini_single_100!L2</f>
        <v>0</v>
      </c>
      <c r="C3">
        <f>[11]gpt4omini_single_100!L2</f>
        <v>0</v>
      </c>
      <c r="D3">
        <f>[12]gpt4omini_single_100!L2</f>
        <v>0</v>
      </c>
      <c r="E3">
        <f>[13]gpt4omini_single_100!L2</f>
        <v>0</v>
      </c>
      <c r="F3" s="11">
        <f>[14]gpt4omini_single_100!L2</f>
        <v>0</v>
      </c>
      <c r="G3">
        <v>0</v>
      </c>
      <c r="H3">
        <f>[10]gpt4omini_single_60!L2</f>
        <v>0</v>
      </c>
      <c r="I3">
        <f>[11]gpt4omini_single_60!L2</f>
        <v>0</v>
      </c>
      <c r="J3">
        <f>[12]gpt4omini_single_60!L2</f>
        <v>0</v>
      </c>
      <c r="K3">
        <f>[13]gpt4omini_single_60!L2</f>
        <v>0</v>
      </c>
      <c r="L3">
        <f>[14]gpt4omini_single_60!L2</f>
        <v>0</v>
      </c>
      <c r="M3" s="12">
        <v>0</v>
      </c>
      <c r="N3">
        <f>[10]gpt4omini_single_100_2!L2</f>
        <v>0</v>
      </c>
      <c r="O3">
        <f>[11]gpt4omini_single_100_2!L2</f>
        <v>0</v>
      </c>
      <c r="P3">
        <f>[12]gpt4omini_single_100_2!L2</f>
        <v>0</v>
      </c>
      <c r="Q3">
        <f>[13]gpt4omini_single_100_2!L2</f>
        <v>0</v>
      </c>
      <c r="R3" s="11">
        <f>[14]gpt4omini_single_100_2!L2</f>
        <v>0</v>
      </c>
      <c r="S3">
        <v>0</v>
      </c>
      <c r="T3">
        <f>[10]gpt4omini_single_60_2!L2</f>
        <v>0</v>
      </c>
      <c r="U3">
        <f>[11]gpt4omini_single_60_2!L2</f>
        <v>0</v>
      </c>
      <c r="V3">
        <f>[12]gpt4omini_single_60_2!L2</f>
        <v>0</v>
      </c>
      <c r="W3">
        <f>[13]gpt4omini_single_60_2!L2</f>
        <v>0</v>
      </c>
      <c r="X3">
        <f>[14]gpt4omini_single_60_2!L2</f>
        <v>0</v>
      </c>
    </row>
    <row r="4" spans="1:24" x14ac:dyDescent="0.2">
      <c r="A4" s="12">
        <v>1</v>
      </c>
      <c r="B4">
        <f>[10]gpt4omini_single_100!L3</f>
        <v>-8.4445000000000006E-2</v>
      </c>
      <c r="C4">
        <f>[11]gpt4omini_single_100!L3</f>
        <v>0</v>
      </c>
      <c r="D4">
        <f>[12]gpt4omini_single_100!L3</f>
        <v>-4.803E-3</v>
      </c>
      <c r="E4">
        <f>[13]gpt4omini_single_100!L3</f>
        <v>-4.3019000000000002E-2</v>
      </c>
      <c r="F4" s="11">
        <f>[14]gpt4omini_single_100!L3</f>
        <v>-7.2971999999999995E-2</v>
      </c>
      <c r="G4">
        <v>1</v>
      </c>
      <c r="H4">
        <f>[10]gpt4omini_single_60!L3</f>
        <v>-2.4181999999999999E-2</v>
      </c>
      <c r="I4">
        <f>[11]gpt4omini_single_60!L3</f>
        <v>6.1899999999999998E-4</v>
      </c>
      <c r="J4">
        <f>[12]gpt4omini_single_60!L3</f>
        <v>-1.4815999999999999E-2</v>
      </c>
      <c r="K4">
        <f>[13]gpt4omini_single_60!L3</f>
        <v>1.5300000000000001E-4</v>
      </c>
      <c r="L4">
        <f>[14]gpt4omini_single_60!L3</f>
        <v>-4.6600000000000001E-3</v>
      </c>
      <c r="M4" s="12">
        <v>1</v>
      </c>
      <c r="N4">
        <f>[10]gpt4omini_single_100_2!L3</f>
        <v>-0.16297800000000001</v>
      </c>
      <c r="O4">
        <f>[11]gpt4omini_single_100_2!L3</f>
        <v>-9.9307000000000006E-2</v>
      </c>
      <c r="P4">
        <f>[12]gpt4omini_single_100_2!L3</f>
        <v>0</v>
      </c>
      <c r="Q4">
        <f>[13]gpt4omini_single_100_2!L3</f>
        <v>0</v>
      </c>
      <c r="R4" s="11">
        <f>[14]gpt4omini_single_100_2!L3</f>
        <v>0</v>
      </c>
      <c r="S4">
        <v>1</v>
      </c>
      <c r="T4">
        <f>[10]gpt4omini_single_60_2!L3</f>
        <v>-3.0155999999999999E-2</v>
      </c>
      <c r="U4">
        <f>[11]gpt4omini_single_60_2!L3</f>
        <v>-3.5369999999999999E-2</v>
      </c>
      <c r="V4">
        <f>[12]gpt4omini_single_60_2!L3</f>
        <v>-4.19E-2</v>
      </c>
      <c r="W4">
        <f>[13]gpt4omini_single_60_2!L3</f>
        <v>1.3600000000000001E-3</v>
      </c>
      <c r="X4">
        <f>[14]gpt4omini_single_60_2!L3</f>
        <v>-7.8879999999999992E-3</v>
      </c>
    </row>
    <row r="5" spans="1:24" x14ac:dyDescent="0.2">
      <c r="A5" s="12">
        <v>2</v>
      </c>
      <c r="B5">
        <f>[10]gpt4omini_single_100!L4</f>
        <v>-0.11240799999999999</v>
      </c>
      <c r="C5">
        <f>[11]gpt4omini_single_100!L4</f>
        <v>-3.9243E-2</v>
      </c>
      <c r="D5">
        <f>[12]gpt4omini_single_100!L4</f>
        <v>-7.8149999999999997E-2</v>
      </c>
      <c r="E5">
        <f>[13]gpt4omini_single_100!L4</f>
        <v>-9.6965999999999997E-2</v>
      </c>
      <c r="F5" s="11">
        <f>[14]gpt4omini_single_100!L4</f>
        <v>-0.113084</v>
      </c>
      <c r="G5">
        <v>2</v>
      </c>
      <c r="H5">
        <f>[10]gpt4omini_single_60!L4</f>
        <v>-2.8265999999999999E-2</v>
      </c>
      <c r="I5">
        <f>[11]gpt4omini_single_60!L4</f>
        <v>5.7349999999999996E-3</v>
      </c>
      <c r="J5">
        <f>[12]gpt4omini_single_60!L4</f>
        <v>-1.6698999999999999E-2</v>
      </c>
      <c r="K5">
        <f>[13]gpt4omini_single_60!L4</f>
        <v>4.8710000000000003E-3</v>
      </c>
      <c r="L5">
        <f>[14]gpt4omini_single_60!L4</f>
        <v>-5.9839999999999997E-3</v>
      </c>
      <c r="M5" s="12">
        <v>2</v>
      </c>
      <c r="N5">
        <f>[10]gpt4omini_single_100_2!L4</f>
        <v>-0.24582599999999999</v>
      </c>
      <c r="O5">
        <f>[11]gpt4omini_single_100_2!L4</f>
        <v>-0.173869</v>
      </c>
      <c r="P5">
        <f>[12]gpt4omini_single_100_2!L4</f>
        <v>-0.120939</v>
      </c>
      <c r="Q5">
        <f>[13]gpt4omini_single_100_2!L4</f>
        <v>-7.8498999999999999E-2</v>
      </c>
      <c r="R5" s="11">
        <f>[14]gpt4omini_single_100_2!L4</f>
        <v>-1.8009000000000001E-2</v>
      </c>
      <c r="S5">
        <v>2</v>
      </c>
      <c r="T5">
        <f>[10]gpt4omini_single_60_2!L4</f>
        <v>-3.5296000000000001E-2</v>
      </c>
      <c r="U5">
        <f>[11]gpt4omini_single_60_2!L4</f>
        <v>-3.9633000000000002E-2</v>
      </c>
      <c r="V5">
        <f>[12]gpt4omini_single_60_2!L4</f>
        <v>-4.2265999999999998E-2</v>
      </c>
      <c r="W5">
        <f>[13]gpt4omini_single_60_2!L4</f>
        <v>2.1789999999999999E-3</v>
      </c>
      <c r="X5">
        <f>[14]gpt4omini_single_60_2!L4</f>
        <v>-1.1604E-2</v>
      </c>
    </row>
    <row r="6" spans="1:24" x14ac:dyDescent="0.2">
      <c r="A6" s="12">
        <v>3</v>
      </c>
      <c r="B6">
        <f>[10]gpt4omini_single_100!L5</f>
        <v>-0.121174</v>
      </c>
      <c r="C6">
        <f>[11]gpt4omini_single_100!L5</f>
        <v>-5.1411999999999999E-2</v>
      </c>
      <c r="D6">
        <f>[12]gpt4omini_single_100!L5</f>
        <v>-0.101579</v>
      </c>
      <c r="E6">
        <f>[13]gpt4omini_single_100!L5</f>
        <v>-0.11494799999999999</v>
      </c>
      <c r="F6" s="11">
        <f>[14]gpt4omini_single_100!L5</f>
        <v>-0.16247400000000001</v>
      </c>
      <c r="G6">
        <v>3</v>
      </c>
      <c r="H6">
        <f>[10]gpt4omini_single_60!L5</f>
        <v>-4.7220999999999999E-2</v>
      </c>
      <c r="I6">
        <f>[11]gpt4omini_single_60!L5</f>
        <v>-1.1835999999999999E-2</v>
      </c>
      <c r="J6">
        <f>[12]gpt4omini_single_60!L5</f>
        <v>-1.4723E-2</v>
      </c>
      <c r="K6">
        <f>[13]gpt4omini_single_60!L5</f>
        <v>4.3680000000000004E-3</v>
      </c>
      <c r="L6">
        <f>[14]gpt4omini_single_60!L5</f>
        <v>-1.0423E-2</v>
      </c>
      <c r="M6" s="12">
        <v>3</v>
      </c>
      <c r="N6">
        <f>[10]gpt4omini_single_100_2!L5</f>
        <v>-0.27609600000000001</v>
      </c>
      <c r="O6">
        <f>[11]gpt4omini_single_100_2!L5</f>
        <v>-0.20075200000000001</v>
      </c>
      <c r="P6">
        <f>[12]gpt4omini_single_100_2!L5</f>
        <v>-0.24698300000000001</v>
      </c>
      <c r="Q6">
        <f>[13]gpt4omini_single_100_2!L5</f>
        <v>-0.16451099999999999</v>
      </c>
      <c r="R6" s="11">
        <f>[14]gpt4omini_single_100_2!L5</f>
        <v>-0.13525899999999999</v>
      </c>
      <c r="S6">
        <v>3</v>
      </c>
      <c r="T6">
        <f>[10]gpt4omini_single_60_2!L5</f>
        <v>-7.0091000000000001E-2</v>
      </c>
      <c r="U6">
        <f>[11]gpt4omini_single_60_2!L5</f>
        <v>-6.8113000000000007E-2</v>
      </c>
      <c r="V6">
        <f>[12]gpt4omini_single_60_2!L5</f>
        <v>-3.8725000000000002E-2</v>
      </c>
      <c r="W6">
        <f>[13]gpt4omini_single_60_2!L5</f>
        <v>-4.6025000000000003E-2</v>
      </c>
      <c r="X6">
        <f>[14]gpt4omini_single_60_2!L5</f>
        <v>-2.0471E-2</v>
      </c>
    </row>
    <row r="7" spans="1:24" x14ac:dyDescent="0.2">
      <c r="A7" s="12">
        <v>4</v>
      </c>
      <c r="B7">
        <f>[10]gpt4omini_single_100!L6</f>
        <v>-0.126136</v>
      </c>
      <c r="C7">
        <f>[11]gpt4omini_single_100!L6</f>
        <v>-4.9668999999999998E-2</v>
      </c>
      <c r="D7">
        <f>[12]gpt4omini_single_100!L6</f>
        <v>-0.10130699999999999</v>
      </c>
      <c r="E7">
        <f>[13]gpt4omini_single_100!L6</f>
        <v>-0.110362</v>
      </c>
      <c r="F7" s="11">
        <f>[14]gpt4omini_single_100!L6</f>
        <v>-0.193882</v>
      </c>
      <c r="G7">
        <v>4</v>
      </c>
      <c r="H7">
        <f>[10]gpt4omini_single_60!L6</f>
        <v>-5.0155999999999999E-2</v>
      </c>
      <c r="I7">
        <f>[11]gpt4omini_single_60!L6</f>
        <v>-1.2612999999999999E-2</v>
      </c>
      <c r="J7">
        <f>[12]gpt4omini_single_60!L6</f>
        <v>-1.1723000000000001E-2</v>
      </c>
      <c r="K7">
        <f>[13]gpt4omini_single_60!L6</f>
        <v>9.5989999999999999E-3</v>
      </c>
      <c r="L7">
        <f>[14]gpt4omini_single_60!L6</f>
        <v>-1.1502999999999999E-2</v>
      </c>
      <c r="M7" s="12">
        <v>4</v>
      </c>
      <c r="N7">
        <f>[10]gpt4omini_single_100_2!L6</f>
        <v>-0.286939</v>
      </c>
      <c r="O7">
        <f>[11]gpt4omini_single_100_2!L6</f>
        <v>-0.20866699999999999</v>
      </c>
      <c r="P7">
        <f>[12]gpt4omini_single_100_2!L6</f>
        <v>-0.28446399999999999</v>
      </c>
      <c r="Q7">
        <f>[13]gpt4omini_single_100_2!L6</f>
        <v>-0.18556600000000001</v>
      </c>
      <c r="R7" s="11">
        <f>[14]gpt4omini_single_100_2!L6</f>
        <v>-0.16104099999999999</v>
      </c>
      <c r="S7">
        <v>4</v>
      </c>
      <c r="T7">
        <f>[10]gpt4omini_single_60_2!L6</f>
        <v>-7.5004000000000001E-2</v>
      </c>
      <c r="U7">
        <f>[11]gpt4omini_single_60_2!L6</f>
        <v>-7.1115999999999999E-2</v>
      </c>
      <c r="V7">
        <f>[12]gpt4omini_single_60_2!L6</f>
        <v>-3.9488000000000002E-2</v>
      </c>
      <c r="W7">
        <f>[13]gpt4omini_single_60_2!L6</f>
        <v>-5.3395999999999999E-2</v>
      </c>
      <c r="X7">
        <f>[14]gpt4omini_single_60_2!L6</f>
        <v>-2.2873999999999999E-2</v>
      </c>
    </row>
    <row r="8" spans="1:24" x14ac:dyDescent="0.2">
      <c r="A8" s="12">
        <v>5</v>
      </c>
      <c r="B8">
        <f>[10]gpt4omini_single_100!L7</f>
        <v>-0.13112199999999999</v>
      </c>
      <c r="C8">
        <f>[11]gpt4omini_single_100!L7</f>
        <v>-4.8418000000000003E-2</v>
      </c>
      <c r="D8">
        <f>[12]gpt4omini_single_100!L7</f>
        <v>-0.102967</v>
      </c>
      <c r="E8">
        <f>[13]gpt4omini_single_100!L7</f>
        <v>-0.109315</v>
      </c>
      <c r="F8" s="11">
        <f>[14]gpt4omini_single_100!L7</f>
        <v>-0.20161599999999999</v>
      </c>
      <c r="G8">
        <v>5</v>
      </c>
      <c r="H8">
        <f>[10]gpt4omini_single_60!L7</f>
        <v>-6.905E-2</v>
      </c>
      <c r="I8">
        <f>[11]gpt4omini_single_60!L7</f>
        <v>-3.1678999999999999E-2</v>
      </c>
      <c r="J8">
        <f>[12]gpt4omini_single_60!L7</f>
        <v>-1.0919E-2</v>
      </c>
      <c r="K8">
        <f>[13]gpt4omini_single_60!L7</f>
        <v>-5.1989999999999996E-3</v>
      </c>
      <c r="L8">
        <f>[14]gpt4omini_single_60!L7</f>
        <v>-1.2598E-2</v>
      </c>
      <c r="M8" s="12">
        <v>5</v>
      </c>
      <c r="N8">
        <f>[10]gpt4omini_single_100_2!L7</f>
        <v>-0.29638500000000001</v>
      </c>
      <c r="O8">
        <f>[11]gpt4omini_single_100_2!L7</f>
        <v>-0.21884400000000001</v>
      </c>
      <c r="P8">
        <f>[12]gpt4omini_single_100_2!L7</f>
        <v>-0.28740500000000002</v>
      </c>
      <c r="Q8">
        <f>[13]gpt4omini_single_100_2!L7</f>
        <v>-0.19378600000000001</v>
      </c>
      <c r="R8" s="11">
        <f>[14]gpt4omini_single_100_2!L7</f>
        <v>-0.168965</v>
      </c>
      <c r="S8">
        <v>5</v>
      </c>
      <c r="T8">
        <f>[10]gpt4omini_single_60_2!L7</f>
        <v>-0.114264</v>
      </c>
      <c r="U8">
        <f>[11]gpt4omini_single_60_2!L7</f>
        <v>-9.7751000000000005E-2</v>
      </c>
      <c r="V8">
        <f>[12]gpt4omini_single_60_2!L7</f>
        <v>-5.9166000000000003E-2</v>
      </c>
      <c r="W8">
        <f>[13]gpt4omini_single_60_2!L7</f>
        <v>-7.9710000000000003E-2</v>
      </c>
      <c r="X8">
        <f>[14]gpt4omini_single_60_2!L7</f>
        <v>-2.9302999999999999E-2</v>
      </c>
    </row>
    <row r="9" spans="1:24" x14ac:dyDescent="0.2">
      <c r="A9" s="12">
        <v>6</v>
      </c>
      <c r="B9">
        <f>[10]gpt4omini_single_100!L8</f>
        <v>-0.137599</v>
      </c>
      <c r="C9">
        <f>[11]gpt4omini_single_100!L8</f>
        <v>-4.4873999999999997E-2</v>
      </c>
      <c r="D9">
        <f>[12]gpt4omini_single_100!L8</f>
        <v>-9.3126E-2</v>
      </c>
      <c r="E9">
        <f>[13]gpt4omini_single_100!L8</f>
        <v>-9.4569E-2</v>
      </c>
      <c r="F9" s="11">
        <f>[14]gpt4omini_single_100!L8</f>
        <v>-0.207092</v>
      </c>
      <c r="G9">
        <v>6</v>
      </c>
      <c r="H9">
        <f>[10]gpt4omini_single_60!L8</f>
        <v>-7.4743000000000004E-2</v>
      </c>
      <c r="I9">
        <f>[11]gpt4omini_single_60!L8</f>
        <v>-2.7130999999999999E-2</v>
      </c>
      <c r="J9">
        <f>[12]gpt4omini_single_60!L8</f>
        <v>-7.705E-3</v>
      </c>
      <c r="K9">
        <f>[13]gpt4omini_single_60!L8</f>
        <v>-2.6189999999999998E-3</v>
      </c>
      <c r="L9">
        <f>[14]gpt4omini_single_60!L8</f>
        <v>-1.5357000000000001E-2</v>
      </c>
      <c r="M9" s="12">
        <v>6</v>
      </c>
      <c r="N9">
        <f>[10]gpt4omini_single_100_2!L8</f>
        <v>-0.30784</v>
      </c>
      <c r="O9">
        <f>[11]gpt4omini_single_100_2!L8</f>
        <v>-0.21610399999999999</v>
      </c>
      <c r="P9">
        <f>[12]gpt4omini_single_100_2!L8</f>
        <v>-0.30526599999999998</v>
      </c>
      <c r="Q9">
        <f>[13]gpt4omini_single_100_2!L8</f>
        <v>-0.19952900000000001</v>
      </c>
      <c r="R9" s="11">
        <f>[14]gpt4omini_single_100_2!L8</f>
        <v>-0.17733099999999999</v>
      </c>
      <c r="S9">
        <v>6</v>
      </c>
      <c r="T9">
        <f>[10]gpt4omini_single_60_2!L8</f>
        <v>-0.12564400000000001</v>
      </c>
      <c r="U9">
        <f>[11]gpt4omini_single_60_2!L8</f>
        <v>-0.101927</v>
      </c>
      <c r="V9">
        <f>[12]gpt4omini_single_60_2!L8</f>
        <v>-5.8630000000000002E-2</v>
      </c>
      <c r="W9">
        <f>[13]gpt4omini_single_60_2!L8</f>
        <v>-7.8761999999999999E-2</v>
      </c>
      <c r="X9">
        <f>[14]gpt4omini_single_60_2!L8</f>
        <v>-3.4251999999999998E-2</v>
      </c>
    </row>
    <row r="10" spans="1:24" x14ac:dyDescent="0.2">
      <c r="A10" s="12">
        <v>7</v>
      </c>
      <c r="B10">
        <f>[10]gpt4omini_single_100!L9</f>
        <v>-0.14524000000000001</v>
      </c>
      <c r="C10">
        <f>[11]gpt4omini_single_100!L9</f>
        <v>-3.3915000000000001E-2</v>
      </c>
      <c r="D10">
        <f>[12]gpt4omini_single_100!L9</f>
        <v>-7.0021E-2</v>
      </c>
      <c r="E10">
        <f>[13]gpt4omini_single_100!L9</f>
        <v>-7.7064999999999995E-2</v>
      </c>
      <c r="F10" s="11">
        <f>[14]gpt4omini_single_100!L9</f>
        <v>-0.21219299999999999</v>
      </c>
      <c r="G10">
        <v>7</v>
      </c>
      <c r="H10">
        <f>[10]gpt4omini_single_60!L9</f>
        <v>-7.7924999999999994E-2</v>
      </c>
      <c r="I10">
        <f>[11]gpt4omini_single_60!L9</f>
        <v>-2.3522999999999999E-2</v>
      </c>
      <c r="J10">
        <f>[12]gpt4omini_single_60!L9</f>
        <v>-6.5449999999999996E-3</v>
      </c>
      <c r="K10">
        <f>[13]gpt4omini_single_60!L9</f>
        <v>7.2499999999999995E-4</v>
      </c>
      <c r="L10">
        <f>[14]gpt4omini_single_60!L9</f>
        <v>-2.0351999999999999E-2</v>
      </c>
      <c r="M10" s="12">
        <v>7</v>
      </c>
      <c r="N10">
        <f>[10]gpt4omini_single_100_2!L9</f>
        <v>-0.32052799999999998</v>
      </c>
      <c r="O10">
        <f>[11]gpt4omini_single_100_2!L9</f>
        <v>-0.23777999999999999</v>
      </c>
      <c r="P10">
        <f>[12]gpt4omini_single_100_2!L9</f>
        <v>-0.298651</v>
      </c>
      <c r="Q10">
        <f>[13]gpt4omini_single_100_2!L9</f>
        <v>-0.20107900000000001</v>
      </c>
      <c r="R10" s="11">
        <f>[14]gpt4omini_single_100_2!L9</f>
        <v>-0.19097</v>
      </c>
      <c r="S10">
        <v>7</v>
      </c>
      <c r="T10">
        <f>[10]gpt4omini_single_60_2!L9</f>
        <v>-0.133354</v>
      </c>
      <c r="U10">
        <f>[11]gpt4omini_single_60_2!L9</f>
        <v>-0.106923</v>
      </c>
      <c r="V10">
        <f>[12]gpt4omini_single_60_2!L9</f>
        <v>-6.0517000000000001E-2</v>
      </c>
      <c r="W10">
        <f>[13]gpt4omini_single_60_2!L9</f>
        <v>-7.6077000000000006E-2</v>
      </c>
      <c r="X10">
        <f>[14]gpt4omini_single_60_2!L9</f>
        <v>-4.2308999999999999E-2</v>
      </c>
    </row>
    <row r="11" spans="1:24" x14ac:dyDescent="0.2">
      <c r="A11" s="12">
        <v>8</v>
      </c>
      <c r="B11">
        <f>[10]gpt4omini_single_100!L10</f>
        <v>-0.14821200000000001</v>
      </c>
      <c r="C11">
        <f>[11]gpt4omini_single_100!L10</f>
        <v>-5.3494E-2</v>
      </c>
      <c r="D11">
        <f>[12]gpt4omini_single_100!L10</f>
        <v>-2.1638000000000001E-2</v>
      </c>
      <c r="E11">
        <f>[13]gpt4omini_single_100!L10</f>
        <v>-5.7390999999999998E-2</v>
      </c>
      <c r="F11" s="11">
        <f>[14]gpt4omini_single_100!L10</f>
        <v>-0.218666</v>
      </c>
      <c r="G11">
        <v>8</v>
      </c>
      <c r="H11">
        <f>[10]gpt4omini_single_60!L10</f>
        <v>-7.9023999999999997E-2</v>
      </c>
      <c r="I11">
        <f>[11]gpt4omini_single_60!L10</f>
        <v>-2.0227999999999999E-2</v>
      </c>
      <c r="J11">
        <f>[12]gpt4omini_single_60!L10</f>
        <v>2.9060000000000002E-3</v>
      </c>
      <c r="K11">
        <f>[13]gpt4omini_single_60!L10</f>
        <v>1.0817999999999999E-2</v>
      </c>
      <c r="L11">
        <f>[14]gpt4omini_single_60!L10</f>
        <v>-2.1142000000000001E-2</v>
      </c>
      <c r="M11" s="12">
        <v>8</v>
      </c>
      <c r="N11">
        <f>[10]gpt4omini_single_100_2!L10</f>
        <v>-0.33213999999999999</v>
      </c>
      <c r="O11">
        <f>[11]gpt4omini_single_100_2!L10</f>
        <v>-0.23601900000000001</v>
      </c>
      <c r="P11">
        <f>[12]gpt4omini_single_100_2!L10</f>
        <v>-0.294437</v>
      </c>
      <c r="Q11">
        <f>[13]gpt4omini_single_100_2!L10</f>
        <v>-0.194853</v>
      </c>
      <c r="R11" s="11">
        <f>[14]gpt4omini_single_100_2!L10</f>
        <v>-0.19428599999999999</v>
      </c>
      <c r="S11">
        <v>8</v>
      </c>
      <c r="T11">
        <f>[10]gpt4omini_single_60_2!L10</f>
        <v>-0.145677</v>
      </c>
      <c r="U11">
        <f>[11]gpt4omini_single_60_2!L10</f>
        <v>-0.110668</v>
      </c>
      <c r="V11">
        <f>[12]gpt4omini_single_60_2!L10</f>
        <v>-6.9990999999999998E-2</v>
      </c>
      <c r="W11">
        <f>[13]gpt4omini_single_60_2!L10</f>
        <v>-7.3809E-2</v>
      </c>
      <c r="X11">
        <f>[14]gpt4omini_single_60_2!L10</f>
        <v>-4.7989999999999998E-2</v>
      </c>
    </row>
    <row r="12" spans="1:24" x14ac:dyDescent="0.2">
      <c r="A12" s="12">
        <v>9</v>
      </c>
      <c r="B12">
        <f>[10]gpt4omini_single_100!L11</f>
        <v>-0.15473700000000001</v>
      </c>
      <c r="C12">
        <f>[11]gpt4omini_single_100!L11</f>
        <v>-3.3628999999999999E-2</v>
      </c>
      <c r="D12">
        <f>[12]gpt4omini_single_100!L11</f>
        <v>7.2630000000000004E-3</v>
      </c>
      <c r="E12">
        <f>[13]gpt4omini_single_100!L11</f>
        <v>-2.2020999999999999E-2</v>
      </c>
      <c r="F12" s="11">
        <f>[14]gpt4omini_single_100!L11</f>
        <v>-0.236961</v>
      </c>
      <c r="G12">
        <v>9</v>
      </c>
      <c r="H12">
        <f>[10]gpt4omini_single_60!L11</f>
        <v>-8.2780999999999993E-2</v>
      </c>
      <c r="I12">
        <f>[11]gpt4omini_single_60!L11</f>
        <v>-1.6275000000000001E-2</v>
      </c>
      <c r="J12">
        <f>[12]gpt4omini_single_60!L11</f>
        <v>6.5040000000000002E-3</v>
      </c>
      <c r="K12">
        <f>[13]gpt4omini_single_60!L11</f>
        <v>1.2045999999999999E-2</v>
      </c>
      <c r="L12">
        <f>[14]gpt4omini_single_60!L11</f>
        <v>-3.7073000000000002E-2</v>
      </c>
      <c r="M12" s="12">
        <v>9</v>
      </c>
      <c r="N12">
        <f>[10]gpt4omini_single_100_2!L11</f>
        <v>-0.34492099999999998</v>
      </c>
      <c r="O12">
        <f>[11]gpt4omini_single_100_2!L11</f>
        <v>-0.25044699999999998</v>
      </c>
      <c r="P12">
        <f>[12]gpt4omini_single_100_2!L11</f>
        <v>-0.28421400000000002</v>
      </c>
      <c r="Q12">
        <f>[13]gpt4omini_single_100_2!L11</f>
        <v>-0.17186499999999999</v>
      </c>
      <c r="R12" s="11">
        <f>[14]gpt4omini_single_100_2!L11</f>
        <v>-0.20729</v>
      </c>
      <c r="S12">
        <v>9</v>
      </c>
      <c r="T12">
        <f>[10]gpt4omini_single_60_2!L11</f>
        <v>-0.15487899999999999</v>
      </c>
      <c r="U12">
        <f>[11]gpt4omini_single_60_2!L11</f>
        <v>-0.113396</v>
      </c>
      <c r="V12">
        <f>[12]gpt4omini_single_60_2!L11</f>
        <v>-7.177E-2</v>
      </c>
      <c r="W12">
        <f>[13]gpt4omini_single_60_2!L11</f>
        <v>-7.4578000000000005E-2</v>
      </c>
      <c r="X12">
        <f>[14]gpt4omini_single_60_2!L11</f>
        <v>-7.5964000000000004E-2</v>
      </c>
    </row>
    <row r="13" spans="1:24" x14ac:dyDescent="0.2">
      <c r="A13" s="12">
        <v>10</v>
      </c>
      <c r="B13">
        <f>[10]gpt4omini_single_100!L12</f>
        <v>-0.18604100000000001</v>
      </c>
      <c r="C13">
        <f>[11]gpt4omini_single_100!L12</f>
        <v>-3.1125E-2</v>
      </c>
      <c r="D13">
        <f>[12]gpt4omini_single_100!L12</f>
        <v>5.2011000000000002E-2</v>
      </c>
      <c r="E13">
        <f>[13]gpt4omini_single_100!L12</f>
        <v>2.7306E-2</v>
      </c>
      <c r="F13" s="11">
        <f>[14]gpt4omini_single_100!L12</f>
        <v>-0.266789</v>
      </c>
      <c r="G13">
        <v>10</v>
      </c>
      <c r="H13">
        <f>[10]gpt4omini_single_60!L12</f>
        <v>-8.4991999999999998E-2</v>
      </c>
      <c r="I13">
        <f>[11]gpt4omini_single_60!L12</f>
        <v>-1.4197E-2</v>
      </c>
      <c r="J13">
        <f>[12]gpt4omini_single_60!L12</f>
        <v>9.6209999999999993E-3</v>
      </c>
      <c r="K13">
        <f>[13]gpt4omini_single_60!L12</f>
        <v>1.5706999999999999E-2</v>
      </c>
      <c r="L13">
        <f>[14]gpt4omini_single_60!L12</f>
        <v>-3.9098000000000001E-2</v>
      </c>
      <c r="M13" s="12">
        <v>10</v>
      </c>
      <c r="N13">
        <f>[10]gpt4omini_single_100_2!L12</f>
        <v>-0.40773100000000001</v>
      </c>
      <c r="O13">
        <f>[11]gpt4omini_single_100_2!L12</f>
        <v>-0.35729699999999998</v>
      </c>
      <c r="P13">
        <f>[12]gpt4omini_single_100_2!L12</f>
        <v>-0.28894799999999998</v>
      </c>
      <c r="Q13">
        <f>[13]gpt4omini_single_100_2!L12</f>
        <v>-0.185534</v>
      </c>
      <c r="R13" s="11">
        <f>[14]gpt4omini_single_100_2!L12</f>
        <v>-0.29347299999999998</v>
      </c>
      <c r="S13">
        <v>10</v>
      </c>
      <c r="T13">
        <f>[10]gpt4omini_single_60_2!L12</f>
        <v>-0.159521</v>
      </c>
      <c r="U13">
        <f>[11]gpt4omini_single_60_2!L12</f>
        <v>-0.105892</v>
      </c>
      <c r="V13">
        <f>[12]gpt4omini_single_60_2!L12</f>
        <v>-6.7209000000000005E-2</v>
      </c>
      <c r="W13">
        <f>[13]gpt4omini_single_60_2!L12</f>
        <v>-6.7867999999999998E-2</v>
      </c>
      <c r="X13">
        <f>[14]gpt4omini_single_60_2!L12</f>
        <v>-7.979E-2</v>
      </c>
    </row>
    <row r="14" spans="1:24" x14ac:dyDescent="0.2">
      <c r="A14" s="12">
        <v>11</v>
      </c>
      <c r="B14">
        <f>[10]gpt4omini_single_100!L13</f>
        <v>-0.21342800000000001</v>
      </c>
      <c r="C14">
        <f>[11]gpt4omini_single_100!L13</f>
        <v>-1.3259999999999999E-2</v>
      </c>
      <c r="D14">
        <f>[12]gpt4omini_single_100!L13</f>
        <v>8.1920000000000007E-2</v>
      </c>
      <c r="E14">
        <f>[13]gpt4omini_single_100!L13</f>
        <v>2.5611999999999999E-2</v>
      </c>
      <c r="F14" s="11">
        <f>[14]gpt4omini_single_100!L13</f>
        <v>-0.28633900000000001</v>
      </c>
      <c r="G14">
        <v>11</v>
      </c>
      <c r="H14">
        <f>[10]gpt4omini_single_60!L13</f>
        <v>-8.6649000000000004E-2</v>
      </c>
      <c r="I14">
        <f>[11]gpt4omini_single_60!L13</f>
        <v>-1.0923E-2</v>
      </c>
      <c r="J14">
        <f>[12]gpt4omini_single_60!L13</f>
        <v>1.2833000000000001E-2</v>
      </c>
      <c r="K14">
        <f>[13]gpt4omini_single_60!L13</f>
        <v>1.5741000000000002E-2</v>
      </c>
      <c r="L14">
        <f>[14]gpt4omini_single_60!L13</f>
        <v>-3.9738999999999997E-2</v>
      </c>
      <c r="M14" s="12">
        <v>11</v>
      </c>
      <c r="N14">
        <f>[10]gpt4omini_single_100_2!L13</f>
        <v>-0.47291499999999997</v>
      </c>
      <c r="O14">
        <f>[11]gpt4omini_single_100_2!L13</f>
        <v>-0.362599</v>
      </c>
      <c r="P14">
        <f>[12]gpt4omini_single_100_2!L13</f>
        <v>-0.33011800000000002</v>
      </c>
      <c r="Q14">
        <f>[13]gpt4omini_single_100_2!L13</f>
        <v>-0.223249</v>
      </c>
      <c r="R14" s="11">
        <f>[14]gpt4omini_single_100_2!L13</f>
        <v>-0.34630100000000003</v>
      </c>
      <c r="S14">
        <v>11</v>
      </c>
      <c r="T14">
        <f>[10]gpt4omini_single_60_2!L13</f>
        <v>-0.16021299999999999</v>
      </c>
      <c r="U14">
        <f>[11]gpt4omini_single_60_2!L13</f>
        <v>-0.107075</v>
      </c>
      <c r="V14">
        <f>[12]gpt4omini_single_60_2!L13</f>
        <v>-6.9757E-2</v>
      </c>
      <c r="W14">
        <f>[13]gpt4omini_single_60_2!L13</f>
        <v>-6.7989999999999995E-2</v>
      </c>
      <c r="X14">
        <f>[14]gpt4omini_single_60_2!L13</f>
        <v>-7.9920000000000005E-2</v>
      </c>
    </row>
    <row r="15" spans="1:24" x14ac:dyDescent="0.2">
      <c r="A15" s="12">
        <v>12</v>
      </c>
      <c r="B15">
        <f>[10]gpt4omini_single_100!L14</f>
        <v>-0.22059599999999999</v>
      </c>
      <c r="C15">
        <f>[11]gpt4omini_single_100!L14</f>
        <v>-7.8779999999999996E-3</v>
      </c>
      <c r="D15">
        <f>[12]gpt4omini_single_100!L14</f>
        <v>9.3369999999999995E-2</v>
      </c>
      <c r="E15">
        <f>[13]gpt4omini_single_100!L14</f>
        <v>3.6653999999999999E-2</v>
      </c>
      <c r="F15" s="11">
        <f>[14]gpt4omini_single_100!L14</f>
        <v>-0.29375099999999998</v>
      </c>
      <c r="G15">
        <v>12</v>
      </c>
      <c r="H15">
        <f>[10]gpt4omini_single_60!L14</f>
        <v>-8.9768000000000001E-2</v>
      </c>
      <c r="I15">
        <f>[11]gpt4omini_single_60!L14</f>
        <v>-9.5289999999999993E-3</v>
      </c>
      <c r="J15">
        <f>[12]gpt4omini_single_60!L14</f>
        <v>1.1847999999999999E-2</v>
      </c>
      <c r="K15">
        <f>[13]gpt4omini_single_60!L14</f>
        <v>1.9033000000000001E-2</v>
      </c>
      <c r="L15">
        <f>[14]gpt4omini_single_60!L14</f>
        <v>-4.2784000000000003E-2</v>
      </c>
      <c r="M15" s="12">
        <v>12</v>
      </c>
      <c r="N15">
        <f>[10]gpt4omini_single_100_2!L14</f>
        <v>-0.482956</v>
      </c>
      <c r="O15">
        <f>[11]gpt4omini_single_100_2!L14</f>
        <v>-0.38847100000000001</v>
      </c>
      <c r="P15">
        <f>[12]gpt4omini_single_100_2!L14</f>
        <v>-0.31475900000000001</v>
      </c>
      <c r="Q15">
        <f>[13]gpt4omini_single_100_2!L14</f>
        <v>-0.229019</v>
      </c>
      <c r="R15" s="11">
        <f>[14]gpt4omini_single_100_2!L14</f>
        <v>-0.35424800000000001</v>
      </c>
      <c r="S15">
        <v>12</v>
      </c>
      <c r="T15">
        <f>[10]gpt4omini_single_60_2!L14</f>
        <v>-0.165463</v>
      </c>
      <c r="U15">
        <f>[11]gpt4omini_single_60_2!L14</f>
        <v>-0.112155</v>
      </c>
      <c r="V15">
        <f>[12]gpt4omini_single_60_2!L14</f>
        <v>-6.8753999999999996E-2</v>
      </c>
      <c r="W15">
        <f>[13]gpt4omini_single_60_2!L14</f>
        <v>-6.7058999999999994E-2</v>
      </c>
      <c r="X15">
        <f>[14]gpt4omini_single_60_2!L14</f>
        <v>-8.0893000000000007E-2</v>
      </c>
    </row>
    <row r="16" spans="1:24" x14ac:dyDescent="0.2">
      <c r="A16" s="12">
        <v>13</v>
      </c>
      <c r="B16">
        <f>[10]gpt4omini_single_100!L15</f>
        <v>-0.22523799999999999</v>
      </c>
      <c r="C16">
        <f>[11]gpt4omini_single_100!L15</f>
        <v>-9.6450000000000008E-3</v>
      </c>
      <c r="D16">
        <f>[12]gpt4omini_single_100!L15</f>
        <v>0.11937399999999999</v>
      </c>
      <c r="E16">
        <f>[13]gpt4omini_single_100!L15</f>
        <v>4.7232000000000003E-2</v>
      </c>
      <c r="F16" s="11">
        <f>[14]gpt4omini_single_100!L15</f>
        <v>-0.29422199999999998</v>
      </c>
      <c r="G16">
        <v>13</v>
      </c>
      <c r="H16">
        <f>[10]gpt4omini_single_60!L15</f>
        <v>-0.104783</v>
      </c>
      <c r="I16">
        <f>[11]gpt4omini_single_60!L15</f>
        <v>-9.6970000000000008E-3</v>
      </c>
      <c r="J16">
        <f>[12]gpt4omini_single_60!L15</f>
        <v>1.2186000000000001E-2</v>
      </c>
      <c r="K16">
        <f>[13]gpt4omini_single_60!L15</f>
        <v>2.5121999999999998E-2</v>
      </c>
      <c r="L16">
        <f>[14]gpt4omini_single_60!L15</f>
        <v>-4.7010999999999997E-2</v>
      </c>
      <c r="M16" s="12">
        <v>13</v>
      </c>
      <c r="N16">
        <f>[10]gpt4omini_single_100_2!L15</f>
        <v>-0.489203</v>
      </c>
      <c r="O16">
        <f>[11]gpt4omini_single_100_2!L15</f>
        <v>-0.40465600000000002</v>
      </c>
      <c r="P16">
        <f>[12]gpt4omini_single_100_2!L15</f>
        <v>-0.29758299999999999</v>
      </c>
      <c r="Q16">
        <f>[13]gpt4omini_single_100_2!L15</f>
        <v>-0.232465</v>
      </c>
      <c r="R16" s="11">
        <f>[14]gpt4omini_single_100_2!L15</f>
        <v>-0.35560399999999998</v>
      </c>
      <c r="S16">
        <v>13</v>
      </c>
      <c r="T16">
        <f>[10]gpt4omini_single_60_2!L15</f>
        <v>-0.192354</v>
      </c>
      <c r="U16">
        <f>[11]gpt4omini_single_60_2!L15</f>
        <v>-0.13697200000000001</v>
      </c>
      <c r="V16">
        <f>[12]gpt4omini_single_60_2!L15</f>
        <v>-6.7653000000000005E-2</v>
      </c>
      <c r="W16">
        <f>[13]gpt4omini_single_60_2!L15</f>
        <v>-9.4985E-2</v>
      </c>
      <c r="X16">
        <f>[14]gpt4omini_single_60_2!L15</f>
        <v>-8.6301000000000003E-2</v>
      </c>
    </row>
    <row r="17" spans="1:24" x14ac:dyDescent="0.2">
      <c r="A17" s="12">
        <v>14</v>
      </c>
      <c r="B17">
        <f>[10]gpt4omini_single_100!L16</f>
        <v>-0.23044600000000001</v>
      </c>
      <c r="C17">
        <f>[11]gpt4omini_single_100!L16</f>
        <v>-2.0702999999999999E-2</v>
      </c>
      <c r="D17">
        <f>[12]gpt4omini_single_100!L16</f>
        <v>0.11715100000000001</v>
      </c>
      <c r="E17">
        <f>[13]gpt4omini_single_100!L16</f>
        <v>4.1708000000000002E-2</v>
      </c>
      <c r="F17" s="11">
        <f>[14]gpt4omini_single_100!L16</f>
        <v>-0.297151</v>
      </c>
      <c r="G17">
        <v>14</v>
      </c>
      <c r="H17">
        <f>[10]gpt4omini_single_60!L16</f>
        <v>-0.113233</v>
      </c>
      <c r="I17">
        <f>[11]gpt4omini_single_60!L16</f>
        <v>-4.2100000000000002E-3</v>
      </c>
      <c r="J17">
        <f>[12]gpt4omini_single_60!L16</f>
        <v>1.1258000000000001E-2</v>
      </c>
      <c r="K17">
        <f>[13]gpt4omini_single_60!L16</f>
        <v>2.8879999999999999E-2</v>
      </c>
      <c r="L17">
        <f>[14]gpt4omini_single_60!L16</f>
        <v>-4.7921999999999999E-2</v>
      </c>
      <c r="M17" s="12">
        <v>14</v>
      </c>
      <c r="N17">
        <f>[10]gpt4omini_single_100_2!L16</f>
        <v>-0.49775900000000001</v>
      </c>
      <c r="O17">
        <f>[11]gpt4omini_single_100_2!L16</f>
        <v>-0.41593000000000002</v>
      </c>
      <c r="P17">
        <f>[12]gpt4omini_single_100_2!L16</f>
        <v>-0.323882</v>
      </c>
      <c r="Q17">
        <f>[13]gpt4omini_single_100_2!L16</f>
        <v>-0.20979100000000001</v>
      </c>
      <c r="R17" s="11">
        <f>[14]gpt4omini_single_100_2!L16</f>
        <v>-0.36507400000000001</v>
      </c>
      <c r="S17">
        <v>14</v>
      </c>
      <c r="T17">
        <f>[10]gpt4omini_single_60_2!L16</f>
        <v>-0.203404</v>
      </c>
      <c r="U17">
        <f>[11]gpt4omini_single_60_2!L16</f>
        <v>-0.165021</v>
      </c>
      <c r="V17">
        <f>[12]gpt4omini_single_60_2!L16</f>
        <v>-6.6767000000000007E-2</v>
      </c>
      <c r="W17">
        <f>[13]gpt4omini_single_60_2!L16</f>
        <v>-9.4437999999999994E-2</v>
      </c>
      <c r="X17">
        <f>[14]gpt4omini_single_60_2!L16</f>
        <v>-9.7370999999999999E-2</v>
      </c>
    </row>
    <row r="18" spans="1:24" x14ac:dyDescent="0.2">
      <c r="A18" s="12">
        <v>15</v>
      </c>
      <c r="B18">
        <f>[10]gpt4omini_single_100!L17</f>
        <v>-0.23901800000000001</v>
      </c>
      <c r="C18">
        <f>[11]gpt4omini_single_100!L17</f>
        <v>-2.9912999999999999E-2</v>
      </c>
      <c r="D18">
        <f>[12]gpt4omini_single_100!L17</f>
        <v>0.107317</v>
      </c>
      <c r="E18">
        <f>[13]gpt4omini_single_100!L17</f>
        <v>3.8080000000000003E-2</v>
      </c>
      <c r="F18" s="11">
        <f>[14]gpt4omini_single_100!L17</f>
        <v>-0.30562</v>
      </c>
      <c r="G18">
        <v>15</v>
      </c>
      <c r="H18">
        <f>[10]gpt4omini_single_60!L17</f>
        <v>-0.117372</v>
      </c>
      <c r="I18">
        <f>[11]gpt4omini_single_60!L17</f>
        <v>-1.9189999999999999E-2</v>
      </c>
      <c r="J18">
        <f>[12]gpt4omini_single_60!L17</f>
        <v>2.9440000000000001E-2</v>
      </c>
      <c r="K18">
        <f>[13]gpt4omini_single_60!L17</f>
        <v>2.9871000000000002E-2</v>
      </c>
      <c r="L18">
        <f>[14]gpt4omini_single_60!L17</f>
        <v>-7.6006000000000004E-2</v>
      </c>
      <c r="M18" s="12">
        <v>15</v>
      </c>
      <c r="N18">
        <f>[10]gpt4omini_single_100_2!L17</f>
        <v>-0.51297099999999995</v>
      </c>
      <c r="O18">
        <f>[11]gpt4omini_single_100_2!L17</f>
        <v>-0.433006</v>
      </c>
      <c r="P18">
        <f>[12]gpt4omini_single_100_2!L17</f>
        <v>-0.33624599999999999</v>
      </c>
      <c r="Q18">
        <f>[13]gpt4omini_single_100_2!L17</f>
        <v>-0.23098399999999999</v>
      </c>
      <c r="R18" s="11">
        <f>[14]gpt4omini_single_100_2!L17</f>
        <v>-0.37881500000000001</v>
      </c>
      <c r="S18">
        <v>15</v>
      </c>
      <c r="T18">
        <f>[10]gpt4omini_single_60_2!L17</f>
        <v>-0.20901400000000001</v>
      </c>
      <c r="U18">
        <f>[11]gpt4omini_single_60_2!L17</f>
        <v>-0.16991200000000001</v>
      </c>
      <c r="V18">
        <f>[12]gpt4omini_single_60_2!L17</f>
        <v>-7.2658E-2</v>
      </c>
      <c r="W18">
        <f>[13]gpt4omini_single_60_2!L17</f>
        <v>-8.6209999999999995E-2</v>
      </c>
      <c r="X18">
        <f>[14]gpt4omini_single_60_2!L17</f>
        <v>-0.11755400000000001</v>
      </c>
    </row>
    <row r="19" spans="1:24" x14ac:dyDescent="0.2">
      <c r="A19" s="12">
        <v>16</v>
      </c>
      <c r="B19">
        <f>[10]gpt4omini_single_100!L18</f>
        <v>-0.25402000000000002</v>
      </c>
      <c r="C19">
        <f>[11]gpt4omini_single_100!L18</f>
        <v>-5.772E-2</v>
      </c>
      <c r="D19">
        <f>[12]gpt4omini_single_100!L18</f>
        <v>6.0928999999999997E-2</v>
      </c>
      <c r="E19">
        <f>[13]gpt4omini_single_100!L18</f>
        <v>2.7820000000000001E-2</v>
      </c>
      <c r="F19" s="11">
        <f>[14]gpt4omini_single_100!L18</f>
        <v>-0.31481599999999998</v>
      </c>
      <c r="G19">
        <v>16</v>
      </c>
      <c r="H19">
        <f>[10]gpt4omini_single_60!L18</f>
        <v>-0.121617</v>
      </c>
      <c r="I19">
        <f>[11]gpt4omini_single_60!L18</f>
        <v>-1.1671000000000001E-2</v>
      </c>
      <c r="J19">
        <f>[12]gpt4omini_single_60!L18</f>
        <v>3.9238000000000002E-2</v>
      </c>
      <c r="K19">
        <f>[13]gpt4omini_single_60!L18</f>
        <v>2.8617E-2</v>
      </c>
      <c r="L19">
        <f>[14]gpt4omini_single_60!L18</f>
        <v>-9.7245999999999999E-2</v>
      </c>
      <c r="M19" s="12">
        <v>16</v>
      </c>
      <c r="N19">
        <f>[10]gpt4omini_single_100_2!L18</f>
        <v>-0.52842999999999996</v>
      </c>
      <c r="O19">
        <f>[11]gpt4omini_single_100_2!L18</f>
        <v>-0.45334999999999998</v>
      </c>
      <c r="P19">
        <f>[12]gpt4omini_single_100_2!L18</f>
        <v>-0.34664499999999998</v>
      </c>
      <c r="Q19">
        <f>[13]gpt4omini_single_100_2!L18</f>
        <v>-0.25353900000000001</v>
      </c>
      <c r="R19" s="11">
        <f>[14]gpt4omini_single_100_2!L18</f>
        <v>-0.39791300000000002</v>
      </c>
      <c r="S19">
        <v>16</v>
      </c>
      <c r="T19">
        <f>[10]gpt4omini_single_60_2!L18</f>
        <v>-0.21564700000000001</v>
      </c>
      <c r="U19">
        <f>[11]gpt4omini_single_60_2!L18</f>
        <v>-0.175346</v>
      </c>
      <c r="V19">
        <f>[12]gpt4omini_single_60_2!L18</f>
        <v>-8.5171999999999998E-2</v>
      </c>
      <c r="W19">
        <f>[13]gpt4omini_single_60_2!L18</f>
        <v>-9.0708999999999998E-2</v>
      </c>
      <c r="X19">
        <f>[14]gpt4omini_single_60_2!L18</f>
        <v>-0.14114199999999999</v>
      </c>
    </row>
    <row r="20" spans="1:24" x14ac:dyDescent="0.2">
      <c r="A20" s="12">
        <v>17</v>
      </c>
      <c r="B20">
        <f>[10]gpt4omini_single_100!L19</f>
        <v>-0.27870699999999998</v>
      </c>
      <c r="C20">
        <f>[11]gpt4omini_single_100!L19</f>
        <v>-6.8732000000000001E-2</v>
      </c>
      <c r="D20">
        <f>[12]gpt4omini_single_100!L19</f>
        <v>5.7343999999999999E-2</v>
      </c>
      <c r="E20">
        <f>[13]gpt4omini_single_100!L19</f>
        <v>3.7959E-2</v>
      </c>
      <c r="F20" s="11">
        <f>[14]gpt4omini_single_100!L19</f>
        <v>-0.32980199999999998</v>
      </c>
      <c r="G20">
        <v>17</v>
      </c>
      <c r="H20">
        <f>[10]gpt4omini_single_60!L19</f>
        <v>-0.12912399999999999</v>
      </c>
      <c r="I20">
        <f>[11]gpt4omini_single_60!L19</f>
        <v>-1.0598E-2</v>
      </c>
      <c r="J20">
        <f>[12]gpt4omini_single_60!L19</f>
        <v>4.5067000000000003E-2</v>
      </c>
      <c r="K20">
        <f>[13]gpt4omini_single_60!L19</f>
        <v>3.2661999999999997E-2</v>
      </c>
      <c r="L20">
        <f>[14]gpt4omini_single_60!L19</f>
        <v>-0.110886</v>
      </c>
      <c r="M20" s="12">
        <v>17</v>
      </c>
      <c r="N20">
        <f>[10]gpt4omini_single_100_2!L19</f>
        <v>-0.55148399999999997</v>
      </c>
      <c r="O20">
        <f>[11]gpt4omini_single_100_2!L19</f>
        <v>-0.46279599999999999</v>
      </c>
      <c r="P20">
        <f>[12]gpt4omini_single_100_2!L19</f>
        <v>-0.375718</v>
      </c>
      <c r="Q20">
        <f>[13]gpt4omini_single_100_2!L19</f>
        <v>-0.28313300000000002</v>
      </c>
      <c r="R20" s="11">
        <f>[14]gpt4omini_single_100_2!L19</f>
        <v>-0.429921</v>
      </c>
      <c r="S20">
        <v>17</v>
      </c>
      <c r="T20">
        <f>[10]gpt4omini_single_60_2!L19</f>
        <v>-0.22789899999999999</v>
      </c>
      <c r="U20">
        <f>[11]gpt4omini_single_60_2!L19</f>
        <v>-0.18368999999999999</v>
      </c>
      <c r="V20">
        <f>[12]gpt4omini_single_60_2!L19</f>
        <v>-0.101419</v>
      </c>
      <c r="W20">
        <f>[13]gpt4omini_single_60_2!L19</f>
        <v>-0.106929</v>
      </c>
      <c r="X20">
        <f>[14]gpt4omini_single_60_2!L19</f>
        <v>-0.16322300000000001</v>
      </c>
    </row>
    <row r="21" spans="1:24" x14ac:dyDescent="0.2">
      <c r="A21" s="12">
        <v>18</v>
      </c>
      <c r="B21">
        <f>[10]gpt4omini_single_100!L20</f>
        <v>-0.29543199999999997</v>
      </c>
      <c r="C21">
        <f>[11]gpt4omini_single_100!L20</f>
        <v>-6.6632999999999998E-2</v>
      </c>
      <c r="D21">
        <f>[12]gpt4omini_single_100!L20</f>
        <v>6.5431000000000003E-2</v>
      </c>
      <c r="E21">
        <f>[13]gpt4omini_single_100!L20</f>
        <v>4.1279000000000003E-2</v>
      </c>
      <c r="F21" s="11">
        <f>[14]gpt4omini_single_100!L20</f>
        <v>-0.34658600000000001</v>
      </c>
      <c r="G21">
        <v>18</v>
      </c>
      <c r="H21">
        <f>[10]gpt4omini_single_60!L20</f>
        <v>-0.13442699999999999</v>
      </c>
      <c r="I21">
        <f>[11]gpt4omini_single_60!L20</f>
        <v>-9.7490000000000007E-3</v>
      </c>
      <c r="J21">
        <f>[12]gpt4omini_single_60!L20</f>
        <v>4.7169999999999997E-2</v>
      </c>
      <c r="K21">
        <f>[13]gpt4omini_single_60!L20</f>
        <v>3.7339999999999998E-2</v>
      </c>
      <c r="L21">
        <f>[14]gpt4omini_single_60!L20</f>
        <v>-0.114941</v>
      </c>
      <c r="M21" s="12">
        <v>18</v>
      </c>
      <c r="N21">
        <f>[10]gpt4omini_single_100_2!L20</f>
        <v>-0.57213999999999998</v>
      </c>
      <c r="O21">
        <f>[11]gpt4omini_single_100_2!L20</f>
        <v>-0.49012699999999998</v>
      </c>
      <c r="P21">
        <f>[12]gpt4omini_single_100_2!L20</f>
        <v>-0.39700400000000002</v>
      </c>
      <c r="Q21">
        <f>[13]gpt4omini_single_100_2!L20</f>
        <v>-0.30088799999999999</v>
      </c>
      <c r="R21" s="11">
        <f>[14]gpt4omini_single_100_2!L20</f>
        <v>-0.45526</v>
      </c>
      <c r="S21">
        <v>18</v>
      </c>
      <c r="T21">
        <f>[10]gpt4omini_single_60_2!L20</f>
        <v>-0.233458</v>
      </c>
      <c r="U21">
        <f>[11]gpt4omini_single_60_2!L20</f>
        <v>-0.18665899999999999</v>
      </c>
      <c r="V21">
        <f>[12]gpt4omini_single_60_2!L20</f>
        <v>-0.10563699999999999</v>
      </c>
      <c r="W21">
        <f>[13]gpt4omini_single_60_2!L20</f>
        <v>-0.111799</v>
      </c>
      <c r="X21">
        <f>[14]gpt4omini_single_60_2!L20</f>
        <v>-0.17177899999999999</v>
      </c>
    </row>
    <row r="22" spans="1:24" x14ac:dyDescent="0.2">
      <c r="A22" s="12">
        <v>19</v>
      </c>
      <c r="B22">
        <f>[10]gpt4omini_single_100!L21</f>
        <v>-0.29816199999999998</v>
      </c>
      <c r="C22">
        <f>[11]gpt4omini_single_100!L21</f>
        <v>-4.4108000000000001E-2</v>
      </c>
      <c r="D22">
        <f>[12]gpt4omini_single_100!L21</f>
        <v>7.0870000000000002E-2</v>
      </c>
      <c r="E22">
        <f>[13]gpt4omini_single_100!L21</f>
        <v>6.2700000000000006E-2</v>
      </c>
      <c r="F22" s="11">
        <f>[14]gpt4omini_single_100!L21</f>
        <v>-0.34898800000000002</v>
      </c>
      <c r="G22">
        <v>19</v>
      </c>
      <c r="H22">
        <f>[10]gpt4omini_single_60!L21</f>
        <v>-0.140461</v>
      </c>
      <c r="I22">
        <f>[11]gpt4omini_single_60!L21</f>
        <v>-2.9359999999999998E-3</v>
      </c>
      <c r="J22">
        <f>[12]gpt4omini_single_60!L21</f>
        <v>4.7252000000000002E-2</v>
      </c>
      <c r="K22">
        <f>[13]gpt4omini_single_60!L21</f>
        <v>3.9907999999999999E-2</v>
      </c>
      <c r="L22">
        <f>[14]gpt4omini_single_60!L21</f>
        <v>-0.119146</v>
      </c>
      <c r="M22" s="12">
        <v>19</v>
      </c>
      <c r="N22">
        <f>[10]gpt4omini_single_100_2!L21</f>
        <v>-0.57768299999999995</v>
      </c>
      <c r="O22">
        <f>[11]gpt4omini_single_100_2!L21</f>
        <v>-0.46679700000000002</v>
      </c>
      <c r="P22">
        <f>[12]gpt4omini_single_100_2!L21</f>
        <v>-0.37015300000000001</v>
      </c>
      <c r="Q22">
        <f>[13]gpt4omini_single_100_2!L21</f>
        <v>-0.29649700000000001</v>
      </c>
      <c r="R22" s="11">
        <f>[14]gpt4omini_single_100_2!L21</f>
        <v>-0.45780700000000002</v>
      </c>
      <c r="S22">
        <v>19</v>
      </c>
      <c r="T22">
        <f>[10]gpt4omini_single_60_2!L21</f>
        <v>-0.24118000000000001</v>
      </c>
      <c r="U22">
        <f>[11]gpt4omini_single_60_2!L21</f>
        <v>-0.19007299999999999</v>
      </c>
      <c r="V22">
        <f>[12]gpt4omini_single_60_2!L21</f>
        <v>-0.106402</v>
      </c>
      <c r="W22">
        <f>[13]gpt4omini_single_60_2!L21</f>
        <v>-0.119217</v>
      </c>
      <c r="X22">
        <f>[14]gpt4omini_single_60_2!L21</f>
        <v>-0.189549</v>
      </c>
    </row>
    <row r="23" spans="1:24" x14ac:dyDescent="0.2">
      <c r="A23" s="12">
        <v>20</v>
      </c>
      <c r="B23">
        <f>[10]gpt4omini_single_100!L22</f>
        <v>-0.30195499999999997</v>
      </c>
      <c r="C23">
        <f>[11]gpt4omini_single_100!L22</f>
        <v>-2.9291999999999999E-2</v>
      </c>
      <c r="D23">
        <f>[12]gpt4omini_single_100!L22</f>
        <v>7.3110999999999995E-2</v>
      </c>
      <c r="E23">
        <f>[13]gpt4omini_single_100!L22</f>
        <v>6.2873999999999999E-2</v>
      </c>
      <c r="F23" s="11">
        <f>[14]gpt4omini_single_100!L22</f>
        <v>-0.35278500000000002</v>
      </c>
      <c r="G23">
        <v>20</v>
      </c>
      <c r="H23">
        <f>[10]gpt4omini_single_60!L22</f>
        <v>-0.15360099999999999</v>
      </c>
      <c r="I23">
        <f>[11]gpt4omini_single_60!L22</f>
        <v>5.6550000000000003E-3</v>
      </c>
      <c r="J23">
        <f>[12]gpt4omini_single_60!L22</f>
        <v>4.9758999999999998E-2</v>
      </c>
      <c r="K23">
        <f>[13]gpt4omini_single_60!L22</f>
        <v>4.4166999999999998E-2</v>
      </c>
      <c r="L23">
        <f>[14]gpt4omini_single_60!L22</f>
        <v>-0.121254</v>
      </c>
      <c r="M23" s="12">
        <v>20</v>
      </c>
      <c r="N23">
        <f>[10]gpt4omini_single_100_2!L22</f>
        <v>-0.586229</v>
      </c>
      <c r="O23">
        <f>[11]gpt4omini_single_100_2!L22</f>
        <v>-0.49234699999999998</v>
      </c>
      <c r="P23">
        <f>[12]gpt4omini_single_100_2!L22</f>
        <v>-0.394289</v>
      </c>
      <c r="Q23">
        <f>[13]gpt4omini_single_100_2!L22</f>
        <v>-0.31769900000000001</v>
      </c>
      <c r="R23" s="11">
        <f>[14]gpt4omini_single_100_2!L22</f>
        <v>-0.45935500000000001</v>
      </c>
      <c r="S23">
        <v>20</v>
      </c>
      <c r="T23">
        <f>[10]gpt4omini_single_60_2!L22</f>
        <v>-0.25962200000000002</v>
      </c>
      <c r="U23">
        <f>[11]gpt4omini_single_60_2!L22</f>
        <v>-0.18528800000000001</v>
      </c>
      <c r="V23">
        <f>[12]gpt4omini_single_60_2!L22</f>
        <v>-0.102371</v>
      </c>
      <c r="W23">
        <f>[13]gpt4omini_single_60_2!L22</f>
        <v>-0.15329799999999999</v>
      </c>
      <c r="X23">
        <f>[14]gpt4omini_single_60_2!L22</f>
        <v>-0.195131</v>
      </c>
    </row>
    <row r="24" spans="1:24" x14ac:dyDescent="0.2">
      <c r="A24" s="12">
        <v>21</v>
      </c>
      <c r="B24">
        <f>[10]gpt4omini_single_100!L23</f>
        <v>-0.30426999999999998</v>
      </c>
      <c r="C24">
        <f>[11]gpt4omini_single_100!L23</f>
        <v>-3.1047999999999999E-2</v>
      </c>
      <c r="D24">
        <f>[12]gpt4omini_single_100!L23</f>
        <v>8.3552000000000001E-2</v>
      </c>
      <c r="E24">
        <f>[13]gpt4omini_single_100!L23</f>
        <v>6.5837000000000007E-2</v>
      </c>
      <c r="F24" s="11">
        <f>[14]gpt4omini_single_100!L23</f>
        <v>-0.35486600000000001</v>
      </c>
      <c r="G24">
        <v>21</v>
      </c>
      <c r="H24">
        <f>[10]gpt4omini_single_60!L23</f>
        <v>-0.16473099999999999</v>
      </c>
      <c r="I24">
        <f>[11]gpt4omini_single_60!L23</f>
        <v>1.3863E-2</v>
      </c>
      <c r="J24">
        <f>[12]gpt4omini_single_60!L23</f>
        <v>5.2318999999999997E-2</v>
      </c>
      <c r="K24">
        <f>[13]gpt4omini_single_60!L23</f>
        <v>4.4616999999999997E-2</v>
      </c>
      <c r="L24">
        <f>[14]gpt4omini_single_60!L23</f>
        <v>-0.12239800000000001</v>
      </c>
      <c r="M24" s="12">
        <v>21</v>
      </c>
      <c r="N24">
        <f>[10]gpt4omini_single_100_2!L23</f>
        <v>-0.59004999999999996</v>
      </c>
      <c r="O24">
        <f>[11]gpt4omini_single_100_2!L23</f>
        <v>-0.48829899999999998</v>
      </c>
      <c r="P24">
        <f>[12]gpt4omini_single_100_2!L23</f>
        <v>-0.391486</v>
      </c>
      <c r="Q24">
        <f>[13]gpt4omini_single_100_2!L23</f>
        <v>-0.326013</v>
      </c>
      <c r="R24" s="11">
        <f>[14]gpt4omini_single_100_2!L23</f>
        <v>-0.46277200000000002</v>
      </c>
      <c r="S24">
        <v>21</v>
      </c>
      <c r="T24">
        <f>[10]gpt4omini_single_60_2!L23</f>
        <v>-0.26831199999999999</v>
      </c>
      <c r="U24">
        <f>[11]gpt4omini_single_60_2!L23</f>
        <v>-0.187057</v>
      </c>
      <c r="V24">
        <f>[12]gpt4omini_single_60_2!L23</f>
        <v>-9.6178E-2</v>
      </c>
      <c r="W24">
        <f>[13]gpt4omini_single_60_2!L23</f>
        <v>-0.15226500000000001</v>
      </c>
      <c r="X24">
        <f>[14]gpt4omini_single_60_2!L23</f>
        <v>-0.19702700000000001</v>
      </c>
    </row>
    <row r="25" spans="1:24" x14ac:dyDescent="0.2">
      <c r="A25" s="12">
        <v>22</v>
      </c>
      <c r="B25">
        <f>[10]gpt4omini_single_100!L24</f>
        <v>-0.30509999999999998</v>
      </c>
      <c r="C25">
        <f>[11]gpt4omini_single_100!L24</f>
        <v>-2.9058E-2</v>
      </c>
      <c r="D25">
        <f>[12]gpt4omini_single_100!L24</f>
        <v>8.9236999999999997E-2</v>
      </c>
      <c r="E25">
        <f>[13]gpt4omini_single_100!L24</f>
        <v>8.2188999999999998E-2</v>
      </c>
      <c r="F25" s="11">
        <f>[14]gpt4omini_single_100!L24</f>
        <v>-0.35625400000000002</v>
      </c>
      <c r="G25">
        <v>22</v>
      </c>
      <c r="H25">
        <f>[10]gpt4omini_single_60!L24</f>
        <v>-0.16825999999999999</v>
      </c>
      <c r="I25">
        <f>[11]gpt4omini_single_60!L24</f>
        <v>1.6650000000000002E-2</v>
      </c>
      <c r="J25">
        <f>[12]gpt4omini_single_60!L24</f>
        <v>5.2734000000000003E-2</v>
      </c>
      <c r="K25">
        <f>[13]gpt4omini_single_60!L24</f>
        <v>3.2965000000000001E-2</v>
      </c>
      <c r="L25">
        <f>[14]gpt4omini_single_60!L24</f>
        <v>-0.12282899999999999</v>
      </c>
      <c r="M25" s="12">
        <v>22</v>
      </c>
      <c r="N25">
        <f>[10]gpt4omini_single_100_2!L24</f>
        <v>-0.592136</v>
      </c>
      <c r="O25">
        <f>[11]gpt4omini_single_100_2!L24</f>
        <v>-0.48472199999999999</v>
      </c>
      <c r="P25">
        <f>[12]gpt4omini_single_100_2!L24</f>
        <v>-0.38776500000000003</v>
      </c>
      <c r="Q25">
        <f>[13]gpt4omini_single_100_2!L24</f>
        <v>-0.32111400000000001</v>
      </c>
      <c r="R25" s="11">
        <f>[14]gpt4omini_single_100_2!L24</f>
        <v>-0.46503100000000003</v>
      </c>
      <c r="S25">
        <v>22</v>
      </c>
      <c r="T25">
        <f>[10]gpt4omini_single_60_2!L24</f>
        <v>-0.26980500000000002</v>
      </c>
      <c r="U25">
        <f>[11]gpt4omini_single_60_2!L24</f>
        <v>-0.18908</v>
      </c>
      <c r="V25">
        <f>[12]gpt4omini_single_60_2!L24</f>
        <v>-9.9423999999999998E-2</v>
      </c>
      <c r="W25">
        <f>[13]gpt4omini_single_60_2!L24</f>
        <v>-0.145565</v>
      </c>
      <c r="X25">
        <f>[14]gpt4omini_single_60_2!L24</f>
        <v>-0.197547</v>
      </c>
    </row>
    <row r="26" spans="1:24" x14ac:dyDescent="0.2">
      <c r="A26" s="12">
        <v>23</v>
      </c>
      <c r="B26">
        <f>[10]gpt4omini_single_100!L25</f>
        <v>-0.30682900000000002</v>
      </c>
      <c r="C26">
        <f>[11]gpt4omini_single_100!L25</f>
        <v>-3.7055999999999999E-2</v>
      </c>
      <c r="D26">
        <f>[12]gpt4omini_single_100!L25</f>
        <v>8.5004999999999997E-2</v>
      </c>
      <c r="E26">
        <f>[13]gpt4omini_single_100!L25</f>
        <v>8.8548000000000002E-2</v>
      </c>
      <c r="F26" s="11">
        <f>[14]gpt4omini_single_100!L25</f>
        <v>-0.35719200000000001</v>
      </c>
      <c r="G26">
        <v>23</v>
      </c>
      <c r="H26">
        <f>[10]gpt4omini_single_60!L25</f>
        <v>-0.170518</v>
      </c>
      <c r="I26">
        <f>[11]gpt4omini_single_60!L25</f>
        <v>1.5216E-2</v>
      </c>
      <c r="J26">
        <f>[12]gpt4omini_single_60!L25</f>
        <v>5.6362000000000002E-2</v>
      </c>
      <c r="K26">
        <f>[13]gpt4omini_single_60!L25</f>
        <v>3.8256999999999999E-2</v>
      </c>
      <c r="L26">
        <f>[14]gpt4omini_single_60!L25</f>
        <v>-0.125336</v>
      </c>
      <c r="M26" s="12">
        <v>23</v>
      </c>
      <c r="N26">
        <f>[10]gpt4omini_single_100_2!L25</f>
        <v>-0.59439900000000001</v>
      </c>
      <c r="O26">
        <f>[11]gpt4omini_single_100_2!L25</f>
        <v>-0.49791800000000003</v>
      </c>
      <c r="P26">
        <f>[12]gpt4omini_single_100_2!L25</f>
        <v>-0.395397</v>
      </c>
      <c r="Q26">
        <f>[13]gpt4omini_single_100_2!L25</f>
        <v>-0.31426300000000001</v>
      </c>
      <c r="R26" s="11">
        <f>[14]gpt4omini_single_100_2!L25</f>
        <v>-0.47089300000000001</v>
      </c>
      <c r="S26">
        <v>23</v>
      </c>
      <c r="T26">
        <f>[10]gpt4omini_single_60_2!L25</f>
        <v>-0.27346599999999999</v>
      </c>
      <c r="U26">
        <f>[11]gpt4omini_single_60_2!L25</f>
        <v>-0.19232199999999999</v>
      </c>
      <c r="V26">
        <f>[12]gpt4omini_single_60_2!L25</f>
        <v>-9.2701000000000006E-2</v>
      </c>
      <c r="W26">
        <f>[13]gpt4omini_single_60_2!L25</f>
        <v>-0.144952</v>
      </c>
      <c r="X26">
        <f>[14]gpt4omini_single_60_2!L25</f>
        <v>-0.197794</v>
      </c>
    </row>
    <row r="27" spans="1:24" x14ac:dyDescent="0.2">
      <c r="A27" s="12">
        <v>24</v>
      </c>
      <c r="B27">
        <f>[10]gpt4omini_single_100!L26</f>
        <v>-0.31484200000000001</v>
      </c>
      <c r="C27">
        <f>[11]gpt4omini_single_100!L26</f>
        <v>-4.5683000000000001E-2</v>
      </c>
      <c r="D27">
        <f>[12]gpt4omini_single_100!L26</f>
        <v>8.5176000000000002E-2</v>
      </c>
      <c r="E27">
        <f>[13]gpt4omini_single_100!L26</f>
        <v>8.2888000000000003E-2</v>
      </c>
      <c r="F27" s="11">
        <f>[14]gpt4omini_single_100!L26</f>
        <v>-0.36571100000000001</v>
      </c>
      <c r="G27">
        <v>24</v>
      </c>
      <c r="H27">
        <f>[10]gpt4omini_single_60!L26</f>
        <v>-0.17218</v>
      </c>
      <c r="I27">
        <f>[11]gpt4omini_single_60!L26</f>
        <v>2.8715999999999998E-2</v>
      </c>
      <c r="J27">
        <f>[12]gpt4omini_single_60!L26</f>
        <v>5.8902000000000003E-2</v>
      </c>
      <c r="K27">
        <f>[13]gpt4omini_single_60!L26</f>
        <v>4.4006000000000003E-2</v>
      </c>
      <c r="L27">
        <f>[14]gpt4omini_single_60!L26</f>
        <v>-0.13066900000000001</v>
      </c>
      <c r="M27" s="12">
        <v>24</v>
      </c>
      <c r="N27">
        <f>[10]gpt4omini_single_100_2!L26</f>
        <v>-0.60275599999999996</v>
      </c>
      <c r="O27">
        <f>[11]gpt4omini_single_100_2!L26</f>
        <v>-0.50880700000000001</v>
      </c>
      <c r="P27">
        <f>[12]gpt4omini_single_100_2!L26</f>
        <v>-0.41220699999999999</v>
      </c>
      <c r="Q27">
        <f>[13]gpt4omini_single_100_2!L26</f>
        <v>-0.32353500000000002</v>
      </c>
      <c r="R27" s="11">
        <f>[14]gpt4omini_single_100_2!L26</f>
        <v>-0.48467700000000002</v>
      </c>
      <c r="S27">
        <v>24</v>
      </c>
      <c r="T27">
        <f>[10]gpt4omini_single_60_2!L26</f>
        <v>-0.285138</v>
      </c>
      <c r="U27">
        <f>[11]gpt4omini_single_60_2!L26</f>
        <v>-0.20346800000000001</v>
      </c>
      <c r="V27">
        <f>[12]gpt4omini_single_60_2!L26</f>
        <v>-8.3373000000000003E-2</v>
      </c>
      <c r="W27">
        <f>[13]gpt4omini_single_60_2!L26</f>
        <v>-0.144591</v>
      </c>
      <c r="X27">
        <f>[14]gpt4omini_single_60_2!L26</f>
        <v>-0.20988699999999999</v>
      </c>
    </row>
    <row r="28" spans="1:24" x14ac:dyDescent="0.2">
      <c r="A28" s="12">
        <v>25</v>
      </c>
      <c r="B28">
        <f>[10]gpt4omini_single_100!L27</f>
        <v>-0.32573099999999999</v>
      </c>
      <c r="C28">
        <f>[11]gpt4omini_single_100!L27</f>
        <v>-5.2052000000000001E-2</v>
      </c>
      <c r="D28">
        <f>[12]gpt4omini_single_100!L27</f>
        <v>7.7953999999999996E-2</v>
      </c>
      <c r="E28">
        <f>[13]gpt4omini_single_100!L27</f>
        <v>8.6364999999999997E-2</v>
      </c>
      <c r="F28" s="11">
        <f>[14]gpt4omini_single_100!L27</f>
        <v>-0.37426700000000002</v>
      </c>
      <c r="G28">
        <v>25</v>
      </c>
      <c r="H28">
        <f>[10]gpt4omini_single_60!L27</f>
        <v>-0.17253599999999999</v>
      </c>
      <c r="I28">
        <f>[11]gpt4omini_single_60!L27</f>
        <v>3.7191000000000002E-2</v>
      </c>
      <c r="J28">
        <f>[12]gpt4omini_single_60!L27</f>
        <v>6.0850000000000001E-2</v>
      </c>
      <c r="K28">
        <f>[13]gpt4omini_single_60!L27</f>
        <v>5.237E-2</v>
      </c>
      <c r="L28">
        <f>[14]gpt4omini_single_60!L27</f>
        <v>-0.132853</v>
      </c>
      <c r="M28" s="12">
        <v>25</v>
      </c>
      <c r="N28">
        <f>[10]gpt4omini_single_100_2!L27</f>
        <v>-0.61558199999999996</v>
      </c>
      <c r="O28">
        <f>[11]gpt4omini_single_100_2!L27</f>
        <v>-0.51807499999999995</v>
      </c>
      <c r="P28">
        <f>[12]gpt4omini_single_100_2!L27</f>
        <v>-0.42371199999999998</v>
      </c>
      <c r="Q28">
        <f>[13]gpt4omini_single_100_2!L27</f>
        <v>-0.320822</v>
      </c>
      <c r="R28" s="11">
        <f>[14]gpt4omini_single_100_2!L27</f>
        <v>-0.49332199999999998</v>
      </c>
      <c r="S28">
        <v>25</v>
      </c>
      <c r="T28">
        <f>[10]gpt4omini_single_60_2!L27</f>
        <v>-0.29225299999999999</v>
      </c>
      <c r="U28">
        <f>[11]gpt4omini_single_60_2!L27</f>
        <v>-0.20651600000000001</v>
      </c>
      <c r="V28">
        <f>[12]gpt4omini_single_60_2!L27</f>
        <v>-7.7883999999999995E-2</v>
      </c>
      <c r="W28">
        <f>[13]gpt4omini_single_60_2!L27</f>
        <v>-0.13899900000000001</v>
      </c>
      <c r="X28">
        <f>[14]gpt4omini_single_60_2!L27</f>
        <v>-0.21371899999999999</v>
      </c>
    </row>
    <row r="29" spans="1:24" x14ac:dyDescent="0.2">
      <c r="A29" s="12">
        <v>26</v>
      </c>
      <c r="B29">
        <f>[10]gpt4omini_single_100!L28</f>
        <v>-0.33031300000000002</v>
      </c>
      <c r="C29">
        <f>[11]gpt4omini_single_100!L28</f>
        <v>-4.5433000000000001E-2</v>
      </c>
      <c r="D29">
        <f>[12]gpt4omini_single_100!L28</f>
        <v>9.5363000000000003E-2</v>
      </c>
      <c r="E29">
        <f>[13]gpt4omini_single_100!L28</f>
        <v>8.9907000000000001E-2</v>
      </c>
      <c r="F29" s="11">
        <f>[14]gpt4omini_single_100!L28</f>
        <v>-0.374778</v>
      </c>
      <c r="G29">
        <v>26</v>
      </c>
      <c r="H29">
        <f>[10]gpt4omini_single_60!L28</f>
        <v>-0.175729</v>
      </c>
      <c r="I29">
        <f>[11]gpt4omini_single_60!L28</f>
        <v>3.5469000000000001E-2</v>
      </c>
      <c r="J29">
        <f>[12]gpt4omini_single_60!L28</f>
        <v>6.8454000000000001E-2</v>
      </c>
      <c r="K29">
        <f>[13]gpt4omini_single_60!L28</f>
        <v>5.4751000000000001E-2</v>
      </c>
      <c r="L29">
        <f>[14]gpt4omini_single_60!L28</f>
        <v>-0.139457</v>
      </c>
      <c r="M29" s="12">
        <v>26</v>
      </c>
      <c r="N29">
        <f>[10]gpt4omini_single_100_2!L28</f>
        <v>-0.61974499999999999</v>
      </c>
      <c r="O29">
        <f>[11]gpt4omini_single_100_2!L28</f>
        <v>-0.51309899999999997</v>
      </c>
      <c r="P29">
        <f>[12]gpt4omini_single_100_2!L28</f>
        <v>-0.413441</v>
      </c>
      <c r="Q29">
        <f>[13]gpt4omini_single_100_2!L28</f>
        <v>-0.32227600000000001</v>
      </c>
      <c r="R29" s="11">
        <f>[14]gpt4omini_single_100_2!L28</f>
        <v>-0.49385499999999999</v>
      </c>
      <c r="S29">
        <v>26</v>
      </c>
      <c r="T29">
        <f>[10]gpt4omini_single_60_2!L28</f>
        <v>-0.30003099999999999</v>
      </c>
      <c r="U29">
        <f>[11]gpt4omini_single_60_2!L28</f>
        <v>-0.20463200000000001</v>
      </c>
      <c r="V29">
        <f>[12]gpt4omini_single_60_2!L28</f>
        <v>-7.3271000000000003E-2</v>
      </c>
      <c r="W29">
        <f>[13]gpt4omini_single_60_2!L28</f>
        <v>-0.1464</v>
      </c>
      <c r="X29">
        <f>[14]gpt4omini_single_60_2!L28</f>
        <v>-0.21443699999999999</v>
      </c>
    </row>
    <row r="30" spans="1:24" x14ac:dyDescent="0.2">
      <c r="A30" s="12">
        <v>27</v>
      </c>
      <c r="B30">
        <f>[10]gpt4omini_single_100!L29</f>
        <v>-0.33133400000000002</v>
      </c>
      <c r="C30">
        <f>[11]gpt4omini_single_100!L29</f>
        <v>-4.2689999999999999E-2</v>
      </c>
      <c r="D30">
        <f>[12]gpt4omini_single_100!L29</f>
        <v>9.3600000000000003E-2</v>
      </c>
      <c r="E30">
        <f>[13]gpt4omini_single_100!L29</f>
        <v>9.5082E-2</v>
      </c>
      <c r="F30" s="11">
        <f>[14]gpt4omini_single_100!L29</f>
        <v>-0.37573400000000001</v>
      </c>
      <c r="G30">
        <v>27</v>
      </c>
      <c r="H30">
        <f>[10]gpt4omini_single_60!L29</f>
        <v>-0.17866799999999999</v>
      </c>
      <c r="I30">
        <f>[11]gpt4omini_single_60!L29</f>
        <v>3.5193000000000002E-2</v>
      </c>
      <c r="J30">
        <f>[12]gpt4omini_single_60!L29</f>
        <v>7.0675000000000002E-2</v>
      </c>
      <c r="K30">
        <f>[13]gpt4omini_single_60!L29</f>
        <v>5.5538999999999998E-2</v>
      </c>
      <c r="L30">
        <f>[14]gpt4omini_single_60!L29</f>
        <v>-0.14329700000000001</v>
      </c>
      <c r="M30" s="12">
        <v>27</v>
      </c>
      <c r="N30">
        <f>[10]gpt4omini_single_100_2!L29</f>
        <v>-0.62192800000000004</v>
      </c>
      <c r="O30">
        <f>[11]gpt4omini_single_100_2!L29</f>
        <v>-0.51534100000000005</v>
      </c>
      <c r="P30">
        <f>[12]gpt4omini_single_100_2!L29</f>
        <v>-0.41661999999999999</v>
      </c>
      <c r="Q30">
        <f>[13]gpt4omini_single_100_2!L29</f>
        <v>-0.318799</v>
      </c>
      <c r="R30" s="11">
        <f>[14]gpt4omini_single_100_2!L29</f>
        <v>-0.49511100000000002</v>
      </c>
      <c r="S30">
        <v>27</v>
      </c>
      <c r="T30">
        <f>[10]gpt4omini_single_60_2!L29</f>
        <v>-0.30596400000000001</v>
      </c>
      <c r="U30">
        <f>[11]gpt4omini_single_60_2!L29</f>
        <v>-0.20785000000000001</v>
      </c>
      <c r="V30">
        <f>[12]gpt4omini_single_60_2!L29</f>
        <v>-7.1479000000000001E-2</v>
      </c>
      <c r="W30">
        <f>[13]gpt4omini_single_60_2!L29</f>
        <v>-0.14543800000000001</v>
      </c>
      <c r="X30">
        <f>[14]gpt4omini_single_60_2!L29</f>
        <v>-0.215783</v>
      </c>
    </row>
    <row r="31" spans="1:24" x14ac:dyDescent="0.2">
      <c r="A31" s="12">
        <v>28</v>
      </c>
      <c r="B31">
        <f>[10]gpt4omini_single_100!L30</f>
        <v>-0.33553300000000003</v>
      </c>
      <c r="C31">
        <f>[11]gpt4omini_single_100!L30</f>
        <v>-4.0120000000000003E-2</v>
      </c>
      <c r="D31">
        <f>[12]gpt4omini_single_100!L30</f>
        <v>9.8221000000000003E-2</v>
      </c>
      <c r="E31">
        <f>[13]gpt4omini_single_100!L30</f>
        <v>0.100816</v>
      </c>
      <c r="F31" s="11">
        <f>[14]gpt4omini_single_100!L30</f>
        <v>-0.37881100000000001</v>
      </c>
      <c r="G31">
        <v>28</v>
      </c>
      <c r="H31">
        <f>[10]gpt4omini_single_60!L30</f>
        <v>-0.18050099999999999</v>
      </c>
      <c r="I31">
        <f>[11]gpt4omini_single_60!L30</f>
        <v>5.3962000000000003E-2</v>
      </c>
      <c r="J31">
        <f>[12]gpt4omini_single_60!L30</f>
        <v>6.3841999999999996E-2</v>
      </c>
      <c r="K31">
        <f>[13]gpt4omini_single_60!L30</f>
        <v>4.5671999999999997E-2</v>
      </c>
      <c r="L31">
        <f>[14]gpt4omini_single_60!L30</f>
        <v>-0.144982</v>
      </c>
      <c r="M31" s="12">
        <v>28</v>
      </c>
      <c r="N31">
        <f>[10]gpt4omini_single_100_2!L30</f>
        <v>-0.62377700000000003</v>
      </c>
      <c r="O31">
        <f>[11]gpt4omini_single_100_2!L30</f>
        <v>-0.51350700000000005</v>
      </c>
      <c r="P31">
        <f>[12]gpt4omini_single_100_2!L30</f>
        <v>-0.41638199999999997</v>
      </c>
      <c r="Q31">
        <f>[13]gpt4omini_single_100_2!L30</f>
        <v>-0.31800099999999998</v>
      </c>
      <c r="R31" s="11">
        <f>[14]gpt4omini_single_100_2!L30</f>
        <v>-0.49888900000000003</v>
      </c>
      <c r="S31">
        <v>28</v>
      </c>
      <c r="T31">
        <f>[10]gpt4omini_single_60_2!L30</f>
        <v>-0.31095800000000001</v>
      </c>
      <c r="U31">
        <f>[11]gpt4omini_single_60_2!L30</f>
        <v>-0.207951</v>
      </c>
      <c r="V31">
        <f>[12]gpt4omini_single_60_2!L30</f>
        <v>-7.5213000000000002E-2</v>
      </c>
      <c r="W31">
        <f>[13]gpt4omini_single_60_2!L30</f>
        <v>-0.142655</v>
      </c>
      <c r="X31">
        <f>[14]gpt4omini_single_60_2!L30</f>
        <v>-0.21943399999999999</v>
      </c>
    </row>
    <row r="32" spans="1:24" x14ac:dyDescent="0.2">
      <c r="A32" s="12">
        <v>29</v>
      </c>
      <c r="B32">
        <f>[10]gpt4omini_single_100!L31</f>
        <v>-0.33595900000000001</v>
      </c>
      <c r="C32">
        <f>[11]gpt4omini_single_100!L31</f>
        <v>-3.8593000000000002E-2</v>
      </c>
      <c r="D32">
        <f>[12]gpt4omini_single_100!L31</f>
        <v>0.103215</v>
      </c>
      <c r="E32">
        <f>[13]gpt4omini_single_100!L31</f>
        <v>9.9625000000000005E-2</v>
      </c>
      <c r="F32" s="11">
        <f>[14]gpt4omini_single_100!L31</f>
        <v>-0.379608</v>
      </c>
      <c r="G32">
        <v>29</v>
      </c>
      <c r="H32">
        <f>[10]gpt4omini_single_60!L31</f>
        <v>-0.182198</v>
      </c>
      <c r="I32">
        <f>[11]gpt4omini_single_60!L31</f>
        <v>5.5062E-2</v>
      </c>
      <c r="J32">
        <f>[12]gpt4omini_single_60!L31</f>
        <v>6.2058000000000002E-2</v>
      </c>
      <c r="K32">
        <f>[13]gpt4omini_single_60!L31</f>
        <v>5.0411999999999998E-2</v>
      </c>
      <c r="L32">
        <f>[14]gpt4omini_single_60!L31</f>
        <v>-0.14580499999999999</v>
      </c>
      <c r="M32" s="12">
        <v>29</v>
      </c>
      <c r="N32">
        <f>[10]gpt4omini_single_100_2!L31</f>
        <v>-0.62402800000000003</v>
      </c>
      <c r="O32">
        <f>[11]gpt4omini_single_100_2!L31</f>
        <v>-0.50463899999999995</v>
      </c>
      <c r="P32">
        <f>[12]gpt4omini_single_100_2!L31</f>
        <v>-0.41530600000000001</v>
      </c>
      <c r="Q32">
        <f>[13]gpt4omini_single_100_2!L31</f>
        <v>-0.32087900000000003</v>
      </c>
      <c r="R32" s="11">
        <f>[14]gpt4omini_single_100_2!L31</f>
        <v>-0.50471699999999997</v>
      </c>
      <c r="S32">
        <v>29</v>
      </c>
      <c r="T32">
        <f>[10]gpt4omini_single_60_2!L31</f>
        <v>-0.31419200000000003</v>
      </c>
      <c r="U32">
        <f>[11]gpt4omini_single_60_2!L31</f>
        <v>-0.214172</v>
      </c>
      <c r="V32">
        <f>[12]gpt4omini_single_60_2!L31</f>
        <v>-5.9492999999999997E-2</v>
      </c>
      <c r="W32">
        <f>[13]gpt4omini_single_60_2!L31</f>
        <v>-0.14460899999999999</v>
      </c>
      <c r="X32">
        <f>[14]gpt4omini_single_60_2!L31</f>
        <v>-0.22095600000000001</v>
      </c>
    </row>
    <row r="33" spans="1:24" x14ac:dyDescent="0.2">
      <c r="A33" s="12">
        <v>30</v>
      </c>
      <c r="B33">
        <f>[10]gpt4omini_single_100!L32</f>
        <v>-0.33761600000000003</v>
      </c>
      <c r="C33">
        <f>[11]gpt4omini_single_100!L32</f>
        <v>-3.7768999999999997E-2</v>
      </c>
      <c r="D33">
        <f>[12]gpt4omini_single_100!L32</f>
        <v>0.107055</v>
      </c>
      <c r="E33">
        <f>[13]gpt4omini_single_100!L32</f>
        <v>0.10352699999999999</v>
      </c>
      <c r="F33" s="11">
        <f>[14]gpt4omini_single_100!L32</f>
        <v>-0.381525</v>
      </c>
      <c r="G33">
        <v>30</v>
      </c>
      <c r="H33">
        <f>[10]gpt4omini_single_60!L32</f>
        <v>-0.19253000000000001</v>
      </c>
      <c r="I33">
        <f>[11]gpt4omini_single_60!L32</f>
        <v>4.8724000000000003E-2</v>
      </c>
      <c r="J33">
        <f>[12]gpt4omini_single_60!L32</f>
        <v>5.5606999999999997E-2</v>
      </c>
      <c r="K33">
        <f>[13]gpt4omini_single_60!L32</f>
        <v>3.5207000000000002E-2</v>
      </c>
      <c r="L33">
        <f>[14]gpt4omini_single_60!L32</f>
        <v>-0.14848900000000001</v>
      </c>
      <c r="M33" s="12">
        <v>30</v>
      </c>
      <c r="N33">
        <f>[10]gpt4omini_single_100_2!L32</f>
        <v>-0.63039599999999996</v>
      </c>
      <c r="O33">
        <f>[11]gpt4omini_single_100_2!L32</f>
        <v>-0.50835300000000005</v>
      </c>
      <c r="P33">
        <f>[12]gpt4omini_single_100_2!L32</f>
        <v>-0.41766199999999998</v>
      </c>
      <c r="Q33">
        <f>[13]gpt4omini_single_100_2!L32</f>
        <v>-0.32471</v>
      </c>
      <c r="R33" s="11">
        <f>[14]gpt4omini_single_100_2!L32</f>
        <v>-0.507579</v>
      </c>
      <c r="S33">
        <v>30</v>
      </c>
      <c r="T33">
        <f>[10]gpt4omini_single_60_2!L32</f>
        <v>-0.32980599999999999</v>
      </c>
      <c r="U33">
        <f>[11]gpt4omini_single_60_2!L32</f>
        <v>-0.221134</v>
      </c>
      <c r="V33">
        <f>[12]gpt4omini_single_60_2!L32</f>
        <v>-6.6934999999999995E-2</v>
      </c>
      <c r="W33">
        <f>[13]gpt4omini_single_60_2!L32</f>
        <v>-0.14260800000000001</v>
      </c>
      <c r="X33">
        <f>[14]gpt4omini_single_60_2!L32</f>
        <v>-0.222692</v>
      </c>
    </row>
    <row r="34" spans="1:24" x14ac:dyDescent="0.2">
      <c r="A34" s="12">
        <v>31</v>
      </c>
      <c r="B34">
        <f>[10]gpt4omini_single_100!L33</f>
        <v>-0.34054099999999998</v>
      </c>
      <c r="C34">
        <f>[11]gpt4omini_single_100!L33</f>
        <v>-4.8964000000000001E-2</v>
      </c>
      <c r="D34">
        <f>[12]gpt4omini_single_100!L33</f>
        <v>9.4344999999999998E-2</v>
      </c>
      <c r="E34">
        <f>[13]gpt4omini_single_100!L33</f>
        <v>9.1053999999999996E-2</v>
      </c>
      <c r="F34" s="11">
        <f>[14]gpt4omini_single_100!L33</f>
        <v>-0.38258199999999998</v>
      </c>
      <c r="G34">
        <v>31</v>
      </c>
      <c r="H34">
        <f>[10]gpt4omini_single_60!L33</f>
        <v>-0.20319200000000001</v>
      </c>
      <c r="I34">
        <f>[11]gpt4omini_single_60!L33</f>
        <v>4.8253999999999998E-2</v>
      </c>
      <c r="J34">
        <f>[12]gpt4omini_single_60!L33</f>
        <v>5.8761000000000001E-2</v>
      </c>
      <c r="K34">
        <f>[13]gpt4omini_single_60!L33</f>
        <v>3.0041999999999999E-2</v>
      </c>
      <c r="L34">
        <f>[14]gpt4omini_single_60!L33</f>
        <v>-0.15153</v>
      </c>
      <c r="M34" s="12">
        <v>31</v>
      </c>
      <c r="N34">
        <f>[10]gpt4omini_single_100_2!L33</f>
        <v>-0.63286699999999996</v>
      </c>
      <c r="O34">
        <f>[11]gpt4omini_single_100_2!L33</f>
        <v>-0.52330600000000005</v>
      </c>
      <c r="P34">
        <f>[12]gpt4omini_single_100_2!L33</f>
        <v>-0.43512000000000001</v>
      </c>
      <c r="Q34">
        <f>[13]gpt4omini_single_100_2!L33</f>
        <v>-0.34485199999999999</v>
      </c>
      <c r="R34" s="11">
        <f>[14]gpt4omini_single_100_2!L33</f>
        <v>-0.51539100000000004</v>
      </c>
      <c r="S34">
        <v>31</v>
      </c>
      <c r="T34">
        <f>[10]gpt4omini_single_60_2!L33</f>
        <v>-0.34392899999999998</v>
      </c>
      <c r="U34">
        <f>[11]gpt4omini_single_60_2!L33</f>
        <v>-0.22246099999999999</v>
      </c>
      <c r="V34">
        <f>[12]gpt4omini_single_60_2!L33</f>
        <v>-6.6461000000000006E-2</v>
      </c>
      <c r="W34">
        <f>[13]gpt4omini_single_60_2!L33</f>
        <v>-0.13845099999999999</v>
      </c>
      <c r="X34">
        <f>[14]gpt4omini_single_60_2!L33</f>
        <v>-0.227164</v>
      </c>
    </row>
    <row r="35" spans="1:24" x14ac:dyDescent="0.2">
      <c r="A35" s="12">
        <v>32</v>
      </c>
      <c r="B35">
        <f>[10]gpt4omini_single_100!L34</f>
        <v>-0.34857199999999999</v>
      </c>
      <c r="C35">
        <f>[11]gpt4omini_single_100!L34</f>
        <v>-5.6305000000000001E-2</v>
      </c>
      <c r="D35">
        <f>[12]gpt4omini_single_100!L34</f>
        <v>8.9855000000000004E-2</v>
      </c>
      <c r="E35">
        <f>[13]gpt4omini_single_100!L34</f>
        <v>8.5011000000000003E-2</v>
      </c>
      <c r="F35" s="11">
        <f>[14]gpt4omini_single_100!L34</f>
        <v>-0.392646</v>
      </c>
      <c r="G35">
        <v>32</v>
      </c>
      <c r="H35">
        <f>[10]gpt4omini_single_60!L34</f>
        <v>-0.206284</v>
      </c>
      <c r="I35">
        <f>[11]gpt4omini_single_60!L34</f>
        <v>6.6409999999999997E-2</v>
      </c>
      <c r="J35">
        <f>[12]gpt4omini_single_60!L34</f>
        <v>6.5439999999999998E-2</v>
      </c>
      <c r="K35">
        <f>[13]gpt4omini_single_60!L34</f>
        <v>2.3727999999999999E-2</v>
      </c>
      <c r="L35">
        <f>[14]gpt4omini_single_60!L34</f>
        <v>-0.15498700000000001</v>
      </c>
      <c r="M35" s="12">
        <v>32</v>
      </c>
      <c r="N35">
        <f>[10]gpt4omini_single_100_2!L34</f>
        <v>-0.64764200000000005</v>
      </c>
      <c r="O35">
        <f>[11]gpt4omini_single_100_2!L34</f>
        <v>-0.53795800000000005</v>
      </c>
      <c r="P35">
        <f>[12]gpt4omini_single_100_2!L34</f>
        <v>-0.44930300000000001</v>
      </c>
      <c r="Q35">
        <f>[13]gpt4omini_single_100_2!L34</f>
        <v>-0.35936499999999999</v>
      </c>
      <c r="R35" s="11">
        <f>[14]gpt4omini_single_100_2!L34</f>
        <v>-0.52995599999999998</v>
      </c>
      <c r="S35">
        <v>32</v>
      </c>
      <c r="T35">
        <f>[10]gpt4omini_single_60_2!L34</f>
        <v>-0.34807500000000002</v>
      </c>
      <c r="U35">
        <f>[11]gpt4omini_single_60_2!L34</f>
        <v>-0.217918</v>
      </c>
      <c r="V35">
        <f>[12]gpt4omini_single_60_2!L34</f>
        <v>-5.2382999999999999E-2</v>
      </c>
      <c r="W35">
        <f>[13]gpt4omini_single_60_2!L34</f>
        <v>-0.125473</v>
      </c>
      <c r="X35">
        <f>[14]gpt4omini_single_60_2!L34</f>
        <v>-0.235841</v>
      </c>
    </row>
    <row r="36" spans="1:24" x14ac:dyDescent="0.2">
      <c r="A36" s="12">
        <v>33</v>
      </c>
      <c r="B36">
        <f>[10]gpt4omini_single_100!L35</f>
        <v>-0.352858</v>
      </c>
      <c r="C36">
        <f>[11]gpt4omini_single_100!L35</f>
        <v>-6.2213999999999998E-2</v>
      </c>
      <c r="D36">
        <f>[12]gpt4omini_single_100!L35</f>
        <v>9.9889000000000006E-2</v>
      </c>
      <c r="E36">
        <f>[13]gpt4omini_single_100!L35</f>
        <v>0.11061</v>
      </c>
      <c r="F36" s="11">
        <f>[14]gpt4omini_single_100!L35</f>
        <v>-0.39827800000000002</v>
      </c>
      <c r="G36">
        <v>33</v>
      </c>
      <c r="H36">
        <f>[10]gpt4omini_single_60!L35</f>
        <v>-0.21050099999999999</v>
      </c>
      <c r="I36">
        <f>[11]gpt4omini_single_60!L35</f>
        <v>7.5954999999999995E-2</v>
      </c>
      <c r="J36">
        <f>[12]gpt4omini_single_60!L35</f>
        <v>7.2326000000000001E-2</v>
      </c>
      <c r="K36">
        <f>[13]gpt4omini_single_60!L35</f>
        <v>2.2672999999999999E-2</v>
      </c>
      <c r="L36">
        <f>[14]gpt4omini_single_60!L35</f>
        <v>-0.17829500000000001</v>
      </c>
      <c r="M36" s="12">
        <v>33</v>
      </c>
      <c r="N36">
        <f>[10]gpt4omini_single_100_2!L35</f>
        <v>-0.65469699999999997</v>
      </c>
      <c r="O36">
        <f>[11]gpt4omini_single_100_2!L35</f>
        <v>-0.54788499999999996</v>
      </c>
      <c r="P36">
        <f>[12]gpt4omini_single_100_2!L35</f>
        <v>-0.425792</v>
      </c>
      <c r="Q36">
        <f>[13]gpt4omini_single_100_2!L35</f>
        <v>-0.365284</v>
      </c>
      <c r="R36" s="11">
        <f>[14]gpt4omini_single_100_2!L35</f>
        <v>-0.53806600000000004</v>
      </c>
      <c r="S36">
        <v>33</v>
      </c>
      <c r="T36">
        <f>[10]gpt4omini_single_60_2!L35</f>
        <v>-0.35228799999999999</v>
      </c>
      <c r="U36">
        <f>[11]gpt4omini_single_60_2!L35</f>
        <v>-0.22720199999999999</v>
      </c>
      <c r="V36">
        <f>[12]gpt4omini_single_60_2!L35</f>
        <v>-5.9431999999999999E-2</v>
      </c>
      <c r="W36">
        <f>[13]gpt4omini_single_60_2!L35</f>
        <v>-0.13825200000000001</v>
      </c>
      <c r="X36">
        <f>[14]gpt4omini_single_60_2!L35</f>
        <v>-0.28648600000000002</v>
      </c>
    </row>
    <row r="37" spans="1:24" x14ac:dyDescent="0.2">
      <c r="A37" s="12">
        <v>34</v>
      </c>
      <c r="B37">
        <f>[10]gpt4omini_single_100!L36</f>
        <v>-0.35674699999999998</v>
      </c>
      <c r="C37">
        <f>[11]gpt4omini_single_100!L36</f>
        <v>-6.012E-2</v>
      </c>
      <c r="D37">
        <f>[12]gpt4omini_single_100!L36</f>
        <v>0.116218</v>
      </c>
      <c r="E37">
        <f>[13]gpt4omini_single_100!L36</f>
        <v>0.11949799999999999</v>
      </c>
      <c r="F37" s="11">
        <f>[14]gpt4omini_single_100!L36</f>
        <v>-0.40667799999999998</v>
      </c>
      <c r="G37">
        <v>34</v>
      </c>
      <c r="H37">
        <f>[10]gpt4omini_single_60!L36</f>
        <v>-0.215421</v>
      </c>
      <c r="I37">
        <f>[11]gpt4omini_single_60!L36</f>
        <v>7.6369000000000006E-2</v>
      </c>
      <c r="J37">
        <f>[12]gpt4omini_single_60!L36</f>
        <v>6.6847000000000004E-2</v>
      </c>
      <c r="K37">
        <f>[13]gpt4omini_single_60!L36</f>
        <v>2.6898999999999999E-2</v>
      </c>
      <c r="L37">
        <f>[14]gpt4omini_single_60!L36</f>
        <v>-0.19603599999999999</v>
      </c>
      <c r="M37" s="12">
        <v>34</v>
      </c>
      <c r="N37">
        <f>[10]gpt4omini_single_100_2!L36</f>
        <v>-0.66105999999999998</v>
      </c>
      <c r="O37">
        <f>[11]gpt4omini_single_100_2!L36</f>
        <v>-0.55284699999999998</v>
      </c>
      <c r="P37">
        <f>[12]gpt4omini_single_100_2!L36</f>
        <v>-0.46304899999999999</v>
      </c>
      <c r="Q37">
        <f>[13]gpt4omini_single_100_2!L36</f>
        <v>-0.374581</v>
      </c>
      <c r="R37" s="11">
        <f>[14]gpt4omini_single_100_2!L36</f>
        <v>-0.54793499999999995</v>
      </c>
      <c r="S37">
        <v>34</v>
      </c>
      <c r="T37">
        <f>[10]gpt4omini_single_60_2!L36</f>
        <v>-0.36438799999999999</v>
      </c>
      <c r="U37">
        <f>[11]gpt4omini_single_60_2!L36</f>
        <v>-0.21859400000000001</v>
      </c>
      <c r="V37">
        <f>[12]gpt4omini_single_60_2!L36</f>
        <v>-6.1582999999999999E-2</v>
      </c>
      <c r="W37">
        <f>[13]gpt4omini_single_60_2!L36</f>
        <v>-0.14094100000000001</v>
      </c>
      <c r="X37">
        <f>[14]gpt4omini_single_60_2!L36</f>
        <v>-0.31484299999999998</v>
      </c>
    </row>
    <row r="38" spans="1:24" x14ac:dyDescent="0.2">
      <c r="A38" s="12">
        <v>35</v>
      </c>
      <c r="B38">
        <f>[10]gpt4omini_single_100!L37</f>
        <v>-0.36060199999999998</v>
      </c>
      <c r="C38">
        <f>[11]gpt4omini_single_100!L37</f>
        <v>-5.7935E-2</v>
      </c>
      <c r="D38">
        <f>[12]gpt4omini_single_100!L37</f>
        <v>0.119977</v>
      </c>
      <c r="E38">
        <f>[13]gpt4omini_single_100!L37</f>
        <v>0.13738</v>
      </c>
      <c r="F38" s="11">
        <f>[14]gpt4omini_single_100!L37</f>
        <v>-0.41418300000000002</v>
      </c>
      <c r="G38">
        <v>35</v>
      </c>
      <c r="H38">
        <f>[10]gpt4omini_single_60!L37</f>
        <v>-0.226156</v>
      </c>
      <c r="I38">
        <f>[11]gpt4omini_single_60!L37</f>
        <v>5.7632000000000003E-2</v>
      </c>
      <c r="J38">
        <f>[12]gpt4omini_single_60!L37</f>
        <v>4.7466000000000001E-2</v>
      </c>
      <c r="K38">
        <f>[13]gpt4omini_single_60!L37</f>
        <v>8.2170000000000003E-3</v>
      </c>
      <c r="L38">
        <f>[14]gpt4omini_single_60!L37</f>
        <v>-0.19785800000000001</v>
      </c>
      <c r="M38" s="12">
        <v>35</v>
      </c>
      <c r="N38">
        <f>[10]gpt4omini_single_100_2!L37</f>
        <v>-0.66744700000000001</v>
      </c>
      <c r="O38">
        <f>[11]gpt4omini_single_100_2!L37</f>
        <v>-0.52400999999999998</v>
      </c>
      <c r="P38">
        <f>[12]gpt4omini_single_100_2!L37</f>
        <v>-0.42434500000000003</v>
      </c>
      <c r="Q38">
        <f>[13]gpt4omini_single_100_2!L37</f>
        <v>-0.377743</v>
      </c>
      <c r="R38" s="11">
        <f>[14]gpt4omini_single_100_2!L37</f>
        <v>-0.55931799999999998</v>
      </c>
      <c r="S38">
        <v>35</v>
      </c>
      <c r="T38">
        <f>[10]gpt4omini_single_60_2!L37</f>
        <v>-0.38800000000000001</v>
      </c>
      <c r="U38">
        <f>[11]gpt4omini_single_60_2!L37</f>
        <v>-0.24204700000000001</v>
      </c>
      <c r="V38">
        <f>[12]gpt4omini_single_60_2!L37</f>
        <v>-7.3326000000000002E-2</v>
      </c>
      <c r="W38">
        <f>[13]gpt4omini_single_60_2!L37</f>
        <v>-0.173457</v>
      </c>
      <c r="X38">
        <f>[14]gpt4omini_single_60_2!L37</f>
        <v>-0.31833</v>
      </c>
    </row>
    <row r="39" spans="1:24" x14ac:dyDescent="0.2">
      <c r="A39" s="12">
        <v>36</v>
      </c>
      <c r="B39">
        <f>[10]gpt4omini_single_100!L38</f>
        <v>-0.36510799999999999</v>
      </c>
      <c r="C39">
        <f>[11]gpt4omini_single_100!L38</f>
        <v>-5.5426999999999997E-2</v>
      </c>
      <c r="D39">
        <f>[12]gpt4omini_single_100!L38</f>
        <v>0.14210200000000001</v>
      </c>
      <c r="E39">
        <f>[13]gpt4omini_single_100!L38</f>
        <v>0.13473199999999999</v>
      </c>
      <c r="F39" s="11">
        <f>[14]gpt4omini_single_100!L38</f>
        <v>-0.41503800000000002</v>
      </c>
      <c r="G39">
        <v>36</v>
      </c>
      <c r="H39">
        <f>[10]gpt4omini_single_60!L38</f>
        <v>-0.23912900000000001</v>
      </c>
      <c r="I39">
        <f>[11]gpt4omini_single_60!L38</f>
        <v>6.4848000000000003E-2</v>
      </c>
      <c r="J39">
        <f>[12]gpt4omini_single_60!L38</f>
        <v>6.4376000000000003E-2</v>
      </c>
      <c r="K39">
        <f>[13]gpt4omini_single_60!L38</f>
        <v>6.9049999999999997E-3</v>
      </c>
      <c r="L39">
        <f>[14]gpt4omini_single_60!L38</f>
        <v>-0.20180600000000001</v>
      </c>
      <c r="M39" s="12">
        <v>36</v>
      </c>
      <c r="N39">
        <f>[10]gpt4omini_single_100_2!L38</f>
        <v>-0.66813</v>
      </c>
      <c r="O39">
        <f>[11]gpt4omini_single_100_2!L38</f>
        <v>-0.48958699999999999</v>
      </c>
      <c r="P39">
        <f>[12]gpt4omini_single_100_2!L38</f>
        <v>-0.41745700000000002</v>
      </c>
      <c r="Q39">
        <f>[13]gpt4omini_single_100_2!L38</f>
        <v>-0.36093199999999998</v>
      </c>
      <c r="R39" s="11">
        <f>[14]gpt4omini_single_100_2!L38</f>
        <v>-0.56135000000000002</v>
      </c>
      <c r="S39">
        <v>36</v>
      </c>
      <c r="T39">
        <f>[10]gpt4omini_single_60_2!L38</f>
        <v>-0.40697</v>
      </c>
      <c r="U39">
        <f>[11]gpt4omini_single_60_2!L38</f>
        <v>-0.25209199999999998</v>
      </c>
      <c r="V39">
        <f>[12]gpt4omini_single_60_2!L38</f>
        <v>-7.5098999999999999E-2</v>
      </c>
      <c r="W39">
        <f>[13]gpt4omini_single_60_2!L38</f>
        <v>-0.18124499999999999</v>
      </c>
      <c r="X39">
        <f>[14]gpt4omini_single_60_2!L38</f>
        <v>-0.32130199999999998</v>
      </c>
    </row>
    <row r="40" spans="1:24" x14ac:dyDescent="0.2">
      <c r="A40" s="12">
        <v>37</v>
      </c>
      <c r="B40">
        <f>[10]gpt4omini_single_100!L39</f>
        <v>-0.36638199999999999</v>
      </c>
      <c r="C40">
        <f>[11]gpt4omini_single_100!L39</f>
        <v>-4.0104000000000001E-2</v>
      </c>
      <c r="D40">
        <f>[12]gpt4omini_single_100!L39</f>
        <v>0.14691000000000001</v>
      </c>
      <c r="E40">
        <f>[13]gpt4omini_single_100!L39</f>
        <v>0.13197800000000001</v>
      </c>
      <c r="F40" s="11">
        <f>[14]gpt4omini_single_100!L39</f>
        <v>-0.41644999999999999</v>
      </c>
      <c r="G40">
        <v>37</v>
      </c>
      <c r="H40">
        <f>[10]gpt4omini_single_60!L39</f>
        <v>-0.24230399999999999</v>
      </c>
      <c r="I40">
        <f>[11]gpt4omini_single_60!L39</f>
        <v>6.7357E-2</v>
      </c>
      <c r="J40">
        <f>[12]gpt4omini_single_60!L39</f>
        <v>6.5869999999999998E-2</v>
      </c>
      <c r="K40">
        <f>[13]gpt4omini_single_60!L39</f>
        <v>9.8700000000000003E-3</v>
      </c>
      <c r="L40">
        <f>[14]gpt4omini_single_60!L39</f>
        <v>-0.20718700000000001</v>
      </c>
      <c r="M40" s="12">
        <v>37</v>
      </c>
      <c r="N40">
        <f>[10]gpt4omini_single_100_2!L39</f>
        <v>-0.66849000000000003</v>
      </c>
      <c r="O40">
        <f>[11]gpt4omini_single_100_2!L39</f>
        <v>-0.50522100000000003</v>
      </c>
      <c r="P40">
        <f>[12]gpt4omini_single_100_2!L39</f>
        <v>-0.43302200000000002</v>
      </c>
      <c r="Q40">
        <f>[13]gpt4omini_single_100_2!L39</f>
        <v>-0.39829500000000001</v>
      </c>
      <c r="R40" s="11">
        <f>[14]gpt4omini_single_100_2!L39</f>
        <v>-0.56518500000000005</v>
      </c>
      <c r="S40">
        <v>37</v>
      </c>
      <c r="T40">
        <f>[10]gpt4omini_single_60_2!L39</f>
        <v>-0.41555199999999998</v>
      </c>
      <c r="U40">
        <f>[11]gpt4omini_single_60_2!L39</f>
        <v>-0.25834299999999999</v>
      </c>
      <c r="V40">
        <f>[12]gpt4omini_single_60_2!L39</f>
        <v>-8.4984000000000004E-2</v>
      </c>
      <c r="W40">
        <f>[13]gpt4omini_single_60_2!L39</f>
        <v>-0.183007</v>
      </c>
      <c r="X40">
        <f>[14]gpt4omini_single_60_2!L39</f>
        <v>-0.329428</v>
      </c>
    </row>
    <row r="41" spans="1:24" x14ac:dyDescent="0.2">
      <c r="A41" s="12">
        <v>38</v>
      </c>
      <c r="B41">
        <f>[10]gpt4omini_single_100!L40</f>
        <v>-0.37127700000000002</v>
      </c>
      <c r="C41">
        <f>[11]gpt4omini_single_100!L40</f>
        <v>-6.0284999999999998E-2</v>
      </c>
      <c r="D41">
        <f>[12]gpt4omini_single_100!L40</f>
        <v>9.7638000000000003E-2</v>
      </c>
      <c r="E41">
        <f>[13]gpt4omini_single_100!L40</f>
        <v>0.20039499999999999</v>
      </c>
      <c r="F41" s="11">
        <f>[14]gpt4omini_single_100!L40</f>
        <v>-0.42281200000000002</v>
      </c>
      <c r="G41">
        <v>38</v>
      </c>
      <c r="H41">
        <f>[10]gpt4omini_single_60!L40</f>
        <v>-0.243282</v>
      </c>
      <c r="I41">
        <f>[11]gpt4omini_single_60!L40</f>
        <v>6.9264000000000006E-2</v>
      </c>
      <c r="J41">
        <f>[12]gpt4omini_single_60!L40</f>
        <v>6.1294000000000001E-2</v>
      </c>
      <c r="K41">
        <f>[13]gpt4omini_single_60!L40</f>
        <v>1.507E-2</v>
      </c>
      <c r="L41">
        <f>[14]gpt4omini_single_60!L40</f>
        <v>-0.210536</v>
      </c>
      <c r="M41" s="12">
        <v>38</v>
      </c>
      <c r="N41">
        <f>[10]gpt4omini_single_100_2!L40</f>
        <v>-0.68412300000000004</v>
      </c>
      <c r="O41">
        <f>[11]gpt4omini_single_100_2!L40</f>
        <v>-0.46477000000000002</v>
      </c>
      <c r="P41">
        <f>[12]gpt4omini_single_100_2!L40</f>
        <v>-0.41041</v>
      </c>
      <c r="Q41">
        <f>[13]gpt4omini_single_100_2!L40</f>
        <v>-0.31917800000000002</v>
      </c>
      <c r="R41" s="11">
        <f>[14]gpt4omini_single_100_2!L40</f>
        <v>-0.57203700000000002</v>
      </c>
      <c r="S41">
        <v>38</v>
      </c>
      <c r="T41">
        <f>[10]gpt4omini_single_60_2!L40</f>
        <v>-0.42227599999999998</v>
      </c>
      <c r="U41">
        <f>[11]gpt4omini_single_60_2!L40</f>
        <v>-0.25822600000000001</v>
      </c>
      <c r="V41">
        <f>[12]gpt4omini_single_60_2!L40</f>
        <v>-9.4370999999999997E-2</v>
      </c>
      <c r="W41">
        <f>[13]gpt4omini_single_60_2!L40</f>
        <v>-0.170848</v>
      </c>
      <c r="X41">
        <f>[14]gpt4omini_single_60_2!L40</f>
        <v>-0.33568100000000001</v>
      </c>
    </row>
    <row r="42" spans="1:24" x14ac:dyDescent="0.2">
      <c r="A42" s="12">
        <v>39</v>
      </c>
      <c r="B42">
        <f>[10]gpt4omini_single_100!L41</f>
        <v>-0.38076399999999999</v>
      </c>
      <c r="C42">
        <f>[11]gpt4omini_single_100!L41</f>
        <v>-6.2698000000000004E-2</v>
      </c>
      <c r="D42">
        <f>[12]gpt4omini_single_100!L41</f>
        <v>0.117033</v>
      </c>
      <c r="E42">
        <f>[13]gpt4omini_single_100!L41</f>
        <v>0.22359499999999999</v>
      </c>
      <c r="F42" s="11">
        <f>[14]gpt4omini_single_100!L41</f>
        <v>-0.43225200000000003</v>
      </c>
      <c r="G42">
        <v>39</v>
      </c>
      <c r="H42">
        <f>[10]gpt4omini_single_60!L41</f>
        <v>-0.24426500000000001</v>
      </c>
      <c r="I42">
        <f>[11]gpt4omini_single_60!L41</f>
        <v>7.0127999999999996E-2</v>
      </c>
      <c r="J42">
        <f>[12]gpt4omini_single_60!L41</f>
        <v>6.5628000000000006E-2</v>
      </c>
      <c r="K42">
        <f>[13]gpt4omini_single_60!L41</f>
        <v>2.1468999999999999E-2</v>
      </c>
      <c r="L42">
        <f>[14]gpt4omini_single_60!L41</f>
        <v>-0.21115800000000001</v>
      </c>
      <c r="M42" s="12">
        <v>39</v>
      </c>
      <c r="N42">
        <f>[10]gpt4omini_single_100_2!L41</f>
        <v>-0.69196800000000003</v>
      </c>
      <c r="O42">
        <f>[11]gpt4omini_single_100_2!L41</f>
        <v>-0.50674600000000003</v>
      </c>
      <c r="P42">
        <f>[12]gpt4omini_single_100_2!L41</f>
        <v>-0.45006000000000002</v>
      </c>
      <c r="Q42">
        <f>[13]gpt4omini_single_100_2!L41</f>
        <v>-0.34983300000000001</v>
      </c>
      <c r="R42" s="11">
        <f>[14]gpt4omini_single_100_2!L41</f>
        <v>-0.58968600000000004</v>
      </c>
      <c r="S42">
        <v>39</v>
      </c>
      <c r="T42">
        <f>[10]gpt4omini_single_60_2!L41</f>
        <v>-0.42408400000000002</v>
      </c>
      <c r="U42">
        <f>[11]gpt4omini_single_60_2!L41</f>
        <v>-0.25175700000000001</v>
      </c>
      <c r="V42">
        <f>[12]gpt4omini_single_60_2!L41</f>
        <v>-0.101908</v>
      </c>
      <c r="W42">
        <f>[13]gpt4omini_single_60_2!L41</f>
        <v>-0.168213</v>
      </c>
      <c r="X42">
        <f>[14]gpt4omini_single_60_2!L41</f>
        <v>-0.33891300000000002</v>
      </c>
    </row>
    <row r="43" spans="1:24" x14ac:dyDescent="0.2">
      <c r="A43" s="12">
        <v>40</v>
      </c>
      <c r="B43">
        <f>[10]gpt4omini_single_100!L42</f>
        <v>-0.38107600000000003</v>
      </c>
      <c r="C43">
        <f>[11]gpt4omini_single_100!L42</f>
        <v>-7.8032000000000004E-2</v>
      </c>
      <c r="D43">
        <f>[12]gpt4omini_single_100!L42</f>
        <v>9.7961999999999994E-2</v>
      </c>
      <c r="E43">
        <f>[13]gpt4omini_single_100!L42</f>
        <v>0.20178599999999999</v>
      </c>
      <c r="F43" s="11">
        <f>[14]gpt4omini_single_100!L42</f>
        <v>-0.43006899999999998</v>
      </c>
      <c r="G43">
        <v>40</v>
      </c>
      <c r="H43">
        <f>[10]gpt4omini_single_60!L42</f>
        <v>-0.24445600000000001</v>
      </c>
      <c r="I43">
        <f>[11]gpt4omini_single_60!L42</f>
        <v>7.1475999999999998E-2</v>
      </c>
      <c r="J43">
        <f>[12]gpt4omini_single_60!L42</f>
        <v>6.8532999999999997E-2</v>
      </c>
      <c r="K43">
        <f>[13]gpt4omini_single_60!L42</f>
        <v>2.8178000000000002E-2</v>
      </c>
      <c r="L43">
        <f>[14]gpt4omini_single_60!L42</f>
        <v>-0.212897</v>
      </c>
      <c r="M43" s="12">
        <v>40</v>
      </c>
      <c r="N43">
        <f>[10]gpt4omini_single_100_2!L42</f>
        <v>-0.69648500000000002</v>
      </c>
      <c r="O43">
        <f>[11]gpt4omini_single_100_2!L42</f>
        <v>-0.52012899999999995</v>
      </c>
      <c r="P43">
        <f>[12]gpt4omini_single_100_2!L42</f>
        <v>-0.46789999999999998</v>
      </c>
      <c r="Q43">
        <f>[13]gpt4omini_single_100_2!L42</f>
        <v>-0.37297999999999998</v>
      </c>
      <c r="R43" s="11">
        <f>[14]gpt4omini_single_100_2!L42</f>
        <v>-0.60023400000000005</v>
      </c>
      <c r="S43">
        <v>40</v>
      </c>
      <c r="T43">
        <f>[10]gpt4omini_single_60_2!L42</f>
        <v>-0.42805700000000002</v>
      </c>
      <c r="U43">
        <f>[11]gpt4omini_single_60_2!L42</f>
        <v>-0.25220500000000001</v>
      </c>
      <c r="V43">
        <f>[12]gpt4omini_single_60_2!L42</f>
        <v>-0.111535</v>
      </c>
      <c r="W43">
        <f>[13]gpt4omini_single_60_2!L42</f>
        <v>-0.16771</v>
      </c>
      <c r="X43">
        <f>[14]gpt4omini_single_60_2!L42</f>
        <v>-0.34255200000000002</v>
      </c>
    </row>
    <row r="44" spans="1:24" x14ac:dyDescent="0.2">
      <c r="A44" s="12">
        <v>41</v>
      </c>
      <c r="B44">
        <f>[10]gpt4omini_single_100!L43</f>
        <v>-0.39288299999999998</v>
      </c>
      <c r="C44">
        <f>[11]gpt4omini_single_100!L43</f>
        <v>-0.108446</v>
      </c>
      <c r="D44">
        <f>[12]gpt4omini_single_100!L43</f>
        <v>0.11007599999999999</v>
      </c>
      <c r="E44">
        <f>[13]gpt4omini_single_100!L43</f>
        <v>0.18662400000000001</v>
      </c>
      <c r="F44" s="11">
        <f>[14]gpt4omini_single_100!L43</f>
        <v>-0.44571899999999998</v>
      </c>
      <c r="G44">
        <v>41</v>
      </c>
      <c r="H44">
        <f>[10]gpt4omini_single_60!L43</f>
        <v>-0.245037</v>
      </c>
      <c r="I44">
        <f>[11]gpt4omini_single_60!L43</f>
        <v>8.3555000000000004E-2</v>
      </c>
      <c r="J44">
        <f>[12]gpt4omini_single_60!L43</f>
        <v>7.9562999999999995E-2</v>
      </c>
      <c r="K44">
        <f>[13]gpt4omini_single_60!L43</f>
        <v>3.1959000000000001E-2</v>
      </c>
      <c r="L44">
        <f>[14]gpt4omini_single_60!L43</f>
        <v>-0.21531400000000001</v>
      </c>
      <c r="M44" s="12">
        <v>41</v>
      </c>
      <c r="N44">
        <f>[10]gpt4omini_single_100_2!L43</f>
        <v>-0.71851799999999999</v>
      </c>
      <c r="O44">
        <f>[11]gpt4omini_single_100_2!L43</f>
        <v>-0.56191899999999995</v>
      </c>
      <c r="P44">
        <f>[12]gpt4omini_single_100_2!L43</f>
        <v>-0.44371100000000002</v>
      </c>
      <c r="Q44">
        <f>[13]gpt4omini_single_100_2!L43</f>
        <v>-0.406138</v>
      </c>
      <c r="R44" s="11">
        <f>[14]gpt4omini_single_100_2!L43</f>
        <v>-0.62029400000000001</v>
      </c>
      <c r="S44">
        <v>41</v>
      </c>
      <c r="T44">
        <f>[10]gpt4omini_single_60_2!L43</f>
        <v>-0.43346099999999999</v>
      </c>
      <c r="U44">
        <f>[11]gpt4omini_single_60_2!L43</f>
        <v>-0.24340400000000001</v>
      </c>
      <c r="V44">
        <f>[12]gpt4omini_single_60_2!L43</f>
        <v>-0.11916499999999999</v>
      </c>
      <c r="W44">
        <f>[13]gpt4omini_single_60_2!L43</f>
        <v>-0.16289500000000001</v>
      </c>
      <c r="X44">
        <f>[14]gpt4omini_single_60_2!L43</f>
        <v>-0.34707300000000002</v>
      </c>
    </row>
    <row r="45" spans="1:24" x14ac:dyDescent="0.2">
      <c r="A45" s="12">
        <v>42</v>
      </c>
      <c r="B45">
        <f>[10]gpt4omini_single_100!L44</f>
        <v>-0.43323</v>
      </c>
      <c r="C45">
        <f>[11]gpt4omini_single_100!L44</f>
        <v>-0.108879</v>
      </c>
      <c r="D45">
        <f>[12]gpt4omini_single_100!L44</f>
        <v>0.127084</v>
      </c>
      <c r="E45">
        <f>[13]gpt4omini_single_100!L44</f>
        <v>0.20794499999999999</v>
      </c>
      <c r="F45" s="11">
        <f>[14]gpt4omini_single_100!L44</f>
        <v>-0.44939000000000001</v>
      </c>
      <c r="G45">
        <v>42</v>
      </c>
      <c r="H45">
        <f>[10]gpt4omini_single_60!L44</f>
        <v>-0.24664</v>
      </c>
      <c r="I45">
        <f>[11]gpt4omini_single_60!L44</f>
        <v>8.5377999999999996E-2</v>
      </c>
      <c r="J45">
        <f>[12]gpt4omini_single_60!L44</f>
        <v>8.5930000000000006E-2</v>
      </c>
      <c r="K45">
        <f>[13]gpt4omini_single_60!L44</f>
        <v>3.8425000000000001E-2</v>
      </c>
      <c r="L45">
        <f>[14]gpt4omini_single_60!L44</f>
        <v>-0.22176999999999999</v>
      </c>
      <c r="M45" s="12">
        <v>42</v>
      </c>
      <c r="N45">
        <f>[10]gpt4omini_single_100_2!L44</f>
        <v>-0.72344799999999998</v>
      </c>
      <c r="O45">
        <f>[11]gpt4omini_single_100_2!L44</f>
        <v>-0.63694899999999999</v>
      </c>
      <c r="P45">
        <f>[12]gpt4omini_single_100_2!L44</f>
        <v>-0.48839700000000003</v>
      </c>
      <c r="Q45">
        <f>[13]gpt4omini_single_100_2!L44</f>
        <v>-0.43859500000000001</v>
      </c>
      <c r="R45" s="11">
        <f>[14]gpt4omini_single_100_2!L44</f>
        <v>-0.62496200000000002</v>
      </c>
      <c r="S45">
        <v>42</v>
      </c>
      <c r="T45">
        <f>[10]gpt4omini_single_60_2!L44</f>
        <v>-0.43663000000000002</v>
      </c>
      <c r="U45">
        <f>[11]gpt4omini_single_60_2!L44</f>
        <v>-0.25531599999999999</v>
      </c>
      <c r="V45">
        <f>[12]gpt4omini_single_60_2!L44</f>
        <v>-0.12493600000000001</v>
      </c>
      <c r="W45">
        <f>[13]gpt4omini_single_60_2!L44</f>
        <v>-0.166329</v>
      </c>
      <c r="X45">
        <f>[14]gpt4omini_single_60_2!L44</f>
        <v>-0.35329700000000003</v>
      </c>
    </row>
    <row r="46" spans="1:24" x14ac:dyDescent="0.2">
      <c r="A46" s="12">
        <v>43</v>
      </c>
      <c r="B46">
        <f>[10]gpt4omini_single_100!L45</f>
        <v>-0.43426599999999999</v>
      </c>
      <c r="C46">
        <f>[11]gpt4omini_single_100!L45</f>
        <v>-0.107525</v>
      </c>
      <c r="D46">
        <f>[12]gpt4omini_single_100!L45</f>
        <v>0.138213</v>
      </c>
      <c r="E46">
        <f>[13]gpt4omini_single_100!L45</f>
        <v>0.23521800000000001</v>
      </c>
      <c r="F46" s="11">
        <f>[14]gpt4omini_single_100!L45</f>
        <v>-0.44901400000000002</v>
      </c>
      <c r="G46">
        <v>43</v>
      </c>
      <c r="H46">
        <f>[10]gpt4omini_single_60!L45</f>
        <v>-0.24893599999999999</v>
      </c>
      <c r="I46">
        <f>[11]gpt4omini_single_60!L45</f>
        <v>8.5786000000000001E-2</v>
      </c>
      <c r="J46">
        <f>[12]gpt4omini_single_60!L45</f>
        <v>9.1047000000000003E-2</v>
      </c>
      <c r="K46">
        <f>[13]gpt4omini_single_60!L45</f>
        <v>4.4493999999999999E-2</v>
      </c>
      <c r="L46">
        <f>[14]gpt4omini_single_60!L45</f>
        <v>-0.22966900000000001</v>
      </c>
      <c r="M46" s="12">
        <v>43</v>
      </c>
      <c r="N46">
        <f>[10]gpt4omini_single_100_2!L45</f>
        <v>-0.72545700000000002</v>
      </c>
      <c r="O46">
        <f>[11]gpt4omini_single_100_2!L45</f>
        <v>-0.64041199999999998</v>
      </c>
      <c r="P46">
        <f>[12]gpt4omini_single_100_2!L45</f>
        <v>-0.48205100000000001</v>
      </c>
      <c r="Q46">
        <f>[13]gpt4omini_single_100_2!L45</f>
        <v>-0.446413</v>
      </c>
      <c r="R46" s="11">
        <f>[14]gpt4omini_single_100_2!L45</f>
        <v>-0.62587700000000002</v>
      </c>
      <c r="S46">
        <v>43</v>
      </c>
      <c r="T46">
        <f>[10]gpt4omini_single_60_2!L45</f>
        <v>-0.44144800000000001</v>
      </c>
      <c r="U46">
        <f>[11]gpt4omini_single_60_2!L45</f>
        <v>-0.260158</v>
      </c>
      <c r="V46">
        <f>[12]gpt4omini_single_60_2!L45</f>
        <v>-0.124445</v>
      </c>
      <c r="W46">
        <f>[13]gpt4omini_single_60_2!L45</f>
        <v>-0.16928699999999999</v>
      </c>
      <c r="X46">
        <f>[14]gpt4omini_single_60_2!L45</f>
        <v>-0.358153</v>
      </c>
    </row>
    <row r="47" spans="1:24" x14ac:dyDescent="0.2">
      <c r="A47" s="12">
        <v>44</v>
      </c>
      <c r="B47">
        <f>[10]gpt4omini_single_100!L46</f>
        <v>-0.43484</v>
      </c>
      <c r="C47">
        <f>[11]gpt4omini_single_100!L46</f>
        <v>-0.106016</v>
      </c>
      <c r="D47">
        <f>[12]gpt4omini_single_100!L46</f>
        <v>0.14437800000000001</v>
      </c>
      <c r="E47">
        <f>[13]gpt4omini_single_100!L46</f>
        <v>0.240676</v>
      </c>
      <c r="F47" s="11">
        <f>[14]gpt4omini_single_100!L46</f>
        <v>-0.45430700000000002</v>
      </c>
      <c r="G47">
        <v>44</v>
      </c>
      <c r="H47">
        <f>[10]gpt4omini_single_60!L46</f>
        <v>-0.25034699999999999</v>
      </c>
      <c r="I47">
        <f>[11]gpt4omini_single_60!L46</f>
        <v>8.4866999999999998E-2</v>
      </c>
      <c r="J47">
        <f>[12]gpt4omini_single_60!L46</f>
        <v>8.8623999999999994E-2</v>
      </c>
      <c r="K47">
        <f>[13]gpt4omini_single_60!L46</f>
        <v>4.6240999999999997E-2</v>
      </c>
      <c r="L47">
        <f>[14]gpt4omini_single_60!L46</f>
        <v>-0.231544</v>
      </c>
      <c r="M47" s="12">
        <v>44</v>
      </c>
      <c r="N47">
        <f>[10]gpt4omini_single_100_2!L46</f>
        <v>-0.72585999999999995</v>
      </c>
      <c r="O47">
        <f>[11]gpt4omini_single_100_2!L46</f>
        <v>-0.65079299999999995</v>
      </c>
      <c r="P47">
        <f>[12]gpt4omini_single_100_2!L46</f>
        <v>-0.497861</v>
      </c>
      <c r="Q47">
        <f>[13]gpt4omini_single_100_2!L46</f>
        <v>-0.45927000000000001</v>
      </c>
      <c r="R47" s="11">
        <f>[14]gpt4omini_single_100_2!L46</f>
        <v>-0.62612699999999999</v>
      </c>
      <c r="S47">
        <v>44</v>
      </c>
      <c r="T47">
        <f>[10]gpt4omini_single_60_2!L46</f>
        <v>-0.44354500000000002</v>
      </c>
      <c r="U47">
        <f>[11]gpt4omini_single_60_2!L46</f>
        <v>-0.26528299999999999</v>
      </c>
      <c r="V47">
        <f>[12]gpt4omini_single_60_2!L46</f>
        <v>-0.126861</v>
      </c>
      <c r="W47">
        <f>[13]gpt4omini_single_60_2!L46</f>
        <v>-0.17155599999999999</v>
      </c>
      <c r="X47">
        <f>[14]gpt4omini_single_60_2!L46</f>
        <v>-0.36092200000000002</v>
      </c>
    </row>
    <row r="48" spans="1:24" x14ac:dyDescent="0.2">
      <c r="A48" s="12">
        <v>45</v>
      </c>
      <c r="B48">
        <f>[10]gpt4omini_single_100!L47</f>
        <v>-0.43410500000000002</v>
      </c>
      <c r="C48">
        <f>[11]gpt4omini_single_100!L47</f>
        <v>-0.104876</v>
      </c>
      <c r="D48">
        <f>[12]gpt4omini_single_100!L47</f>
        <v>0.174398</v>
      </c>
      <c r="E48">
        <f>[13]gpt4omini_single_100!L47</f>
        <v>0.205621</v>
      </c>
      <c r="F48" s="11">
        <f>[14]gpt4omini_single_100!L47</f>
        <v>-0.45498499999999997</v>
      </c>
      <c r="G48">
        <v>45</v>
      </c>
      <c r="H48">
        <f>[10]gpt4omini_single_60!L47</f>
        <v>-0.25211899999999998</v>
      </c>
      <c r="I48">
        <f>[11]gpt4omini_single_60!L47</f>
        <v>8.3778000000000005E-2</v>
      </c>
      <c r="J48">
        <f>[12]gpt4omini_single_60!L47</f>
        <v>9.1073000000000001E-2</v>
      </c>
      <c r="K48">
        <f>[13]gpt4omini_single_60!L47</f>
        <v>5.8290000000000002E-2</v>
      </c>
      <c r="L48">
        <f>[14]gpt4omini_single_60!L47</f>
        <v>-0.23371500000000001</v>
      </c>
      <c r="M48" s="12">
        <v>45</v>
      </c>
      <c r="N48">
        <f>[10]gpt4omini_single_100_2!L47</f>
        <v>-0.726217</v>
      </c>
      <c r="O48">
        <f>[11]gpt4omini_single_100_2!L47</f>
        <v>-0.62543899999999997</v>
      </c>
      <c r="P48">
        <f>[12]gpt4omini_single_100_2!L47</f>
        <v>-0.49458299999999999</v>
      </c>
      <c r="Q48">
        <f>[13]gpt4omini_single_100_2!L47</f>
        <v>-0.46997299999999997</v>
      </c>
      <c r="R48" s="11">
        <f>[14]gpt4omini_single_100_2!L47</f>
        <v>-0.63060099999999997</v>
      </c>
      <c r="S48">
        <v>45</v>
      </c>
      <c r="T48">
        <f>[10]gpt4omini_single_60_2!L47</f>
        <v>-0.44722600000000001</v>
      </c>
      <c r="U48">
        <f>[11]gpt4omini_single_60_2!L47</f>
        <v>-0.26576300000000003</v>
      </c>
      <c r="V48">
        <f>[12]gpt4omini_single_60_2!L47</f>
        <v>-0.126585</v>
      </c>
      <c r="W48">
        <f>[13]gpt4omini_single_60_2!L47</f>
        <v>-0.18771299999999999</v>
      </c>
      <c r="X48">
        <f>[14]gpt4omini_single_60_2!L47</f>
        <v>-0.36284</v>
      </c>
    </row>
    <row r="49" spans="1:24" x14ac:dyDescent="0.2">
      <c r="A49" s="12">
        <v>46</v>
      </c>
      <c r="B49">
        <f>[10]gpt4omini_single_100!L48</f>
        <v>-0.43905499999999997</v>
      </c>
      <c r="C49">
        <f>[11]gpt4omini_single_100!L48</f>
        <v>-0.10589899999999999</v>
      </c>
      <c r="D49">
        <f>[12]gpt4omini_single_100!L48</f>
        <v>0.19942099999999999</v>
      </c>
      <c r="E49">
        <f>[13]gpt4omini_single_100!L48</f>
        <v>0.22227</v>
      </c>
      <c r="F49" s="11">
        <f>[14]gpt4omini_single_100!L48</f>
        <v>-0.45854200000000001</v>
      </c>
      <c r="G49">
        <v>46</v>
      </c>
      <c r="H49">
        <f>[10]gpt4omini_single_60!L48</f>
        <v>-0.25340299999999999</v>
      </c>
      <c r="I49">
        <f>[11]gpt4omini_single_60!L48</f>
        <v>9.5174999999999996E-2</v>
      </c>
      <c r="J49">
        <f>[12]gpt4omini_single_60!L48</f>
        <v>9.2663999999999996E-2</v>
      </c>
      <c r="K49">
        <f>[13]gpt4omini_single_60!L48</f>
        <v>6.1163000000000002E-2</v>
      </c>
      <c r="L49">
        <f>[14]gpt4omini_single_60!L48</f>
        <v>-0.23647699999999999</v>
      </c>
      <c r="M49" s="12">
        <v>46</v>
      </c>
      <c r="N49">
        <f>[10]gpt4omini_single_100_2!L48</f>
        <v>-0.73257000000000005</v>
      </c>
      <c r="O49">
        <f>[11]gpt4omini_single_100_2!L48</f>
        <v>-0.66006100000000001</v>
      </c>
      <c r="P49">
        <f>[12]gpt4omini_single_100_2!L48</f>
        <v>-0.50748300000000002</v>
      </c>
      <c r="Q49">
        <f>[13]gpt4omini_single_100_2!L48</f>
        <v>-0.46315400000000001</v>
      </c>
      <c r="R49" s="11">
        <f>[14]gpt4omini_single_100_2!L48</f>
        <v>-0.63245099999999999</v>
      </c>
      <c r="S49">
        <v>46</v>
      </c>
      <c r="T49">
        <f>[10]gpt4omini_single_60_2!L48</f>
        <v>-0.45061800000000002</v>
      </c>
      <c r="U49">
        <f>[11]gpt4omini_single_60_2!L48</f>
        <v>-0.26734000000000002</v>
      </c>
      <c r="V49">
        <f>[12]gpt4omini_single_60_2!L48</f>
        <v>-0.12776899999999999</v>
      </c>
      <c r="W49">
        <f>[13]gpt4omini_single_60_2!L48</f>
        <v>-0.19316900000000001</v>
      </c>
      <c r="X49">
        <f>[14]gpt4omini_single_60_2!L48</f>
        <v>-0.36816300000000002</v>
      </c>
    </row>
    <row r="50" spans="1:24" x14ac:dyDescent="0.2">
      <c r="A50" s="12">
        <v>47</v>
      </c>
      <c r="B50">
        <f>[10]gpt4omini_single_100!L49</f>
        <v>-0.43883499999999998</v>
      </c>
      <c r="C50">
        <f>[11]gpt4omini_single_100!L49</f>
        <v>-0.105507</v>
      </c>
      <c r="D50">
        <f>[12]gpt4omini_single_100!L49</f>
        <v>0.205458</v>
      </c>
      <c r="E50">
        <f>[13]gpt4omini_single_100!L49</f>
        <v>0.21787100000000001</v>
      </c>
      <c r="F50" s="11">
        <f>[14]gpt4omini_single_100!L49</f>
        <v>-0.46533200000000002</v>
      </c>
      <c r="G50">
        <v>47</v>
      </c>
      <c r="H50">
        <f>[10]gpt4omini_single_60!L49</f>
        <v>-0.25382700000000002</v>
      </c>
      <c r="I50">
        <f>[11]gpt4omini_single_60!L49</f>
        <v>0.101812</v>
      </c>
      <c r="J50">
        <f>[12]gpt4omini_single_60!L49</f>
        <v>0.104034</v>
      </c>
      <c r="K50">
        <f>[13]gpt4omini_single_60!L49</f>
        <v>9.0679999999999997E-2</v>
      </c>
      <c r="L50">
        <f>[14]gpt4omini_single_60!L49</f>
        <v>-0.23785999999999999</v>
      </c>
      <c r="M50" s="12">
        <v>47</v>
      </c>
      <c r="N50">
        <f>[10]gpt4omini_single_100_2!L49</f>
        <v>-0.733599</v>
      </c>
      <c r="O50">
        <f>[11]gpt4omini_single_100_2!L49</f>
        <v>-0.64410199999999995</v>
      </c>
      <c r="P50">
        <f>[12]gpt4omini_single_100_2!L49</f>
        <v>-0.52851300000000001</v>
      </c>
      <c r="Q50">
        <f>[13]gpt4omini_single_100_2!L49</f>
        <v>-0.46966000000000002</v>
      </c>
      <c r="R50" s="11">
        <f>[14]gpt4omini_single_100_2!L49</f>
        <v>-0.63872600000000002</v>
      </c>
      <c r="S50">
        <v>47</v>
      </c>
      <c r="T50">
        <f>[10]gpt4omini_single_60_2!L49</f>
        <v>-0.450631</v>
      </c>
      <c r="U50">
        <f>[11]gpt4omini_single_60_2!L49</f>
        <v>-0.25837599999999999</v>
      </c>
      <c r="V50">
        <f>[12]gpt4omini_single_60_2!L49</f>
        <v>-0.119837</v>
      </c>
      <c r="W50">
        <f>[13]gpt4omini_single_60_2!L49</f>
        <v>-0.188916</v>
      </c>
      <c r="X50">
        <f>[14]gpt4omini_single_60_2!L49</f>
        <v>-0.37228699999999998</v>
      </c>
    </row>
    <row r="51" spans="1:24" x14ac:dyDescent="0.2">
      <c r="A51" s="12">
        <v>48</v>
      </c>
      <c r="B51">
        <f>[10]gpt4omini_single_100!L50</f>
        <v>-0.44595200000000002</v>
      </c>
      <c r="C51">
        <f>[11]gpt4omini_single_100!L50</f>
        <v>-0.10114099999999999</v>
      </c>
      <c r="D51">
        <f>[12]gpt4omini_single_100!L50</f>
        <v>0.21524499999999999</v>
      </c>
      <c r="E51">
        <f>[13]gpt4omini_single_100!L50</f>
        <v>0.218921</v>
      </c>
      <c r="F51" s="11">
        <f>[14]gpt4omini_single_100!L50</f>
        <v>-0.47117999999999999</v>
      </c>
      <c r="G51">
        <v>48</v>
      </c>
      <c r="H51">
        <f>[10]gpt4omini_single_60!L50</f>
        <v>-0.25546200000000002</v>
      </c>
      <c r="I51">
        <f>[11]gpt4omini_single_60!L50</f>
        <v>9.6759999999999999E-2</v>
      </c>
      <c r="J51">
        <f>[12]gpt4omini_single_60!L50</f>
        <v>0.10627</v>
      </c>
      <c r="K51">
        <f>[13]gpt4omini_single_60!L50</f>
        <v>0.104005</v>
      </c>
      <c r="L51">
        <f>[14]gpt4omini_single_60!L50</f>
        <v>-0.238873</v>
      </c>
      <c r="M51" s="12">
        <v>48</v>
      </c>
      <c r="N51">
        <f>[10]gpt4omini_single_100_2!L50</f>
        <v>-0.75048599999999999</v>
      </c>
      <c r="O51">
        <f>[11]gpt4omini_single_100_2!L50</f>
        <v>-0.66257600000000005</v>
      </c>
      <c r="P51">
        <f>[12]gpt4omini_single_100_2!L50</f>
        <v>-0.54444599999999999</v>
      </c>
      <c r="Q51">
        <f>[13]gpt4omini_single_100_2!L50</f>
        <v>-0.48436600000000002</v>
      </c>
      <c r="R51" s="11">
        <f>[14]gpt4omini_single_100_2!L50</f>
        <v>-0.65365600000000001</v>
      </c>
      <c r="S51">
        <v>48</v>
      </c>
      <c r="T51">
        <f>[10]gpt4omini_single_60_2!L50</f>
        <v>-0.45363900000000001</v>
      </c>
      <c r="U51">
        <f>[11]gpt4omini_single_60_2!L50</f>
        <v>-0.26568700000000001</v>
      </c>
      <c r="V51">
        <f>[12]gpt4omini_single_60_2!L50</f>
        <v>-0.11990199999999999</v>
      </c>
      <c r="W51">
        <f>[13]gpt4omini_single_60_2!L50</f>
        <v>-0.17321800000000001</v>
      </c>
      <c r="X51">
        <f>[14]gpt4omini_single_60_2!L50</f>
        <v>-0.37517899999999998</v>
      </c>
    </row>
    <row r="52" spans="1:24" x14ac:dyDescent="0.2">
      <c r="A52" s="12">
        <v>49</v>
      </c>
      <c r="B52">
        <f>[10]gpt4omini_single_100!L51</f>
        <v>-0.44752399999999998</v>
      </c>
      <c r="C52">
        <f>[11]gpt4omini_single_100!L51</f>
        <v>-9.5812999999999995E-2</v>
      </c>
      <c r="D52">
        <f>[12]gpt4omini_single_100!L51</f>
        <v>0.22585</v>
      </c>
      <c r="E52">
        <f>[13]gpt4omini_single_100!L51</f>
        <v>0.22004899999999999</v>
      </c>
      <c r="F52" s="11">
        <f>[14]gpt4omini_single_100!L51</f>
        <v>-0.47297299999999998</v>
      </c>
      <c r="G52">
        <v>49</v>
      </c>
      <c r="H52">
        <f>[10]gpt4omini_single_60!L51</f>
        <v>-0.25984099999999999</v>
      </c>
      <c r="I52">
        <f>[11]gpt4omini_single_60!L51</f>
        <v>0.101546</v>
      </c>
      <c r="J52">
        <f>[12]gpt4omini_single_60!L51</f>
        <v>0.111469</v>
      </c>
      <c r="K52">
        <f>[13]gpt4omini_single_60!L51</f>
        <v>0.112613</v>
      </c>
      <c r="L52">
        <f>[14]gpt4omini_single_60!L51</f>
        <v>-0.24183499999999999</v>
      </c>
      <c r="M52" s="12">
        <v>49</v>
      </c>
      <c r="N52">
        <f>[10]gpt4omini_single_100_2!L51</f>
        <v>-0.75039599999999995</v>
      </c>
      <c r="O52">
        <f>[11]gpt4omini_single_100_2!L51</f>
        <v>-0.66310500000000006</v>
      </c>
      <c r="P52">
        <f>[12]gpt4omini_single_100_2!L51</f>
        <v>-0.546848</v>
      </c>
      <c r="Q52">
        <f>[13]gpt4omini_single_100_2!L51</f>
        <v>-0.490199</v>
      </c>
      <c r="R52" s="11">
        <f>[14]gpt4omini_single_100_2!L51</f>
        <v>-0.656057</v>
      </c>
      <c r="S52">
        <v>49</v>
      </c>
      <c r="T52">
        <f>[10]gpt4omini_single_60_2!L51</f>
        <v>-0.460061</v>
      </c>
      <c r="U52">
        <f>[11]gpt4omini_single_60_2!L51</f>
        <v>-0.26956200000000002</v>
      </c>
      <c r="V52">
        <f>[12]gpt4omini_single_60_2!L51</f>
        <v>-0.123056</v>
      </c>
      <c r="W52">
        <f>[13]gpt4omini_single_60_2!L51</f>
        <v>-0.16939599999999999</v>
      </c>
      <c r="X52">
        <f>[14]gpt4omini_single_60_2!L51</f>
        <v>-0.38084200000000001</v>
      </c>
    </row>
    <row r="53" spans="1:24" x14ac:dyDescent="0.2">
      <c r="A53" s="12">
        <v>50</v>
      </c>
      <c r="B53">
        <f>[10]gpt4omini_single_100!L52</f>
        <v>-0.44821299999999997</v>
      </c>
      <c r="C53">
        <f>[11]gpt4omini_single_100!L52</f>
        <v>-9.7448999999999994E-2</v>
      </c>
      <c r="D53">
        <f>[12]gpt4omini_single_100!L52</f>
        <v>0.22712399999999999</v>
      </c>
      <c r="E53">
        <f>[13]gpt4omini_single_100!L52</f>
        <v>0.21779200000000001</v>
      </c>
      <c r="F53" s="11">
        <f>[14]gpt4omini_single_100!L52</f>
        <v>-0.47410999999999998</v>
      </c>
      <c r="G53">
        <v>50</v>
      </c>
      <c r="H53">
        <f>[10]gpt4omini_single_60!L52</f>
        <v>-0.26439000000000001</v>
      </c>
      <c r="I53">
        <f>[11]gpt4omini_single_60!L52</f>
        <v>0.103145</v>
      </c>
      <c r="J53">
        <f>[12]gpt4omini_single_60!L52</f>
        <v>0.11569500000000001</v>
      </c>
      <c r="K53">
        <f>[13]gpt4omini_single_60!L52</f>
        <v>0.115955</v>
      </c>
      <c r="L53">
        <f>[14]gpt4omini_single_60!L52</f>
        <v>-0.245064</v>
      </c>
      <c r="M53" s="12">
        <v>50</v>
      </c>
      <c r="N53">
        <f>[10]gpt4omini_single_100_2!L52</f>
        <v>-0.75644599999999995</v>
      </c>
      <c r="O53">
        <f>[11]gpt4omini_single_100_2!L52</f>
        <v>-0.67803999999999998</v>
      </c>
      <c r="P53">
        <f>[12]gpt4omini_single_100_2!L52</f>
        <v>-0.55696800000000002</v>
      </c>
      <c r="Q53">
        <f>[13]gpt4omini_single_100_2!L52</f>
        <v>-0.494232</v>
      </c>
      <c r="R53" s="11">
        <f>[14]gpt4omini_single_100_2!L52</f>
        <v>-0.66080099999999997</v>
      </c>
      <c r="S53">
        <v>50</v>
      </c>
      <c r="T53">
        <f>[10]gpt4omini_single_60_2!L52</f>
        <v>-0.46479700000000002</v>
      </c>
      <c r="U53">
        <f>[11]gpt4omini_single_60_2!L52</f>
        <v>-0.26858100000000001</v>
      </c>
      <c r="V53">
        <f>[12]gpt4omini_single_60_2!L52</f>
        <v>-0.116062</v>
      </c>
      <c r="W53">
        <f>[13]gpt4omini_single_60_2!L52</f>
        <v>-0.16536200000000001</v>
      </c>
      <c r="X53">
        <f>[14]gpt4omini_single_60_2!L52</f>
        <v>-0.38783400000000001</v>
      </c>
    </row>
    <row r="54" spans="1:24" x14ac:dyDescent="0.2">
      <c r="A54" s="12">
        <v>51</v>
      </c>
      <c r="B54">
        <f>[10]gpt4omini_single_100!L53</f>
        <v>-0.448411</v>
      </c>
      <c r="C54">
        <f>[11]gpt4omini_single_100!L53</f>
        <v>-8.4536E-2</v>
      </c>
      <c r="D54">
        <f>[12]gpt4omini_single_100!L53</f>
        <v>0.221557</v>
      </c>
      <c r="E54">
        <f>[13]gpt4omini_single_100!L53</f>
        <v>0.21768399999999999</v>
      </c>
      <c r="F54" s="11">
        <f>[14]gpt4omini_single_100!L53</f>
        <v>-0.474325</v>
      </c>
      <c r="G54">
        <v>51</v>
      </c>
      <c r="H54">
        <f>[10]gpt4omini_single_60!L53</f>
        <v>-0.266735</v>
      </c>
      <c r="I54">
        <f>[11]gpt4omini_single_60!L53</f>
        <v>0.107751</v>
      </c>
      <c r="J54">
        <f>[12]gpt4omini_single_60!L53</f>
        <v>0.118586</v>
      </c>
      <c r="K54">
        <f>[13]gpt4omini_single_60!L53</f>
        <v>0.121838</v>
      </c>
      <c r="L54">
        <f>[14]gpt4omini_single_60!L53</f>
        <v>-0.246813</v>
      </c>
      <c r="M54" s="12">
        <v>51</v>
      </c>
      <c r="N54">
        <f>[10]gpt4omini_single_100_2!L53</f>
        <v>-0.75809199999999999</v>
      </c>
      <c r="O54">
        <f>[11]gpt4omini_single_100_2!L53</f>
        <v>-0.67049000000000003</v>
      </c>
      <c r="P54">
        <f>[12]gpt4omini_single_100_2!L53</f>
        <v>-0.54993999999999998</v>
      </c>
      <c r="Q54">
        <f>[13]gpt4omini_single_100_2!L53</f>
        <v>-0.49060799999999999</v>
      </c>
      <c r="R54" s="11">
        <f>[14]gpt4omini_single_100_2!L53</f>
        <v>-0.66207700000000003</v>
      </c>
      <c r="S54">
        <v>51</v>
      </c>
      <c r="T54">
        <f>[10]gpt4omini_single_60_2!L53</f>
        <v>-0.468586</v>
      </c>
      <c r="U54">
        <f>[11]gpt4omini_single_60_2!L53</f>
        <v>-0.26401400000000003</v>
      </c>
      <c r="V54">
        <f>[12]gpt4omini_single_60_2!L53</f>
        <v>-0.11594500000000001</v>
      </c>
      <c r="W54">
        <f>[13]gpt4omini_single_60_2!L53</f>
        <v>-0.15819</v>
      </c>
      <c r="X54">
        <f>[14]gpt4omini_single_60_2!L53</f>
        <v>-0.39255699999999999</v>
      </c>
    </row>
    <row r="55" spans="1:24" x14ac:dyDescent="0.2">
      <c r="A55" s="12">
        <v>52</v>
      </c>
      <c r="B55">
        <f>[10]gpt4omini_single_100!L54</f>
        <v>-0.45293600000000001</v>
      </c>
      <c r="C55">
        <f>[11]gpt4omini_single_100!L54</f>
        <v>-8.3895999999999998E-2</v>
      </c>
      <c r="D55">
        <f>[12]gpt4omini_single_100!L54</f>
        <v>0.22303999999999999</v>
      </c>
      <c r="E55">
        <f>[13]gpt4omini_single_100!L54</f>
        <v>0.25066699999999997</v>
      </c>
      <c r="F55" s="11">
        <f>[14]gpt4omini_single_100!L54</f>
        <v>-0.477379</v>
      </c>
      <c r="G55">
        <v>52</v>
      </c>
      <c r="H55">
        <f>[10]gpt4omini_single_60!L54</f>
        <v>-0.267291</v>
      </c>
      <c r="I55">
        <f>[11]gpt4omini_single_60!L54</f>
        <v>0.1113</v>
      </c>
      <c r="J55">
        <f>[12]gpt4omini_single_60!L54</f>
        <v>0.12957099999999999</v>
      </c>
      <c r="K55">
        <f>[13]gpt4omini_single_60!L54</f>
        <v>0.147005</v>
      </c>
      <c r="L55">
        <f>[14]gpt4omini_single_60!L54</f>
        <v>-0.246918</v>
      </c>
      <c r="M55" s="12">
        <v>52</v>
      </c>
      <c r="N55">
        <f>[10]gpt4omini_single_100_2!L54</f>
        <v>-0.75717800000000002</v>
      </c>
      <c r="O55">
        <f>[11]gpt4omini_single_100_2!L54</f>
        <v>-0.67255299999999996</v>
      </c>
      <c r="P55">
        <f>[12]gpt4omini_single_100_2!L54</f>
        <v>-0.46020100000000003</v>
      </c>
      <c r="Q55">
        <f>[13]gpt4omini_single_100_2!L54</f>
        <v>-0.445023</v>
      </c>
      <c r="R55" s="11">
        <f>[14]gpt4omini_single_100_2!L54</f>
        <v>-0.66661300000000001</v>
      </c>
      <c r="S55">
        <v>52</v>
      </c>
      <c r="T55">
        <f>[10]gpt4omini_single_60_2!L54</f>
        <v>-0.46995300000000001</v>
      </c>
      <c r="U55">
        <f>[11]gpt4omini_single_60_2!L54</f>
        <v>-0.26636900000000002</v>
      </c>
      <c r="V55">
        <f>[12]gpt4omini_single_60_2!L54</f>
        <v>-0.116355</v>
      </c>
      <c r="W55">
        <f>[13]gpt4omini_single_60_2!L54</f>
        <v>-0.15639800000000001</v>
      </c>
      <c r="X55">
        <f>[14]gpt4omini_single_60_2!L54</f>
        <v>-0.39318199999999998</v>
      </c>
    </row>
    <row r="56" spans="1:24" x14ac:dyDescent="0.2">
      <c r="A56" s="12">
        <v>53</v>
      </c>
      <c r="B56">
        <f>[10]gpt4omini_single_100!L55</f>
        <v>-0.45784900000000001</v>
      </c>
      <c r="C56">
        <f>[11]gpt4omini_single_100!L55</f>
        <v>-8.8229000000000002E-2</v>
      </c>
      <c r="D56">
        <f>[12]gpt4omini_single_100!L55</f>
        <v>0.236848</v>
      </c>
      <c r="E56">
        <f>[13]gpt4omini_single_100!L55</f>
        <v>0.28407900000000003</v>
      </c>
      <c r="F56" s="11">
        <f>[14]gpt4omini_single_100!L55</f>
        <v>-0.48341899999999999</v>
      </c>
      <c r="G56">
        <v>53</v>
      </c>
      <c r="H56">
        <f>[10]gpt4omini_single_60!L55</f>
        <v>-0.26782299999999998</v>
      </c>
      <c r="I56">
        <f>[11]gpt4omini_single_60!L55</f>
        <v>0.11724900000000001</v>
      </c>
      <c r="J56">
        <f>[12]gpt4omini_single_60!L55</f>
        <v>0.13684399999999999</v>
      </c>
      <c r="K56">
        <f>[13]gpt4omini_single_60!L55</f>
        <v>0.15657599999999999</v>
      </c>
      <c r="L56">
        <f>[14]gpt4omini_single_60!L55</f>
        <v>-0.247253</v>
      </c>
      <c r="M56" s="12">
        <v>53</v>
      </c>
      <c r="N56">
        <f>[10]gpt4omini_single_100_2!L55</f>
        <v>-0.76407499999999995</v>
      </c>
      <c r="O56">
        <f>[11]gpt4omini_single_100_2!L55</f>
        <v>-0.68476499999999996</v>
      </c>
      <c r="P56">
        <f>[12]gpt4omini_single_100_2!L55</f>
        <v>-0.51325699999999996</v>
      </c>
      <c r="Q56">
        <f>[13]gpt4omini_single_100_2!L55</f>
        <v>-0.50156900000000004</v>
      </c>
      <c r="R56" s="11">
        <f>[14]gpt4omini_single_100_2!L55</f>
        <v>-0.67633900000000002</v>
      </c>
      <c r="S56">
        <v>53</v>
      </c>
      <c r="T56">
        <f>[10]gpt4omini_single_60_2!L55</f>
        <v>-0.471026</v>
      </c>
      <c r="U56">
        <f>[11]gpt4omini_single_60_2!L55</f>
        <v>-0.25629800000000003</v>
      </c>
      <c r="V56">
        <f>[12]gpt4omini_single_60_2!L55</f>
        <v>-0.110578</v>
      </c>
      <c r="W56">
        <f>[13]gpt4omini_single_60_2!L55</f>
        <v>-0.154254</v>
      </c>
      <c r="X56">
        <f>[14]gpt4omini_single_60_2!L55</f>
        <v>-0.39453700000000003</v>
      </c>
    </row>
    <row r="57" spans="1:24" x14ac:dyDescent="0.2">
      <c r="A57" s="12">
        <v>54</v>
      </c>
      <c r="B57">
        <f>[10]gpt4omini_single_100!L56</f>
        <v>-0.45769399999999999</v>
      </c>
      <c r="C57">
        <f>[11]gpt4omini_single_100!L56</f>
        <v>-8.0426999999999998E-2</v>
      </c>
      <c r="D57">
        <f>[12]gpt4omini_single_100!L56</f>
        <v>0.23577500000000001</v>
      </c>
      <c r="E57">
        <f>[13]gpt4omini_single_100!L56</f>
        <v>0.28481200000000001</v>
      </c>
      <c r="F57" s="11">
        <f>[14]gpt4omini_single_100!L56</f>
        <v>-0.48319499999999999</v>
      </c>
      <c r="G57">
        <v>54</v>
      </c>
      <c r="H57">
        <f>[10]gpt4omini_single_60!L56</f>
        <v>-0.26844400000000002</v>
      </c>
      <c r="I57">
        <f>[11]gpt4omini_single_60!L56</f>
        <v>0.11987200000000001</v>
      </c>
      <c r="J57">
        <f>[12]gpt4omini_single_60!L56</f>
        <v>0.147033</v>
      </c>
      <c r="K57">
        <f>[13]gpt4omini_single_60!L56</f>
        <v>0.16114300000000001</v>
      </c>
      <c r="L57">
        <f>[14]gpt4omini_single_60!L56</f>
        <v>-0.24834700000000001</v>
      </c>
      <c r="M57" s="12">
        <v>54</v>
      </c>
      <c r="N57">
        <f>[10]gpt4omini_single_100_2!L56</f>
        <v>-0.76304300000000003</v>
      </c>
      <c r="O57">
        <f>[11]gpt4omini_single_100_2!L56</f>
        <v>-0.67613199999999996</v>
      </c>
      <c r="P57">
        <f>[12]gpt4omini_single_100_2!L56</f>
        <v>-0.508301</v>
      </c>
      <c r="Q57">
        <f>[13]gpt4omini_single_100_2!L56</f>
        <v>-0.49575900000000001</v>
      </c>
      <c r="R57" s="11">
        <f>[14]gpt4omini_single_100_2!L56</f>
        <v>-0.67625800000000003</v>
      </c>
      <c r="S57">
        <v>54</v>
      </c>
      <c r="T57">
        <f>[10]gpt4omini_single_60_2!L56</f>
        <v>-0.47239500000000001</v>
      </c>
      <c r="U57">
        <f>[11]gpt4omini_single_60_2!L56</f>
        <v>-0.23596900000000001</v>
      </c>
      <c r="V57">
        <f>[12]gpt4omini_single_60_2!L56</f>
        <v>-0.10628799999999999</v>
      </c>
      <c r="W57">
        <f>[13]gpt4omini_single_60_2!L56</f>
        <v>-0.14874999999999999</v>
      </c>
      <c r="X57">
        <f>[14]gpt4omini_single_60_2!L56</f>
        <v>-0.39701399999999998</v>
      </c>
    </row>
    <row r="58" spans="1:24" x14ac:dyDescent="0.2">
      <c r="A58" s="12">
        <v>55</v>
      </c>
      <c r="B58">
        <f>[10]gpt4omini_single_100!L57</f>
        <v>-0.45586300000000002</v>
      </c>
      <c r="C58">
        <f>[11]gpt4omini_single_100!L57</f>
        <v>-5.7045999999999999E-2</v>
      </c>
      <c r="D58">
        <f>[12]gpt4omini_single_100!L57</f>
        <v>0.21692400000000001</v>
      </c>
      <c r="E58">
        <f>[13]gpt4omini_single_100!L57</f>
        <v>0.28401399999999999</v>
      </c>
      <c r="F58" s="11">
        <f>[14]gpt4omini_single_100!L57</f>
        <v>-0.480462</v>
      </c>
      <c r="G58">
        <v>55</v>
      </c>
      <c r="H58">
        <f>[10]gpt4omini_single_60!L57</f>
        <v>-0.26999000000000001</v>
      </c>
      <c r="I58">
        <f>[11]gpt4omini_single_60!L57</f>
        <v>0.12850700000000001</v>
      </c>
      <c r="J58">
        <f>[12]gpt4omini_single_60!L57</f>
        <v>0.15040500000000001</v>
      </c>
      <c r="K58">
        <f>[13]gpt4omini_single_60!L57</f>
        <v>0.17019999999999999</v>
      </c>
      <c r="L58">
        <f>[14]gpt4omini_single_60!L57</f>
        <v>-0.24954100000000001</v>
      </c>
      <c r="M58" s="12">
        <v>55</v>
      </c>
      <c r="N58">
        <f>[10]gpt4omini_single_100_2!L57</f>
        <v>-0.76319899999999996</v>
      </c>
      <c r="O58">
        <f>[11]gpt4omini_single_100_2!L57</f>
        <v>-0.68628699999999998</v>
      </c>
      <c r="P58">
        <f>[12]gpt4omini_single_100_2!L57</f>
        <v>-0.47927399999999998</v>
      </c>
      <c r="Q58">
        <f>[13]gpt4omini_single_100_2!L57</f>
        <v>-0.50544800000000001</v>
      </c>
      <c r="R58" s="11">
        <f>[14]gpt4omini_single_100_2!L57</f>
        <v>-0.67431600000000003</v>
      </c>
      <c r="S58">
        <v>55</v>
      </c>
      <c r="T58">
        <f>[10]gpt4omini_single_60_2!L57</f>
        <v>-0.47506300000000001</v>
      </c>
      <c r="U58">
        <f>[11]gpt4omini_single_60_2!L57</f>
        <v>-0.23474500000000001</v>
      </c>
      <c r="V58">
        <f>[12]gpt4omini_single_60_2!L57</f>
        <v>-0.10413</v>
      </c>
      <c r="W58">
        <f>[13]gpt4omini_single_60_2!L57</f>
        <v>-0.144039</v>
      </c>
      <c r="X58">
        <f>[14]gpt4omini_single_60_2!L57</f>
        <v>-0.39860899999999999</v>
      </c>
    </row>
    <row r="59" spans="1:24" x14ac:dyDescent="0.2">
      <c r="A59" s="12">
        <v>56</v>
      </c>
      <c r="B59">
        <f>[10]gpt4omini_single_100!L58</f>
        <v>-0.46728599999999998</v>
      </c>
      <c r="C59">
        <f>[11]gpt4omini_single_100!L58</f>
        <v>-6.2151999999999999E-2</v>
      </c>
      <c r="D59">
        <f>[12]gpt4omini_single_100!L58</f>
        <v>0.23219699999999999</v>
      </c>
      <c r="E59">
        <f>[13]gpt4omini_single_100!L58</f>
        <v>0.30848700000000001</v>
      </c>
      <c r="F59" s="11">
        <f>[14]gpt4omini_single_100!L58</f>
        <v>-0.49348700000000001</v>
      </c>
      <c r="G59">
        <v>56</v>
      </c>
      <c r="H59">
        <f>[10]gpt4omini_single_60!L58</f>
        <v>-0.27104600000000001</v>
      </c>
      <c r="I59">
        <f>[11]gpt4omini_single_60!L58</f>
        <v>0.13111200000000001</v>
      </c>
      <c r="J59">
        <f>[12]gpt4omini_single_60!L58</f>
        <v>0.153221</v>
      </c>
      <c r="K59">
        <f>[13]gpt4omini_single_60!L58</f>
        <v>0.172291</v>
      </c>
      <c r="L59">
        <f>[14]gpt4omini_single_60!L58</f>
        <v>-0.250666</v>
      </c>
      <c r="M59" s="12">
        <v>56</v>
      </c>
      <c r="N59">
        <f>[10]gpt4omini_single_100_2!L58</f>
        <v>-0.77988299999999999</v>
      </c>
      <c r="O59">
        <f>[11]gpt4omini_single_100_2!L58</f>
        <v>-0.68811699999999998</v>
      </c>
      <c r="P59">
        <f>[12]gpt4omini_single_100_2!L58</f>
        <v>-0.49490400000000001</v>
      </c>
      <c r="Q59">
        <f>[13]gpt4omini_single_100_2!L58</f>
        <v>-0.53606699999999996</v>
      </c>
      <c r="R59" s="11">
        <f>[14]gpt4omini_single_100_2!L58</f>
        <v>-0.69751799999999997</v>
      </c>
      <c r="S59">
        <v>56</v>
      </c>
      <c r="T59">
        <f>[10]gpt4omini_single_60_2!L58</f>
        <v>-0.47673199999999999</v>
      </c>
      <c r="U59">
        <f>[11]gpt4omini_single_60_2!L58</f>
        <v>-0.23430999999999999</v>
      </c>
      <c r="V59">
        <f>[12]gpt4omini_single_60_2!L58</f>
        <v>-0.101808</v>
      </c>
      <c r="W59">
        <f>[13]gpt4omini_single_60_2!L58</f>
        <v>-0.141483</v>
      </c>
      <c r="X59">
        <f>[14]gpt4omini_single_60_2!L58</f>
        <v>-0.40081600000000001</v>
      </c>
    </row>
    <row r="60" spans="1:24" x14ac:dyDescent="0.2">
      <c r="A60" s="12">
        <v>57</v>
      </c>
      <c r="B60">
        <f>[10]gpt4omini_single_100!L59</f>
        <v>-0.46785199999999999</v>
      </c>
      <c r="C60">
        <f>[11]gpt4omini_single_100!L59</f>
        <v>-4.2502999999999999E-2</v>
      </c>
      <c r="D60">
        <f>[12]gpt4omini_single_100!L59</f>
        <v>0.23466600000000001</v>
      </c>
      <c r="E60">
        <f>[13]gpt4omini_single_100!L59</f>
        <v>0.31883099999999998</v>
      </c>
      <c r="F60" s="11">
        <f>[14]gpt4omini_single_100!L59</f>
        <v>-0.49435699999999999</v>
      </c>
      <c r="G60">
        <v>57</v>
      </c>
      <c r="H60">
        <f>[10]gpt4omini_single_60!L59</f>
        <v>-0.27300200000000002</v>
      </c>
      <c r="I60">
        <f>[11]gpt4omini_single_60!L59</f>
        <v>0.132992</v>
      </c>
      <c r="J60">
        <f>[12]gpt4omini_single_60!L59</f>
        <v>0.17272499999999999</v>
      </c>
      <c r="K60">
        <f>[13]gpt4omini_single_60!L59</f>
        <v>0.174536</v>
      </c>
      <c r="L60">
        <f>[14]gpt4omini_single_60!L59</f>
        <v>-0.25274799999999997</v>
      </c>
      <c r="M60" s="12">
        <v>57</v>
      </c>
      <c r="N60">
        <f>[10]gpt4omini_single_100_2!L59</f>
        <v>-0.77977300000000005</v>
      </c>
      <c r="O60">
        <f>[11]gpt4omini_single_100_2!L59</f>
        <v>-0.69000799999999995</v>
      </c>
      <c r="P60">
        <f>[12]gpt4omini_single_100_2!L59</f>
        <v>-0.49814900000000001</v>
      </c>
      <c r="Q60">
        <f>[13]gpt4omini_single_100_2!L59</f>
        <v>-0.53442699999999999</v>
      </c>
      <c r="R60" s="11">
        <f>[14]gpt4omini_single_100_2!L59</f>
        <v>-0.70415899999999998</v>
      </c>
      <c r="S60">
        <v>57</v>
      </c>
      <c r="T60">
        <f>[10]gpt4omini_single_60_2!L59</f>
        <v>-0.48085099999999997</v>
      </c>
      <c r="U60">
        <f>[11]gpt4omini_single_60_2!L59</f>
        <v>-0.23386999999999999</v>
      </c>
      <c r="V60">
        <f>[12]gpt4omini_single_60_2!L59</f>
        <v>-0.100317</v>
      </c>
      <c r="W60">
        <f>[13]gpt4omini_single_60_2!L59</f>
        <v>-0.139706</v>
      </c>
      <c r="X60">
        <f>[14]gpt4omini_single_60_2!L59</f>
        <v>-0.40521400000000002</v>
      </c>
    </row>
    <row r="61" spans="1:24" x14ac:dyDescent="0.2">
      <c r="A61" s="12">
        <v>58</v>
      </c>
      <c r="B61">
        <f>[10]gpt4omini_single_100!L60</f>
        <v>-0.46990500000000002</v>
      </c>
      <c r="C61">
        <f>[11]gpt4omini_single_100!L60</f>
        <v>-3.8739999999999998E-3</v>
      </c>
      <c r="D61">
        <f>[12]gpt4omini_single_100!L60</f>
        <v>0.243421</v>
      </c>
      <c r="E61">
        <f>[13]gpt4omini_single_100!L60</f>
        <v>0.321774</v>
      </c>
      <c r="F61" s="11">
        <f>[14]gpt4omini_single_100!L60</f>
        <v>-0.494973</v>
      </c>
      <c r="G61">
        <v>58</v>
      </c>
      <c r="H61">
        <f>[10]gpt4omini_single_60!L60</f>
        <v>-0.27421899999999999</v>
      </c>
      <c r="I61">
        <f>[11]gpt4omini_single_60!L60</f>
        <v>0.13822799999999999</v>
      </c>
      <c r="J61">
        <f>[12]gpt4omini_single_60!L60</f>
        <v>0.17848800000000001</v>
      </c>
      <c r="K61">
        <f>[13]gpt4omini_single_60!L60</f>
        <v>0.18263799999999999</v>
      </c>
      <c r="L61">
        <f>[14]gpt4omini_single_60!L60</f>
        <v>-0.25512800000000002</v>
      </c>
      <c r="M61" s="12">
        <v>58</v>
      </c>
      <c r="N61">
        <f>[10]gpt4omini_single_100_2!L60</f>
        <v>-0.78341400000000005</v>
      </c>
      <c r="O61">
        <f>[11]gpt4omini_single_100_2!L60</f>
        <v>-0.67173300000000002</v>
      </c>
      <c r="P61">
        <f>[12]gpt4omini_single_100_2!L60</f>
        <v>-0.46853499999999998</v>
      </c>
      <c r="Q61">
        <f>[13]gpt4omini_single_100_2!L60</f>
        <v>-0.44791399999999998</v>
      </c>
      <c r="R61" s="11">
        <f>[14]gpt4omini_single_100_2!L60</f>
        <v>-0.70573600000000003</v>
      </c>
      <c r="S61">
        <v>58</v>
      </c>
      <c r="T61">
        <f>[10]gpt4omini_single_60_2!L60</f>
        <v>-0.48441099999999998</v>
      </c>
      <c r="U61">
        <f>[11]gpt4omini_single_60_2!L60</f>
        <v>-0.236876</v>
      </c>
      <c r="V61">
        <f>[12]gpt4omini_single_60_2!L60</f>
        <v>-9.9975999999999995E-2</v>
      </c>
      <c r="W61">
        <f>[13]gpt4omini_single_60_2!L60</f>
        <v>-0.13758799999999999</v>
      </c>
      <c r="X61">
        <f>[14]gpt4omini_single_60_2!L60</f>
        <v>-0.40993200000000002</v>
      </c>
    </row>
    <row r="62" spans="1:24" x14ac:dyDescent="0.2">
      <c r="A62" s="12">
        <v>59</v>
      </c>
      <c r="B62">
        <f>[10]gpt4omini_single_100!L61</f>
        <v>-0.471331</v>
      </c>
      <c r="C62">
        <f>[11]gpt4omini_single_100!L61</f>
        <v>3.2354000000000001E-2</v>
      </c>
      <c r="D62">
        <f>[12]gpt4omini_single_100!L61</f>
        <v>0.25467000000000001</v>
      </c>
      <c r="E62">
        <f>[13]gpt4omini_single_100!L61</f>
        <v>0.34723700000000002</v>
      </c>
      <c r="F62" s="11">
        <f>[14]gpt4omini_single_100!L61</f>
        <v>-0.49460700000000002</v>
      </c>
      <c r="G62">
        <v>59</v>
      </c>
      <c r="H62">
        <f>[10]gpt4omini_single_60!L61</f>
        <v>-0.27514699999999997</v>
      </c>
      <c r="I62">
        <f>[11]gpt4omini_single_60!L61</f>
        <v>0.131242</v>
      </c>
      <c r="J62">
        <f>[12]gpt4omini_single_60!L61</f>
        <v>0.19411800000000001</v>
      </c>
      <c r="K62">
        <f>[13]gpt4omini_single_60!L61</f>
        <v>0.134656</v>
      </c>
      <c r="L62">
        <f>[14]gpt4omini_single_60!L61</f>
        <v>-0.25620399999999999</v>
      </c>
      <c r="M62" s="12">
        <v>59</v>
      </c>
      <c r="N62">
        <f>[10]gpt4omini_single_100_2!L61</f>
        <v>-0.78402099999999997</v>
      </c>
      <c r="O62">
        <f>[11]gpt4omini_single_100_2!L61</f>
        <v>-0.67518999999999996</v>
      </c>
      <c r="P62">
        <f>[12]gpt4omini_single_100_2!L61</f>
        <v>-0.46385900000000002</v>
      </c>
      <c r="Q62">
        <f>[13]gpt4omini_single_100_2!L61</f>
        <v>-0.44846399999999997</v>
      </c>
      <c r="R62" s="11">
        <f>[14]gpt4omini_single_100_2!L61</f>
        <v>-0.70694000000000001</v>
      </c>
      <c r="S62">
        <v>59</v>
      </c>
      <c r="T62">
        <f>[10]gpt4omini_single_60_2!L61</f>
        <v>-0.48574000000000001</v>
      </c>
      <c r="U62">
        <f>[11]gpt4omini_single_60_2!L61</f>
        <v>-0.23308499999999999</v>
      </c>
      <c r="V62">
        <f>[12]gpt4omini_single_60_2!L61</f>
        <v>-7.1015999999999996E-2</v>
      </c>
      <c r="W62">
        <f>[13]gpt4omini_single_60_2!L61</f>
        <v>-0.13287599999999999</v>
      </c>
      <c r="X62">
        <f>[14]gpt4omini_single_60_2!L61</f>
        <v>-0.41210599999999997</v>
      </c>
    </row>
    <row r="63" spans="1:24" x14ac:dyDescent="0.2">
      <c r="A63" s="12">
        <v>60</v>
      </c>
      <c r="B63">
        <f>[10]gpt4omini_single_100!L62</f>
        <v>-0.47712900000000003</v>
      </c>
      <c r="C63">
        <f>[11]gpt4omini_single_100!L62</f>
        <v>4.0022000000000002E-2</v>
      </c>
      <c r="D63">
        <f>[12]gpt4omini_single_100!L62</f>
        <v>0.272063</v>
      </c>
      <c r="E63">
        <f>[13]gpt4omini_single_100!L62</f>
        <v>0.37437100000000001</v>
      </c>
      <c r="F63" s="11">
        <f>[14]gpt4omini_single_100!L62</f>
        <v>-0.50112900000000005</v>
      </c>
      <c r="G63">
        <v>60</v>
      </c>
      <c r="H63">
        <f>[10]gpt4omini_single_60!L62</f>
        <v>-0.27674799999999999</v>
      </c>
      <c r="I63">
        <f>[11]gpt4omini_single_60!L62</f>
        <v>0.13669000000000001</v>
      </c>
      <c r="J63">
        <f>[12]gpt4omini_single_60!L62</f>
        <v>0.208563</v>
      </c>
      <c r="K63">
        <f>[13]gpt4omini_single_60!L62</f>
        <v>0.168457</v>
      </c>
      <c r="L63">
        <f>[14]gpt4omini_single_60!L62</f>
        <v>-0.25800200000000001</v>
      </c>
      <c r="M63" s="12">
        <v>60</v>
      </c>
      <c r="N63">
        <f>[10]gpt4omini_single_100_2!L62</f>
        <v>-0.78947299999999998</v>
      </c>
      <c r="O63">
        <f>[11]gpt4omini_single_100_2!L62</f>
        <v>-0.72119200000000006</v>
      </c>
      <c r="P63">
        <f>[12]gpt4omini_single_100_2!L62</f>
        <v>-0.49249399999999999</v>
      </c>
      <c r="Q63">
        <f>[13]gpt4omini_single_100_2!L62</f>
        <v>-0.46038299999999999</v>
      </c>
      <c r="R63" s="11">
        <f>[14]gpt4omini_single_100_2!L62</f>
        <v>-0.71557400000000004</v>
      </c>
      <c r="S63">
        <v>60</v>
      </c>
      <c r="T63">
        <f>[10]gpt4omini_single_60_2!L62</f>
        <v>-0.48918099999999998</v>
      </c>
      <c r="U63">
        <f>[11]gpt4omini_single_60_2!L62</f>
        <v>-0.25151000000000001</v>
      </c>
      <c r="V63">
        <f>[12]gpt4omini_single_60_2!L62</f>
        <v>-7.3568999999999996E-2</v>
      </c>
      <c r="W63">
        <f>[13]gpt4omini_single_60_2!L62</f>
        <v>-0.14432600000000001</v>
      </c>
      <c r="X63">
        <f>[14]gpt4omini_single_60_2!L62</f>
        <v>-0.41546899999999998</v>
      </c>
    </row>
    <row r="64" spans="1:24" x14ac:dyDescent="0.2">
      <c r="A64" s="12">
        <v>61</v>
      </c>
      <c r="B64">
        <f>[10]gpt4omini_single_100!L63</f>
        <v>-0.47968899999999998</v>
      </c>
      <c r="C64">
        <f>[11]gpt4omini_single_100!L63</f>
        <v>4.3098999999999998E-2</v>
      </c>
      <c r="D64">
        <f>[12]gpt4omini_single_100!L63</f>
        <v>0.26959300000000003</v>
      </c>
      <c r="E64">
        <f>[13]gpt4omini_single_100!L63</f>
        <v>0.38029499999999999</v>
      </c>
      <c r="F64" s="11">
        <f>[14]gpt4omini_single_100!L63</f>
        <v>-0.50348300000000001</v>
      </c>
      <c r="M64" s="12">
        <v>61</v>
      </c>
      <c r="N64">
        <f>[10]gpt4omini_single_100_2!L63</f>
        <v>-0.79353099999999999</v>
      </c>
      <c r="O64">
        <f>[11]gpt4omini_single_100_2!L63</f>
        <v>-0.72933400000000004</v>
      </c>
      <c r="P64">
        <f>[12]gpt4omini_single_100_2!L63</f>
        <v>-0.50169900000000001</v>
      </c>
      <c r="Q64">
        <f>[13]gpt4omini_single_100_2!L63</f>
        <v>-0.46406900000000001</v>
      </c>
      <c r="R64" s="11">
        <f>[14]gpt4omini_single_100_2!L63</f>
        <v>-0.718144</v>
      </c>
    </row>
    <row r="65" spans="1:18" x14ac:dyDescent="0.2">
      <c r="A65" s="12">
        <v>62</v>
      </c>
      <c r="B65">
        <f>[10]gpt4omini_single_100!L64</f>
        <v>-0.48111199999999998</v>
      </c>
      <c r="C65">
        <f>[11]gpt4omini_single_100!L64</f>
        <v>4.2525E-2</v>
      </c>
      <c r="D65">
        <f>[12]gpt4omini_single_100!L64</f>
        <v>0.275121</v>
      </c>
      <c r="E65">
        <f>[13]gpt4omini_single_100!L64</f>
        <v>0.37986399999999998</v>
      </c>
      <c r="F65" s="11">
        <f>[14]gpt4omini_single_100!L64</f>
        <v>-0.50292700000000001</v>
      </c>
      <c r="M65" s="12">
        <v>62</v>
      </c>
      <c r="N65">
        <f>[10]gpt4omini_single_100_2!L64</f>
        <v>-0.79550600000000005</v>
      </c>
      <c r="O65">
        <f>[11]gpt4omini_single_100_2!L64</f>
        <v>-0.724074</v>
      </c>
      <c r="P65">
        <f>[12]gpt4omini_single_100_2!L64</f>
        <v>-0.50695400000000002</v>
      </c>
      <c r="Q65">
        <f>[13]gpt4omini_single_100_2!L64</f>
        <v>-0.45733000000000001</v>
      </c>
      <c r="R65" s="11">
        <f>[14]gpt4omini_single_100_2!L64</f>
        <v>-0.72244200000000003</v>
      </c>
    </row>
    <row r="66" spans="1:18" x14ac:dyDescent="0.2">
      <c r="A66" s="12">
        <v>63</v>
      </c>
      <c r="B66">
        <f>[10]gpt4omini_single_100!L65</f>
        <v>-0.48039799999999999</v>
      </c>
      <c r="C66">
        <f>[11]gpt4omini_single_100!L65</f>
        <v>3.8968000000000003E-2</v>
      </c>
      <c r="D66">
        <f>[12]gpt4omini_single_100!L65</f>
        <v>0.26417099999999999</v>
      </c>
      <c r="E66">
        <f>[13]gpt4omini_single_100!L65</f>
        <v>0.37597700000000001</v>
      </c>
      <c r="F66" s="11">
        <f>[14]gpt4omini_single_100!L65</f>
        <v>-0.51039999999999996</v>
      </c>
      <c r="M66" s="12">
        <v>63</v>
      </c>
      <c r="N66">
        <f>[10]gpt4omini_single_100_2!L65</f>
        <v>-0.79772900000000002</v>
      </c>
      <c r="O66">
        <f>[11]gpt4omini_single_100_2!L65</f>
        <v>-0.72787000000000002</v>
      </c>
      <c r="P66">
        <f>[12]gpt4omini_single_100_2!L65</f>
        <v>-0.52526200000000001</v>
      </c>
      <c r="Q66">
        <f>[13]gpt4omini_single_100_2!L65</f>
        <v>-0.46957599999999999</v>
      </c>
      <c r="R66" s="11">
        <f>[14]gpt4omini_single_100_2!L65</f>
        <v>-0.724217</v>
      </c>
    </row>
    <row r="67" spans="1:18" x14ac:dyDescent="0.2">
      <c r="A67" s="12">
        <v>64</v>
      </c>
      <c r="B67">
        <f>[10]gpt4omini_single_100!L66</f>
        <v>-0.49390899999999999</v>
      </c>
      <c r="C67">
        <f>[11]gpt4omini_single_100!L66</f>
        <v>3.5812999999999998E-2</v>
      </c>
      <c r="D67">
        <f>[12]gpt4omini_single_100!L66</f>
        <v>0.27312500000000001</v>
      </c>
      <c r="E67">
        <f>[13]gpt4omini_single_100!L66</f>
        <v>0.37821300000000002</v>
      </c>
      <c r="F67" s="11">
        <f>[14]gpt4omini_single_100!L66</f>
        <v>-0.51872600000000002</v>
      </c>
      <c r="M67" s="12">
        <v>64</v>
      </c>
      <c r="N67">
        <f>[10]gpt4omini_single_100_2!L66</f>
        <v>-0.80438900000000002</v>
      </c>
      <c r="O67">
        <f>[11]gpt4omini_single_100_2!L66</f>
        <v>-0.73428099999999996</v>
      </c>
      <c r="P67">
        <f>[12]gpt4omini_single_100_2!L66</f>
        <v>-0.53209200000000001</v>
      </c>
      <c r="Q67">
        <f>[13]gpt4omini_single_100_2!L66</f>
        <v>-0.47460999999999998</v>
      </c>
      <c r="R67" s="11">
        <f>[14]gpt4omini_single_100_2!L66</f>
        <v>-0.73489400000000005</v>
      </c>
    </row>
    <row r="68" spans="1:18" x14ac:dyDescent="0.2">
      <c r="A68" s="12">
        <v>65</v>
      </c>
      <c r="B68">
        <f>[10]gpt4omini_single_100!L67</f>
        <v>-0.49854999999999999</v>
      </c>
      <c r="C68">
        <f>[11]gpt4omini_single_100!L67</f>
        <v>3.5958999999999998E-2</v>
      </c>
      <c r="D68">
        <f>[12]gpt4omini_single_100!L67</f>
        <v>0.27927999999999997</v>
      </c>
      <c r="E68">
        <f>[13]gpt4omini_single_100!L67</f>
        <v>0.35309000000000001</v>
      </c>
      <c r="F68" s="11">
        <f>[14]gpt4omini_single_100!L67</f>
        <v>-0.52269900000000002</v>
      </c>
      <c r="M68" s="12">
        <v>65</v>
      </c>
      <c r="N68">
        <f>[10]gpt4omini_single_100_2!L67</f>
        <v>-0.81750900000000004</v>
      </c>
      <c r="O68">
        <f>[11]gpt4omini_single_100_2!L67</f>
        <v>-0.73586600000000002</v>
      </c>
      <c r="P68">
        <f>[12]gpt4omini_single_100_2!L67</f>
        <v>-0.52364200000000005</v>
      </c>
      <c r="Q68">
        <f>[13]gpt4omini_single_100_2!L67</f>
        <v>-0.46516299999999999</v>
      </c>
      <c r="R68" s="11">
        <f>[14]gpt4omini_single_100_2!L67</f>
        <v>-0.76285999999999998</v>
      </c>
    </row>
    <row r="69" spans="1:18" x14ac:dyDescent="0.2">
      <c r="A69" s="12">
        <v>66</v>
      </c>
      <c r="B69">
        <f>[10]gpt4omini_single_100!L68</f>
        <v>-0.50196300000000005</v>
      </c>
      <c r="C69">
        <f>[11]gpt4omini_single_100!L68</f>
        <v>3.5261000000000001E-2</v>
      </c>
      <c r="D69">
        <f>[12]gpt4omini_single_100!L68</f>
        <v>0.28265400000000002</v>
      </c>
      <c r="E69">
        <f>[13]gpt4omini_single_100!L68</f>
        <v>0.36710399999999999</v>
      </c>
      <c r="F69" s="11">
        <f>[14]gpt4omini_single_100!L68</f>
        <v>-0.52481999999999995</v>
      </c>
      <c r="M69" s="12">
        <v>66</v>
      </c>
      <c r="N69">
        <f>[10]gpt4omini_single_100_2!L68</f>
        <v>-0.82034200000000002</v>
      </c>
      <c r="O69">
        <f>[11]gpt4omini_single_100_2!L68</f>
        <v>-0.73515200000000003</v>
      </c>
      <c r="P69">
        <f>[12]gpt4omini_single_100_2!L68</f>
        <v>-0.525841</v>
      </c>
      <c r="Q69">
        <f>[13]gpt4omini_single_100_2!L68</f>
        <v>-0.46942299999999998</v>
      </c>
      <c r="R69" s="11">
        <f>[14]gpt4omini_single_100_2!L68</f>
        <v>-0.77117400000000003</v>
      </c>
    </row>
    <row r="70" spans="1:18" x14ac:dyDescent="0.2">
      <c r="A70" s="12">
        <v>67</v>
      </c>
      <c r="B70">
        <f>[10]gpt4omini_single_100!L69</f>
        <v>-0.50378900000000004</v>
      </c>
      <c r="C70">
        <f>[11]gpt4omini_single_100!L69</f>
        <v>3.1038E-2</v>
      </c>
      <c r="D70">
        <f>[12]gpt4omini_single_100!L69</f>
        <v>0.29516599999999998</v>
      </c>
      <c r="E70">
        <f>[13]gpt4omini_single_100!L69</f>
        <v>0.36657499999999998</v>
      </c>
      <c r="F70" s="11">
        <f>[14]gpt4omini_single_100!L69</f>
        <v>-0.52707800000000005</v>
      </c>
      <c r="M70" s="12">
        <v>67</v>
      </c>
      <c r="N70">
        <f>[10]gpt4omini_single_100_2!L69</f>
        <v>-0.82038199999999994</v>
      </c>
      <c r="O70">
        <f>[11]gpt4omini_single_100_2!L69</f>
        <v>-0.74421199999999998</v>
      </c>
      <c r="P70">
        <f>[12]gpt4omini_single_100_2!L69</f>
        <v>-0.53468800000000005</v>
      </c>
      <c r="Q70">
        <f>[13]gpt4omini_single_100_2!L69</f>
        <v>-0.48031200000000002</v>
      </c>
      <c r="R70" s="11">
        <f>[14]gpt4omini_single_100_2!L69</f>
        <v>-0.77307400000000004</v>
      </c>
    </row>
    <row r="71" spans="1:18" x14ac:dyDescent="0.2">
      <c r="A71" s="12">
        <v>68</v>
      </c>
      <c r="B71">
        <f>[10]gpt4omini_single_100!L70</f>
        <v>-0.50891900000000001</v>
      </c>
      <c r="C71">
        <f>[11]gpt4omini_single_100!L70</f>
        <v>3.1267000000000003E-2</v>
      </c>
      <c r="D71">
        <f>[12]gpt4omini_single_100!L70</f>
        <v>0.29501100000000002</v>
      </c>
      <c r="E71">
        <f>[13]gpt4omini_single_100!L70</f>
        <v>0.35942600000000002</v>
      </c>
      <c r="F71" s="11">
        <f>[14]gpt4omini_single_100!L70</f>
        <v>-0.53236700000000003</v>
      </c>
      <c r="M71" s="12">
        <v>68</v>
      </c>
      <c r="N71">
        <f>[10]gpt4omini_single_100_2!L70</f>
        <v>-0.82617399999999996</v>
      </c>
      <c r="O71">
        <f>[11]gpt4omini_single_100_2!L70</f>
        <v>-0.74343800000000004</v>
      </c>
      <c r="P71">
        <f>[12]gpt4omini_single_100_2!L70</f>
        <v>-0.52895199999999998</v>
      </c>
      <c r="Q71">
        <f>[13]gpt4omini_single_100_2!L70</f>
        <v>-0.488593</v>
      </c>
      <c r="R71" s="11">
        <f>[14]gpt4omini_single_100_2!L70</f>
        <v>-0.77986900000000003</v>
      </c>
    </row>
    <row r="72" spans="1:18" x14ac:dyDescent="0.2">
      <c r="A72" s="12">
        <v>69</v>
      </c>
      <c r="B72">
        <f>[10]gpt4omini_single_100!L71</f>
        <v>-0.50701200000000002</v>
      </c>
      <c r="C72">
        <f>[11]gpt4omini_single_100!L71</f>
        <v>3.5535999999999998E-2</v>
      </c>
      <c r="D72">
        <f>[12]gpt4omini_single_100!L71</f>
        <v>0.29803299999999999</v>
      </c>
      <c r="E72">
        <f>[13]gpt4omini_single_100!L71</f>
        <v>0.362784</v>
      </c>
      <c r="F72" s="11">
        <f>[14]gpt4omini_single_100!L71</f>
        <v>-0.53104499999999999</v>
      </c>
      <c r="M72" s="12">
        <v>69</v>
      </c>
      <c r="N72">
        <f>[10]gpt4omini_single_100_2!L71</f>
        <v>-0.82249700000000003</v>
      </c>
      <c r="O72">
        <f>[11]gpt4omini_single_100_2!L71</f>
        <v>-0.750031</v>
      </c>
      <c r="P72">
        <f>[12]gpt4omini_single_100_2!L71</f>
        <v>-0.52874699999999997</v>
      </c>
      <c r="Q72">
        <f>[13]gpt4omini_single_100_2!L71</f>
        <v>-0.49166900000000002</v>
      </c>
      <c r="R72" s="11">
        <f>[14]gpt4omini_single_100_2!L71</f>
        <v>-0.77954500000000004</v>
      </c>
    </row>
    <row r="73" spans="1:18" x14ac:dyDescent="0.2">
      <c r="A73" s="12">
        <v>70</v>
      </c>
      <c r="B73">
        <f>[10]gpt4omini_single_100!L72</f>
        <v>-0.50940700000000005</v>
      </c>
      <c r="C73">
        <f>[11]gpt4omini_single_100!L72</f>
        <v>4.2098999999999998E-2</v>
      </c>
      <c r="D73">
        <f>[12]gpt4omini_single_100!L72</f>
        <v>0.28484599999999999</v>
      </c>
      <c r="E73">
        <f>[13]gpt4omini_single_100!L72</f>
        <v>0.35134799999999999</v>
      </c>
      <c r="F73" s="11">
        <f>[14]gpt4omini_single_100!L72</f>
        <v>-0.53114300000000003</v>
      </c>
      <c r="M73" s="12">
        <v>70</v>
      </c>
      <c r="N73">
        <f>[10]gpt4omini_single_100_2!L72</f>
        <v>-0.82440800000000003</v>
      </c>
      <c r="O73">
        <f>[11]gpt4omini_single_100_2!L72</f>
        <v>-0.75302500000000006</v>
      </c>
      <c r="P73">
        <f>[12]gpt4omini_single_100_2!L72</f>
        <v>-0.53357500000000002</v>
      </c>
      <c r="Q73">
        <f>[13]gpt4omini_single_100_2!L72</f>
        <v>-0.49380800000000002</v>
      </c>
      <c r="R73" s="11">
        <f>[14]gpt4omini_single_100_2!L72</f>
        <v>-0.77705000000000002</v>
      </c>
    </row>
    <row r="74" spans="1:18" x14ac:dyDescent="0.2">
      <c r="A74" s="12">
        <v>71</v>
      </c>
      <c r="B74">
        <f>[10]gpt4omini_single_100!L73</f>
        <v>-0.51985999999999999</v>
      </c>
      <c r="C74">
        <f>[11]gpt4omini_single_100!L73</f>
        <v>6.2602000000000005E-2</v>
      </c>
      <c r="D74">
        <f>[12]gpt4omini_single_100!L73</f>
        <v>0.29089500000000001</v>
      </c>
      <c r="E74">
        <f>[13]gpt4omini_single_100!L73</f>
        <v>0.37413800000000003</v>
      </c>
      <c r="F74" s="11">
        <f>[14]gpt4omini_single_100!L73</f>
        <v>-0.542686</v>
      </c>
      <c r="M74" s="12">
        <v>71</v>
      </c>
      <c r="N74">
        <f>[10]gpt4omini_single_100_2!L73</f>
        <v>-0.84248699999999999</v>
      </c>
      <c r="O74">
        <f>[11]gpt4omini_single_100_2!L73</f>
        <v>-0.75255099999999997</v>
      </c>
      <c r="P74">
        <f>[12]gpt4omini_single_100_2!L73</f>
        <v>-0.498728</v>
      </c>
      <c r="Q74">
        <f>[13]gpt4omini_single_100_2!L73</f>
        <v>-0.43026599999999998</v>
      </c>
      <c r="R74" s="11">
        <f>[14]gpt4omini_single_100_2!L73</f>
        <v>-0.79009300000000005</v>
      </c>
    </row>
    <row r="75" spans="1:18" x14ac:dyDescent="0.2">
      <c r="A75" s="12">
        <v>72</v>
      </c>
      <c r="B75">
        <f>[10]gpt4omini_single_100!L74</f>
        <v>-0.52184600000000003</v>
      </c>
      <c r="C75">
        <f>[11]gpt4omini_single_100!L74</f>
        <v>9.7425999999999999E-2</v>
      </c>
      <c r="D75">
        <f>[12]gpt4omini_single_100!L74</f>
        <v>0.28994399999999998</v>
      </c>
      <c r="E75">
        <f>[13]gpt4omini_single_100!L74</f>
        <v>0.35513</v>
      </c>
      <c r="F75" s="11">
        <f>[14]gpt4omini_single_100!L74</f>
        <v>-0.54362500000000002</v>
      </c>
      <c r="M75" s="12">
        <v>72</v>
      </c>
      <c r="N75">
        <f>[10]gpt4omini_single_100_2!L74</f>
        <v>-0.84248500000000004</v>
      </c>
      <c r="O75">
        <f>[11]gpt4omini_single_100_2!L74</f>
        <v>-0.71839900000000001</v>
      </c>
      <c r="P75">
        <f>[12]gpt4omini_single_100_2!L74</f>
        <v>-0.51679200000000003</v>
      </c>
      <c r="Q75">
        <f>[13]gpt4omini_single_100_2!L74</f>
        <v>-0.48586699999999999</v>
      </c>
      <c r="R75" s="11">
        <f>[14]gpt4omini_single_100_2!L74</f>
        <v>-0.79177299999999995</v>
      </c>
    </row>
    <row r="76" spans="1:18" x14ac:dyDescent="0.2">
      <c r="A76" s="12">
        <v>73</v>
      </c>
      <c r="B76">
        <f>[10]gpt4omini_single_100!L75</f>
        <v>-0.524559</v>
      </c>
      <c r="C76">
        <f>[11]gpt4omini_single_100!L75</f>
        <v>0.114428</v>
      </c>
      <c r="D76">
        <f>[12]gpt4omini_single_100!L75</f>
        <v>0.31479400000000002</v>
      </c>
      <c r="E76">
        <f>[13]gpt4omini_single_100!L75</f>
        <v>0.38974900000000001</v>
      </c>
      <c r="F76" s="11">
        <f>[14]gpt4omini_single_100!L75</f>
        <v>-0.54421699999999995</v>
      </c>
      <c r="M76" s="12">
        <v>73</v>
      </c>
      <c r="N76">
        <f>[10]gpt4omini_single_100_2!L75</f>
        <v>-0.84431199999999995</v>
      </c>
      <c r="O76">
        <f>[11]gpt4omini_single_100_2!L75</f>
        <v>-0.76349900000000004</v>
      </c>
      <c r="P76">
        <f>[12]gpt4omini_single_100_2!L75</f>
        <v>-0.51666699999999999</v>
      </c>
      <c r="Q76">
        <f>[13]gpt4omini_single_100_2!L75</f>
        <v>-0.36067700000000003</v>
      </c>
      <c r="R76" s="11">
        <f>[14]gpt4omini_single_100_2!L75</f>
        <v>-0.792319</v>
      </c>
    </row>
    <row r="77" spans="1:18" x14ac:dyDescent="0.2">
      <c r="A77" s="12">
        <v>74</v>
      </c>
      <c r="B77">
        <f>[10]gpt4omini_single_100!L76</f>
        <v>-0.52682099999999998</v>
      </c>
      <c r="C77">
        <f>[11]gpt4omini_single_100!L76</f>
        <v>0.123807</v>
      </c>
      <c r="D77">
        <f>[12]gpt4omini_single_100!L76</f>
        <v>0.31606200000000001</v>
      </c>
      <c r="E77">
        <f>[13]gpt4omini_single_100!L76</f>
        <v>0.36355799999999999</v>
      </c>
      <c r="F77" s="11">
        <f>[14]gpt4omini_single_100!L76</f>
        <v>-0.53554299999999999</v>
      </c>
      <c r="M77" s="12">
        <v>74</v>
      </c>
      <c r="N77">
        <f>[10]gpt4omini_single_100_2!L76</f>
        <v>-0.84618099999999996</v>
      </c>
      <c r="O77">
        <f>[11]gpt4omini_single_100_2!L76</f>
        <v>-0.77768199999999998</v>
      </c>
      <c r="P77">
        <f>[12]gpt4omini_single_100_2!L76</f>
        <v>-0.51375300000000002</v>
      </c>
      <c r="Q77">
        <f>[13]gpt4omini_single_100_2!L76</f>
        <v>-0.39000499999999999</v>
      </c>
      <c r="R77" s="11">
        <f>[14]gpt4omini_single_100_2!L76</f>
        <v>-0.79396199999999995</v>
      </c>
    </row>
    <row r="78" spans="1:18" x14ac:dyDescent="0.2">
      <c r="A78" s="12">
        <v>75</v>
      </c>
      <c r="B78">
        <f>[10]gpt4omini_single_100!L77</f>
        <v>-0.53271999999999997</v>
      </c>
      <c r="C78">
        <f>[11]gpt4omini_single_100!L77</f>
        <v>8.9033000000000001E-2</v>
      </c>
      <c r="D78">
        <f>[12]gpt4omini_single_100!L77</f>
        <v>0.30999100000000002</v>
      </c>
      <c r="E78">
        <f>[13]gpt4omini_single_100!L77</f>
        <v>0.37597900000000001</v>
      </c>
      <c r="F78" s="11">
        <f>[14]gpt4omini_single_100!L77</f>
        <v>-0.56361600000000001</v>
      </c>
      <c r="M78" s="12">
        <v>75</v>
      </c>
      <c r="N78">
        <f>[10]gpt4omini_single_100_2!L77</f>
        <v>-0.83724200000000004</v>
      </c>
      <c r="O78">
        <f>[11]gpt4omini_single_100_2!L77</f>
        <v>-0.76714199999999999</v>
      </c>
      <c r="P78">
        <f>[12]gpt4omini_single_100_2!L77</f>
        <v>-0.52901200000000004</v>
      </c>
      <c r="Q78">
        <f>[13]gpt4omini_single_100_2!L77</f>
        <v>-0.40539500000000001</v>
      </c>
      <c r="R78" s="11">
        <f>[14]gpt4omini_single_100_2!L77</f>
        <v>-0.79803299999999999</v>
      </c>
    </row>
    <row r="79" spans="1:18" x14ac:dyDescent="0.2">
      <c r="A79" s="12">
        <v>76</v>
      </c>
      <c r="B79">
        <f>[10]gpt4omini_single_100!L78</f>
        <v>-0.53187300000000004</v>
      </c>
      <c r="C79">
        <f>[11]gpt4omini_single_100!L78</f>
        <v>9.8485000000000003E-2</v>
      </c>
      <c r="D79">
        <f>[12]gpt4omini_single_100!L78</f>
        <v>0.34929399999999999</v>
      </c>
      <c r="E79">
        <f>[13]gpt4omini_single_100!L78</f>
        <v>0.40586899999999998</v>
      </c>
      <c r="F79" s="11">
        <f>[14]gpt4omini_single_100!L78</f>
        <v>-0.565527</v>
      </c>
      <c r="M79" s="12">
        <v>76</v>
      </c>
      <c r="N79">
        <f>[10]gpt4omini_single_100_2!L78</f>
        <v>-0.86990199999999995</v>
      </c>
      <c r="O79">
        <f>[11]gpt4omini_single_100_2!L78</f>
        <v>-0.760046</v>
      </c>
      <c r="P79">
        <f>[12]gpt4omini_single_100_2!L78</f>
        <v>-0.56897200000000003</v>
      </c>
      <c r="Q79">
        <f>[13]gpt4omini_single_100_2!L78</f>
        <v>-0.42828100000000002</v>
      </c>
      <c r="R79" s="11">
        <f>[14]gpt4omini_single_100_2!L78</f>
        <v>-0.800122</v>
      </c>
    </row>
    <row r="80" spans="1:18" x14ac:dyDescent="0.2">
      <c r="A80" s="12">
        <v>77</v>
      </c>
      <c r="B80">
        <f>[10]gpt4omini_single_100!L79</f>
        <v>-0.52690599999999999</v>
      </c>
      <c r="C80">
        <f>[11]gpt4omini_single_100!L79</f>
        <v>7.9404000000000002E-2</v>
      </c>
      <c r="D80">
        <f>[12]gpt4omini_single_100!L79</f>
        <v>0.31940299999999999</v>
      </c>
      <c r="E80">
        <f>[13]gpt4omini_single_100!L79</f>
        <v>0.38116699999999998</v>
      </c>
      <c r="F80" s="11">
        <f>[14]gpt4omini_single_100!L79</f>
        <v>-0.56144499999999997</v>
      </c>
      <c r="M80" s="12">
        <v>77</v>
      </c>
      <c r="N80">
        <f>[10]gpt4omini_single_100_2!L79</f>
        <v>-0.86634800000000001</v>
      </c>
      <c r="O80">
        <f>[11]gpt4omini_single_100_2!L79</f>
        <v>-0.77440799999999999</v>
      </c>
      <c r="P80">
        <f>[12]gpt4omini_single_100_2!L79</f>
        <v>-0.52920299999999998</v>
      </c>
      <c r="Q80">
        <f>[13]gpt4omini_single_100_2!L79</f>
        <v>-0.42840099999999998</v>
      </c>
      <c r="R80" s="11">
        <f>[14]gpt4omini_single_100_2!L79</f>
        <v>-0.79260399999999998</v>
      </c>
    </row>
    <row r="81" spans="1:18" x14ac:dyDescent="0.2">
      <c r="A81" s="12">
        <v>78</v>
      </c>
      <c r="B81">
        <f>[10]gpt4omini_single_100!L80</f>
        <v>-0.54415100000000005</v>
      </c>
      <c r="C81">
        <f>[11]gpt4omini_single_100!L80</f>
        <v>7.7003000000000002E-2</v>
      </c>
      <c r="D81">
        <f>[12]gpt4omini_single_100!L80</f>
        <v>0.34456100000000001</v>
      </c>
      <c r="E81">
        <f>[13]gpt4omini_single_100!L80</f>
        <v>0.39125799999999999</v>
      </c>
      <c r="F81" s="11">
        <f>[14]gpt4omini_single_100!L80</f>
        <v>-0.57044899999999998</v>
      </c>
      <c r="M81" s="12">
        <v>78</v>
      </c>
      <c r="N81">
        <f>[10]gpt4omini_single_100_2!L80</f>
        <v>-0.87327399999999999</v>
      </c>
      <c r="O81">
        <f>[11]gpt4omini_single_100_2!L80</f>
        <v>-0.76912999999999998</v>
      </c>
      <c r="P81">
        <f>[12]gpt4omini_single_100_2!L80</f>
        <v>-0.53162299999999996</v>
      </c>
      <c r="Q81">
        <f>[13]gpt4omini_single_100_2!L80</f>
        <v>-0.45747399999999999</v>
      </c>
      <c r="R81" s="11">
        <f>[14]gpt4omini_single_100_2!L80</f>
        <v>-0.81621200000000005</v>
      </c>
    </row>
    <row r="82" spans="1:18" x14ac:dyDescent="0.2">
      <c r="A82" s="12">
        <v>79</v>
      </c>
      <c r="B82">
        <f>[10]gpt4omini_single_100!L81</f>
        <v>-0.553369</v>
      </c>
      <c r="C82">
        <f>[11]gpt4omini_single_100!L81</f>
        <v>7.8328999999999996E-2</v>
      </c>
      <c r="D82">
        <f>[12]gpt4omini_single_100!L81</f>
        <v>0.293236</v>
      </c>
      <c r="E82">
        <f>[13]gpt4omini_single_100!L81</f>
        <v>0.279808</v>
      </c>
      <c r="F82" s="11">
        <f>[14]gpt4omini_single_100!L81</f>
        <v>-0.57787299999999997</v>
      </c>
      <c r="M82" s="12">
        <v>79</v>
      </c>
      <c r="N82">
        <f>[10]gpt4omini_single_100_2!L81</f>
        <v>-0.88244500000000003</v>
      </c>
      <c r="O82">
        <f>[11]gpt4omini_single_100_2!L81</f>
        <v>-0.80436200000000002</v>
      </c>
      <c r="P82">
        <f>[12]gpt4omini_single_100_2!L81</f>
        <v>-0.54319700000000004</v>
      </c>
      <c r="Q82">
        <f>[13]gpt4omini_single_100_2!L81</f>
        <v>-0.482458</v>
      </c>
      <c r="R82" s="11">
        <f>[14]gpt4omini_single_100_2!L81</f>
        <v>-0.82610700000000004</v>
      </c>
    </row>
    <row r="83" spans="1:18" x14ac:dyDescent="0.2">
      <c r="A83" s="12">
        <v>80</v>
      </c>
      <c r="B83">
        <f>[10]gpt4omini_single_100!L82</f>
        <v>-0.555616</v>
      </c>
      <c r="C83">
        <f>[11]gpt4omini_single_100!L82</f>
        <v>8.5349999999999995E-2</v>
      </c>
      <c r="D83">
        <f>[12]gpt4omini_single_100!L82</f>
        <v>0.34345300000000001</v>
      </c>
      <c r="E83">
        <f>[13]gpt4omini_single_100!L82</f>
        <v>0.32259300000000002</v>
      </c>
      <c r="F83" s="11">
        <f>[14]gpt4omini_single_100!L82</f>
        <v>-0.58107900000000001</v>
      </c>
      <c r="M83" s="12">
        <v>80</v>
      </c>
      <c r="N83">
        <f>[10]gpt4omini_single_100_2!L82</f>
        <v>-0.88395599999999996</v>
      </c>
      <c r="O83">
        <f>[11]gpt4omini_single_100_2!L82</f>
        <v>-0.78378800000000004</v>
      </c>
      <c r="P83">
        <f>[12]gpt4omini_single_100_2!L82</f>
        <v>-0.56284199999999995</v>
      </c>
      <c r="Q83">
        <f>[13]gpt4omini_single_100_2!L82</f>
        <v>-0.46714600000000001</v>
      </c>
      <c r="R83" s="11">
        <f>[14]gpt4omini_single_100_2!L82</f>
        <v>-0.82288499999999998</v>
      </c>
    </row>
    <row r="84" spans="1:18" x14ac:dyDescent="0.2">
      <c r="A84" s="12">
        <v>81</v>
      </c>
      <c r="B84">
        <f>[10]gpt4omini_single_100!L83</f>
        <v>-0.55472600000000005</v>
      </c>
      <c r="C84">
        <f>[11]gpt4omini_single_100!L83</f>
        <v>8.4874000000000005E-2</v>
      </c>
      <c r="D84">
        <f>[12]gpt4omini_single_100!L83</f>
        <v>0.35148400000000002</v>
      </c>
      <c r="E84">
        <f>[13]gpt4omini_single_100!L83</f>
        <v>0.32846900000000001</v>
      </c>
      <c r="F84" s="11">
        <f>[14]gpt4omini_single_100!L83</f>
        <v>-0.58047000000000004</v>
      </c>
      <c r="M84" s="12">
        <v>81</v>
      </c>
      <c r="N84">
        <f>[10]gpt4omini_single_100_2!L83</f>
        <v>-0.886741</v>
      </c>
      <c r="O84">
        <f>[11]gpt4omini_single_100_2!L83</f>
        <v>-0.78738799999999998</v>
      </c>
      <c r="P84">
        <f>[12]gpt4omini_single_100_2!L83</f>
        <v>-0.56717899999999999</v>
      </c>
      <c r="Q84">
        <f>[13]gpt4omini_single_100_2!L83</f>
        <v>-0.47046399999999999</v>
      </c>
      <c r="R84" s="11">
        <f>[14]gpt4omini_single_100_2!L83</f>
        <v>-0.83368500000000001</v>
      </c>
    </row>
    <row r="85" spans="1:18" x14ac:dyDescent="0.2">
      <c r="A85" s="12">
        <v>82</v>
      </c>
      <c r="B85">
        <f>[10]gpt4omini_single_100!L84</f>
        <v>-0.55678799999999995</v>
      </c>
      <c r="C85">
        <f>[11]gpt4omini_single_100!L84</f>
        <v>7.9977000000000006E-2</v>
      </c>
      <c r="D85">
        <f>[12]gpt4omini_single_100!L84</f>
        <v>0.34575499999999998</v>
      </c>
      <c r="E85">
        <f>[13]gpt4omini_single_100!L84</f>
        <v>0.32537199999999999</v>
      </c>
      <c r="F85" s="11">
        <f>[14]gpt4omini_single_100!L84</f>
        <v>-0.57948200000000005</v>
      </c>
      <c r="M85" s="12">
        <v>82</v>
      </c>
      <c r="N85">
        <f>[10]gpt4omini_single_100_2!L84</f>
        <v>-0.88530500000000001</v>
      </c>
      <c r="O85">
        <f>[11]gpt4omini_single_100_2!L84</f>
        <v>-0.80367100000000002</v>
      </c>
      <c r="P85">
        <f>[12]gpt4omini_single_100_2!L84</f>
        <v>-0.58873699999999995</v>
      </c>
      <c r="Q85">
        <f>[13]gpt4omini_single_100_2!L84</f>
        <v>-0.48250199999999999</v>
      </c>
      <c r="R85" s="11">
        <f>[14]gpt4omini_single_100_2!L84</f>
        <v>-0.83218400000000003</v>
      </c>
    </row>
    <row r="86" spans="1:18" x14ac:dyDescent="0.2">
      <c r="A86" s="12">
        <v>83</v>
      </c>
      <c r="B86">
        <f>[10]gpt4omini_single_100!L85</f>
        <v>-0.56045900000000004</v>
      </c>
      <c r="C86">
        <f>[11]gpt4omini_single_100!L85</f>
        <v>7.7606999999999995E-2</v>
      </c>
      <c r="D86">
        <f>[12]gpt4omini_single_100!L85</f>
        <v>0.34848400000000002</v>
      </c>
      <c r="E86">
        <f>[13]gpt4omini_single_100!L85</f>
        <v>0.30838199999999999</v>
      </c>
      <c r="F86" s="11">
        <f>[14]gpt4omini_single_100!L85</f>
        <v>-0.58505799999999997</v>
      </c>
      <c r="M86" s="12">
        <v>83</v>
      </c>
      <c r="N86">
        <f>[10]gpt4omini_single_100_2!L85</f>
        <v>-0.88930900000000002</v>
      </c>
      <c r="O86">
        <f>[11]gpt4omini_single_100_2!L85</f>
        <v>-0.79139400000000004</v>
      </c>
      <c r="P86">
        <f>[12]gpt4omini_single_100_2!L85</f>
        <v>-0.58560000000000001</v>
      </c>
      <c r="Q86">
        <f>[13]gpt4omini_single_100_2!L85</f>
        <v>-0.47866500000000001</v>
      </c>
      <c r="R86" s="11">
        <f>[14]gpt4omini_single_100_2!L85</f>
        <v>-0.83844700000000005</v>
      </c>
    </row>
    <row r="87" spans="1:18" x14ac:dyDescent="0.2">
      <c r="A87" s="12">
        <v>84</v>
      </c>
      <c r="B87">
        <f>[10]gpt4omini_single_100!L86</f>
        <v>-0.56922600000000001</v>
      </c>
      <c r="C87">
        <f>[11]gpt4omini_single_100!L86</f>
        <v>8.2844000000000001E-2</v>
      </c>
      <c r="D87">
        <f>[12]gpt4omini_single_100!L86</f>
        <v>0.35584399999999999</v>
      </c>
      <c r="E87">
        <f>[13]gpt4omini_single_100!L86</f>
        <v>0.32091399999999998</v>
      </c>
      <c r="F87" s="11">
        <f>[14]gpt4omini_single_100!L86</f>
        <v>-0.59004900000000005</v>
      </c>
      <c r="M87" s="12">
        <v>84</v>
      </c>
      <c r="N87">
        <f>[10]gpt4omini_single_100_2!L86</f>
        <v>-0.90041499999999997</v>
      </c>
      <c r="O87">
        <f>[11]gpt4omini_single_100_2!L86</f>
        <v>-0.80696999999999997</v>
      </c>
      <c r="P87">
        <f>[12]gpt4omini_single_100_2!L86</f>
        <v>-0.59406599999999998</v>
      </c>
      <c r="Q87">
        <f>[13]gpt4omini_single_100_2!L86</f>
        <v>-0.48581200000000002</v>
      </c>
      <c r="R87" s="11">
        <f>[14]gpt4omini_single_100_2!L86</f>
        <v>-0.84558999999999995</v>
      </c>
    </row>
    <row r="88" spans="1:18" x14ac:dyDescent="0.2">
      <c r="A88" s="12">
        <v>85</v>
      </c>
      <c r="B88">
        <f>[10]gpt4omini_single_100!L87</f>
        <v>-0.56873399999999996</v>
      </c>
      <c r="C88">
        <f>[11]gpt4omini_single_100!L87</f>
        <v>0.103121</v>
      </c>
      <c r="D88">
        <f>[12]gpt4omini_single_100!L87</f>
        <v>0.35264200000000001</v>
      </c>
      <c r="E88">
        <f>[13]gpt4omini_single_100!L87</f>
        <v>0.303948</v>
      </c>
      <c r="F88" s="11">
        <f>[14]gpt4omini_single_100!L87</f>
        <v>-0.58795500000000001</v>
      </c>
      <c r="M88" s="12">
        <v>85</v>
      </c>
      <c r="N88">
        <f>[10]gpt4omini_single_100_2!L87</f>
        <v>-0.90325800000000001</v>
      </c>
      <c r="O88">
        <f>[11]gpt4omini_single_100_2!L87</f>
        <v>-0.73008899999999999</v>
      </c>
      <c r="P88">
        <f>[12]gpt4omini_single_100_2!L87</f>
        <v>-0.54777799999999999</v>
      </c>
      <c r="Q88">
        <f>[13]gpt4omini_single_100_2!L87</f>
        <v>-0.46376400000000001</v>
      </c>
      <c r="R88" s="11">
        <f>[14]gpt4omini_single_100_2!L87</f>
        <v>-0.84591499999999997</v>
      </c>
    </row>
    <row r="89" spans="1:18" x14ac:dyDescent="0.2">
      <c r="A89" s="12">
        <v>86</v>
      </c>
      <c r="B89">
        <f>[10]gpt4omini_single_100!L88</f>
        <v>-0.57202799999999998</v>
      </c>
      <c r="C89">
        <f>[11]gpt4omini_single_100!L88</f>
        <v>0.104479</v>
      </c>
      <c r="D89">
        <f>[12]gpt4omini_single_100!L88</f>
        <v>0.37177300000000002</v>
      </c>
      <c r="E89">
        <f>[13]gpt4omini_single_100!L88</f>
        <v>0.32974599999999998</v>
      </c>
      <c r="F89" s="11">
        <f>[14]gpt4omini_single_100!L88</f>
        <v>-0.58878699999999995</v>
      </c>
      <c r="M89" s="12">
        <v>86</v>
      </c>
      <c r="N89">
        <f>[10]gpt4omini_single_100_2!L88</f>
        <v>-0.89852100000000001</v>
      </c>
      <c r="O89">
        <f>[11]gpt4omini_single_100_2!L88</f>
        <v>-0.77736099999999997</v>
      </c>
      <c r="P89">
        <f>[12]gpt4omini_single_100_2!L88</f>
        <v>-0.58204299999999998</v>
      </c>
      <c r="Q89">
        <f>[13]gpt4omini_single_100_2!L88</f>
        <v>-0.50180400000000003</v>
      </c>
      <c r="R89" s="11">
        <f>[14]gpt4omini_single_100_2!L88</f>
        <v>-0.84774700000000003</v>
      </c>
    </row>
    <row r="90" spans="1:18" x14ac:dyDescent="0.2">
      <c r="A90" s="12">
        <v>87</v>
      </c>
      <c r="B90">
        <f>[10]gpt4omini_single_100!L89</f>
        <v>-0.57070200000000004</v>
      </c>
      <c r="C90">
        <f>[11]gpt4omini_single_100!L89</f>
        <v>0.102136</v>
      </c>
      <c r="D90">
        <f>[12]gpt4omini_single_100!L89</f>
        <v>0.36229299999999998</v>
      </c>
      <c r="E90">
        <f>[13]gpt4omini_single_100!L89</f>
        <v>0.32776</v>
      </c>
      <c r="F90" s="11">
        <f>[14]gpt4omini_single_100!L89</f>
        <v>-0.595549</v>
      </c>
      <c r="M90" s="12">
        <v>87</v>
      </c>
      <c r="N90">
        <f>[10]gpt4omini_single_100_2!L89</f>
        <v>-0.89550700000000005</v>
      </c>
      <c r="O90">
        <f>[11]gpt4omini_single_100_2!L89</f>
        <v>-0.76844999999999997</v>
      </c>
      <c r="P90">
        <f>[12]gpt4omini_single_100_2!L89</f>
        <v>-0.58754200000000001</v>
      </c>
      <c r="Q90">
        <f>[13]gpt4omini_single_100_2!L89</f>
        <v>-0.50976100000000002</v>
      </c>
      <c r="R90" s="11">
        <f>[14]gpt4omini_single_100_2!L89</f>
        <v>-0.85247600000000001</v>
      </c>
    </row>
    <row r="91" spans="1:18" x14ac:dyDescent="0.2">
      <c r="A91" s="12">
        <v>88</v>
      </c>
      <c r="B91">
        <f>[10]gpt4omini_single_100!L90</f>
        <v>-0.58446699999999996</v>
      </c>
      <c r="C91">
        <f>[11]gpt4omini_single_100!L90</f>
        <v>0.11414000000000001</v>
      </c>
      <c r="D91">
        <f>[12]gpt4omini_single_100!L90</f>
        <v>0.36906800000000001</v>
      </c>
      <c r="E91">
        <f>[13]gpt4omini_single_100!L90</f>
        <v>0.32809500000000003</v>
      </c>
      <c r="F91" s="11">
        <f>[14]gpt4omini_single_100!L90</f>
        <v>-0.60117200000000004</v>
      </c>
      <c r="M91" s="12">
        <v>88</v>
      </c>
      <c r="N91">
        <f>[10]gpt4omini_single_100_2!L90</f>
        <v>-0.92108000000000001</v>
      </c>
      <c r="O91">
        <f>[11]gpt4omini_single_100_2!L90</f>
        <v>-0.79658099999999998</v>
      </c>
      <c r="P91">
        <f>[12]gpt4omini_single_100_2!L90</f>
        <v>-0.60289400000000004</v>
      </c>
      <c r="Q91">
        <f>[13]gpt4omini_single_100_2!L90</f>
        <v>-0.51072899999999999</v>
      </c>
      <c r="R91" s="11">
        <f>[14]gpt4omini_single_100_2!L90</f>
        <v>-0.85761900000000002</v>
      </c>
    </row>
    <row r="92" spans="1:18" x14ac:dyDescent="0.2">
      <c r="A92" s="12">
        <v>89</v>
      </c>
      <c r="B92">
        <f>[10]gpt4omini_single_100!L91</f>
        <v>-0.585121</v>
      </c>
      <c r="C92">
        <f>[11]gpt4omini_single_100!L91</f>
        <v>0.11153200000000001</v>
      </c>
      <c r="D92">
        <f>[12]gpt4omini_single_100!L91</f>
        <v>0.38678200000000001</v>
      </c>
      <c r="E92">
        <f>[13]gpt4omini_single_100!L91</f>
        <v>0.32174900000000001</v>
      </c>
      <c r="F92" s="11">
        <f>[14]gpt4omini_single_100!L91</f>
        <v>-0.59613499999999997</v>
      </c>
      <c r="M92" s="12">
        <v>89</v>
      </c>
      <c r="N92">
        <f>[10]gpt4omini_single_100_2!L91</f>
        <v>-0.91811699999999996</v>
      </c>
      <c r="O92">
        <f>[11]gpt4omini_single_100_2!L91</f>
        <v>-0.82223400000000002</v>
      </c>
      <c r="P92">
        <f>[12]gpt4omini_single_100_2!L91</f>
        <v>-0.61526999999999998</v>
      </c>
      <c r="Q92">
        <f>[13]gpt4omini_single_100_2!L91</f>
        <v>-0.52863199999999999</v>
      </c>
      <c r="R92" s="11">
        <f>[14]gpt4omini_single_100_2!L91</f>
        <v>-0.86119299999999999</v>
      </c>
    </row>
    <row r="93" spans="1:18" x14ac:dyDescent="0.2">
      <c r="A93" s="12">
        <v>90</v>
      </c>
      <c r="B93">
        <f>[10]gpt4omini_single_100!L92</f>
        <v>-0.59036999999999995</v>
      </c>
      <c r="C93">
        <f>[11]gpt4omini_single_100!L92</f>
        <v>0.119244</v>
      </c>
      <c r="D93">
        <f>[12]gpt4omini_single_100!L92</f>
        <v>0.39526600000000001</v>
      </c>
      <c r="E93">
        <f>[13]gpt4omini_single_100!L92</f>
        <v>0.33953899999999998</v>
      </c>
      <c r="F93" s="11">
        <f>[14]gpt4omini_single_100!L92</f>
        <v>-0.61109400000000003</v>
      </c>
      <c r="M93" s="12">
        <v>90</v>
      </c>
      <c r="N93">
        <f>[10]gpt4omini_single_100_2!L92</f>
        <v>-0.930419</v>
      </c>
      <c r="O93">
        <f>[11]gpt4omini_single_100_2!L92</f>
        <v>-0.80335000000000001</v>
      </c>
      <c r="P93">
        <f>[12]gpt4omini_single_100_2!L92</f>
        <v>-0.61626599999999998</v>
      </c>
      <c r="Q93">
        <f>[13]gpt4omini_single_100_2!L92</f>
        <v>-0.527362</v>
      </c>
      <c r="R93" s="11">
        <f>[14]gpt4omini_single_100_2!L92</f>
        <v>-0.87098299999999995</v>
      </c>
    </row>
    <row r="94" spans="1:18" x14ac:dyDescent="0.2">
      <c r="A94" s="12">
        <v>91</v>
      </c>
      <c r="B94">
        <f>[10]gpt4omini_single_100!L93</f>
        <v>-0.59279000000000004</v>
      </c>
      <c r="C94">
        <f>[11]gpt4omini_single_100!L93</f>
        <v>0.11874700000000001</v>
      </c>
      <c r="D94">
        <f>[12]gpt4omini_single_100!L93</f>
        <v>0.38856600000000002</v>
      </c>
      <c r="E94">
        <f>[13]gpt4omini_single_100!L93</f>
        <v>0.34110099999999999</v>
      </c>
      <c r="F94" s="11">
        <f>[14]gpt4omini_single_100!L93</f>
        <v>-0.60726199999999997</v>
      </c>
      <c r="M94" s="12">
        <v>91</v>
      </c>
      <c r="N94">
        <f>[10]gpt4omini_single_100_2!L93</f>
        <v>-0.91947900000000005</v>
      </c>
      <c r="O94">
        <f>[11]gpt4omini_single_100_2!L93</f>
        <v>-0.80967900000000004</v>
      </c>
      <c r="P94">
        <f>[12]gpt4omini_single_100_2!L93</f>
        <v>-0.63444900000000004</v>
      </c>
      <c r="Q94">
        <f>[13]gpt4omini_single_100_2!L93</f>
        <v>-0.53938399999999997</v>
      </c>
      <c r="R94" s="11">
        <f>[14]gpt4omini_single_100_2!L93</f>
        <v>-0.86532799999999999</v>
      </c>
    </row>
    <row r="95" spans="1:18" x14ac:dyDescent="0.2">
      <c r="A95" s="12">
        <v>92</v>
      </c>
      <c r="B95">
        <f>[10]gpt4omini_single_100!L94</f>
        <v>-0.60924999999999996</v>
      </c>
      <c r="C95">
        <f>[11]gpt4omini_single_100!L94</f>
        <v>0.119093</v>
      </c>
      <c r="D95">
        <f>[12]gpt4omini_single_100!L94</f>
        <v>0.39358399999999999</v>
      </c>
      <c r="E95">
        <f>[13]gpt4omini_single_100!L94</f>
        <v>0.33590399999999998</v>
      </c>
      <c r="F95" s="11">
        <f>[14]gpt4omini_single_100!L94</f>
        <v>-0.61734599999999995</v>
      </c>
      <c r="M95" s="12">
        <v>92</v>
      </c>
      <c r="N95">
        <f>[10]gpt4omini_single_100_2!L94</f>
        <v>-0.94284400000000002</v>
      </c>
      <c r="O95">
        <f>[11]gpt4omini_single_100_2!L94</f>
        <v>-0.81601400000000002</v>
      </c>
      <c r="P95">
        <f>[12]gpt4omini_single_100_2!L94</f>
        <v>-0.63899399999999995</v>
      </c>
      <c r="Q95">
        <f>[13]gpt4omini_single_100_2!L94</f>
        <v>-0.55040900000000004</v>
      </c>
      <c r="R95" s="11">
        <f>[14]gpt4omini_single_100_2!L94</f>
        <v>-0.87881799999999999</v>
      </c>
    </row>
    <row r="96" spans="1:18" x14ac:dyDescent="0.2">
      <c r="A96" s="12">
        <v>93</v>
      </c>
      <c r="B96">
        <f>[10]gpt4omini_single_100!L95</f>
        <v>-0.61018700000000003</v>
      </c>
      <c r="C96">
        <f>[11]gpt4omini_single_100!L95</f>
        <v>0.139927</v>
      </c>
      <c r="D96">
        <f>[12]gpt4omini_single_100!L95</f>
        <v>0.40661799999999998</v>
      </c>
      <c r="E96">
        <f>[13]gpt4omini_single_100!L95</f>
        <v>0.34911700000000001</v>
      </c>
      <c r="F96" s="11">
        <f>[14]gpt4omini_single_100!L95</f>
        <v>-0.61893900000000002</v>
      </c>
      <c r="M96" s="12">
        <v>93</v>
      </c>
      <c r="N96">
        <f>[10]gpt4omini_single_100_2!L95</f>
        <v>-0.94842400000000004</v>
      </c>
      <c r="O96">
        <f>[11]gpt4omini_single_100_2!L95</f>
        <v>-0.78371599999999997</v>
      </c>
      <c r="P96">
        <f>[12]gpt4omini_single_100_2!L95</f>
        <v>-0.61651</v>
      </c>
      <c r="Q96">
        <f>[13]gpt4omini_single_100_2!L95</f>
        <v>-0.50388500000000003</v>
      </c>
      <c r="R96" s="11">
        <f>[14]gpt4omini_single_100_2!L95</f>
        <v>-0.88364200000000004</v>
      </c>
    </row>
    <row r="97" spans="1:18" x14ac:dyDescent="0.2">
      <c r="A97" s="12">
        <v>94</v>
      </c>
      <c r="B97">
        <f>[10]gpt4omini_single_100!L96</f>
        <v>-0.61017999999999994</v>
      </c>
      <c r="C97">
        <f>[11]gpt4omini_single_100!L96</f>
        <v>0.13885800000000001</v>
      </c>
      <c r="D97">
        <f>[12]gpt4omini_single_100!L96</f>
        <v>0.40584300000000001</v>
      </c>
      <c r="E97">
        <f>[13]gpt4omini_single_100!L96</f>
        <v>0.35438900000000001</v>
      </c>
      <c r="F97" s="11">
        <f>[14]gpt4omini_single_100!L96</f>
        <v>-0.61611099999999996</v>
      </c>
      <c r="M97" s="12">
        <v>94</v>
      </c>
      <c r="N97">
        <f>[10]gpt4omini_single_100_2!L96</f>
        <v>-0.94402699999999995</v>
      </c>
      <c r="O97">
        <f>[11]gpt4omini_single_100_2!L96</f>
        <v>-0.8276</v>
      </c>
      <c r="P97">
        <f>[12]gpt4omini_single_100_2!L96</f>
        <v>-0.64686699999999997</v>
      </c>
      <c r="Q97">
        <f>[13]gpt4omini_single_100_2!L96</f>
        <v>-0.51858599999999999</v>
      </c>
      <c r="R97" s="11">
        <f>[14]gpt4omini_single_100_2!L96</f>
        <v>-0.875305</v>
      </c>
    </row>
    <row r="98" spans="1:18" x14ac:dyDescent="0.2">
      <c r="A98" s="12">
        <v>95</v>
      </c>
      <c r="B98">
        <f>[10]gpt4omini_single_100!L97</f>
        <v>-0.62241000000000002</v>
      </c>
      <c r="C98">
        <f>[11]gpt4omini_single_100!L97</f>
        <v>0.13189899999999999</v>
      </c>
      <c r="D98">
        <f>[12]gpt4omini_single_100!L97</f>
        <v>0.39471099999999998</v>
      </c>
      <c r="E98">
        <f>[13]gpt4omini_single_100!L97</f>
        <v>0.35019400000000001</v>
      </c>
      <c r="F98" s="11">
        <f>[14]gpt4omini_single_100!L97</f>
        <v>-0.62438499999999997</v>
      </c>
      <c r="M98" s="12">
        <v>95</v>
      </c>
      <c r="N98">
        <f>[10]gpt4omini_single_100_2!L97</f>
        <v>-0.95042300000000002</v>
      </c>
      <c r="O98">
        <f>[11]gpt4omini_single_100_2!L97</f>
        <v>-0.82120700000000002</v>
      </c>
      <c r="P98">
        <f>[12]gpt4omini_single_100_2!L97</f>
        <v>-0.64502099999999996</v>
      </c>
      <c r="Q98">
        <f>[13]gpt4omini_single_100_2!L97</f>
        <v>-0.51567600000000002</v>
      </c>
      <c r="R98" s="11">
        <f>[14]gpt4omini_single_100_2!L97</f>
        <v>-0.88373900000000005</v>
      </c>
    </row>
    <row r="99" spans="1:18" x14ac:dyDescent="0.2">
      <c r="A99" s="12">
        <v>96</v>
      </c>
      <c r="B99">
        <f>[10]gpt4omini_single_100!L98</f>
        <v>-0.63756500000000005</v>
      </c>
      <c r="C99">
        <f>[11]gpt4omini_single_100!L98</f>
        <v>0.138351</v>
      </c>
      <c r="D99">
        <f>[12]gpt4omini_single_100!L98</f>
        <v>0.40411399999999997</v>
      </c>
      <c r="E99">
        <f>[13]gpt4omini_single_100!L98</f>
        <v>0.35638399999999998</v>
      </c>
      <c r="F99" s="11">
        <f>[14]gpt4omini_single_100!L98</f>
        <v>-0.63692499999999996</v>
      </c>
      <c r="M99" s="12">
        <v>96</v>
      </c>
      <c r="N99">
        <f>[10]gpt4omini_single_100_2!L98</f>
        <v>-0.96353200000000006</v>
      </c>
      <c r="O99">
        <f>[11]gpt4omini_single_100_2!L98</f>
        <v>-0.83645199999999997</v>
      </c>
      <c r="P99">
        <f>[12]gpt4omini_single_100_2!L98</f>
        <v>-0.66612800000000005</v>
      </c>
      <c r="Q99">
        <f>[13]gpt4omini_single_100_2!L98</f>
        <v>-0.52969699999999997</v>
      </c>
      <c r="R99" s="11">
        <f>[14]gpt4omini_single_100_2!L98</f>
        <v>-0.90153899999999998</v>
      </c>
    </row>
    <row r="100" spans="1:18" x14ac:dyDescent="0.2">
      <c r="A100" s="12">
        <v>97</v>
      </c>
      <c r="B100">
        <f>[10]gpt4omini_single_100!L99</f>
        <v>-0.642818</v>
      </c>
      <c r="C100">
        <f>[11]gpt4omini_single_100!L99</f>
        <v>0.14361399999999999</v>
      </c>
      <c r="D100">
        <f>[12]gpt4omini_single_100!L99</f>
        <v>0.40925299999999998</v>
      </c>
      <c r="E100">
        <f>[13]gpt4omini_single_100!L99</f>
        <v>0.36750500000000003</v>
      </c>
      <c r="F100" s="11">
        <f>[14]gpt4omini_single_100!L99</f>
        <v>-0.64032900000000004</v>
      </c>
      <c r="M100" s="12">
        <v>97</v>
      </c>
      <c r="N100">
        <f>[10]gpt4omini_single_100_2!L99</f>
        <v>-0.96969899999999998</v>
      </c>
      <c r="O100">
        <f>[11]gpt4omini_single_100_2!L99</f>
        <v>-0.84242600000000001</v>
      </c>
      <c r="P100">
        <f>[12]gpt4omini_single_100_2!L99</f>
        <v>-0.66658799999999996</v>
      </c>
      <c r="Q100">
        <f>[13]gpt4omini_single_100_2!L99</f>
        <v>-0.52750200000000003</v>
      </c>
      <c r="R100" s="11">
        <f>[14]gpt4omini_single_100_2!L99</f>
        <v>-0.90561000000000003</v>
      </c>
    </row>
    <row r="101" spans="1:18" x14ac:dyDescent="0.2">
      <c r="A101" s="12">
        <v>98</v>
      </c>
      <c r="B101">
        <f>[10]gpt4omini_single_100!L100</f>
        <v>-0.62901600000000002</v>
      </c>
      <c r="C101">
        <f>[11]gpt4omini_single_100!L100</f>
        <v>0.14302599999999999</v>
      </c>
      <c r="D101">
        <f>[12]gpt4omini_single_100!L100</f>
        <v>0.38297700000000001</v>
      </c>
      <c r="E101">
        <f>[13]gpt4omini_single_100!L100</f>
        <v>0.34936200000000001</v>
      </c>
      <c r="F101" s="11">
        <f>[14]gpt4omini_single_100!L100</f>
        <v>-0.63558000000000003</v>
      </c>
      <c r="M101" s="12">
        <v>98</v>
      </c>
      <c r="N101">
        <f>[10]gpt4omini_single_100_2!L100</f>
        <v>-0.96162300000000001</v>
      </c>
      <c r="O101">
        <f>[11]gpt4omini_single_100_2!L100</f>
        <v>-0.83081300000000002</v>
      </c>
      <c r="P101">
        <f>[12]gpt4omini_single_100_2!L100</f>
        <v>-0.67045100000000002</v>
      </c>
      <c r="Q101">
        <f>[13]gpt4omini_single_100_2!L100</f>
        <v>-0.53233399999999997</v>
      </c>
      <c r="R101" s="11">
        <f>[14]gpt4omini_single_100_2!L100</f>
        <v>-0.89309700000000003</v>
      </c>
    </row>
    <row r="102" spans="1:18" x14ac:dyDescent="0.2">
      <c r="A102" s="12">
        <v>99</v>
      </c>
      <c r="B102">
        <f>[10]gpt4omini_single_100!L101</f>
        <v>-0.653559</v>
      </c>
      <c r="C102">
        <f>[11]gpt4omini_single_100!L101</f>
        <v>0.15010100000000001</v>
      </c>
      <c r="D102">
        <f>[12]gpt4omini_single_100!L101</f>
        <v>0.38300899999999999</v>
      </c>
      <c r="E102">
        <f>[13]gpt4omini_single_100!L101</f>
        <v>0.35172999999999999</v>
      </c>
      <c r="F102" s="11">
        <f>[14]gpt4omini_single_100!L101</f>
        <v>-0.647115</v>
      </c>
      <c r="M102" s="12">
        <v>99</v>
      </c>
      <c r="N102">
        <f>[10]gpt4omini_single_100_2!L101</f>
        <v>-0.97634399999999999</v>
      </c>
      <c r="O102">
        <f>[11]gpt4omini_single_100_2!L101</f>
        <v>-0.86101300000000003</v>
      </c>
      <c r="P102">
        <f>[12]gpt4omini_single_100_2!L101</f>
        <v>-0.67421699999999996</v>
      </c>
      <c r="Q102">
        <f>[13]gpt4omini_single_100_2!L101</f>
        <v>-0.54558399999999996</v>
      </c>
      <c r="R102" s="11">
        <f>[14]gpt4omini_single_100_2!L101</f>
        <v>-0.91797399999999996</v>
      </c>
    </row>
    <row r="103" spans="1:18" x14ac:dyDescent="0.2">
      <c r="A103" s="12">
        <v>100</v>
      </c>
      <c r="B103">
        <f>[10]gpt4omini_single_100!L102</f>
        <v>-0.66263499999999997</v>
      </c>
      <c r="C103">
        <f>[11]gpt4omini_single_100!L102</f>
        <v>0.144481</v>
      </c>
      <c r="D103">
        <f>[12]gpt4omini_single_100!L102</f>
        <v>0.376863</v>
      </c>
      <c r="E103">
        <f>[13]gpt4omini_single_100!L102</f>
        <v>0.34220800000000001</v>
      </c>
      <c r="F103" s="11">
        <f>[14]gpt4omini_single_100!L102</f>
        <v>-0.64491200000000004</v>
      </c>
      <c r="M103" s="12">
        <v>100</v>
      </c>
      <c r="N103">
        <f>[10]gpt4omini_single_100_2!L102</f>
        <v>-0.96533599999999997</v>
      </c>
      <c r="O103">
        <f>[11]gpt4omini_single_100_2!L102</f>
        <v>-0.85173100000000002</v>
      </c>
      <c r="P103">
        <f>[12]gpt4omini_single_100_2!L102</f>
        <v>-0.68309600000000004</v>
      </c>
      <c r="Q103">
        <f>[13]gpt4omini_single_100_2!L102</f>
        <v>-0.54631700000000005</v>
      </c>
      <c r="R103" s="11">
        <f>[14]gpt4omini_single_100_2!L102</f>
        <v>-0.91516299999999995</v>
      </c>
    </row>
  </sheetData>
  <mergeCells count="4">
    <mergeCell ref="A1:F1"/>
    <mergeCell ref="G1:L1"/>
    <mergeCell ref="M1:R1"/>
    <mergeCell ref="S1:X1"/>
  </mergeCells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1FF3-5C80-7741-B1F3-31F89767AA8F}">
  <dimension ref="A1:N39"/>
  <sheetViews>
    <sheetView topLeftCell="A4" zoomScale="125" workbookViewId="0">
      <selection activeCell="I23" sqref="I23"/>
    </sheetView>
  </sheetViews>
  <sheetFormatPr baseColWidth="10" defaultColWidth="8.83203125" defaultRowHeight="15" x14ac:dyDescent="0.2"/>
  <cols>
    <col min="1" max="1" width="25" customWidth="1"/>
    <col min="2" max="8" width="12" customWidth="1"/>
    <col min="9" max="9" width="18" bestFit="1" customWidth="1"/>
    <col min="12" max="12" width="8.83203125" customWidth="1"/>
    <col min="13" max="16" width="9.6640625" bestFit="1" customWidth="1"/>
  </cols>
  <sheetData>
    <row r="1" spans="1:12" ht="30" x14ac:dyDescent="0.2">
      <c r="A1" s="1"/>
      <c r="B1" s="1" t="s">
        <v>24</v>
      </c>
      <c r="C1" s="1" t="s">
        <v>19</v>
      </c>
      <c r="D1" s="1" t="s">
        <v>20</v>
      </c>
      <c r="E1" s="1" t="s">
        <v>18</v>
      </c>
      <c r="F1" s="1" t="s">
        <v>21</v>
      </c>
      <c r="G1" s="1" t="s">
        <v>22</v>
      </c>
      <c r="H1" s="1" t="s">
        <v>23</v>
      </c>
    </row>
    <row r="2" spans="1:12" x14ac:dyDescent="0.2">
      <c r="A2" s="26" t="s">
        <v>4</v>
      </c>
      <c r="B2" s="3" t="s">
        <v>0</v>
      </c>
      <c r="C2" s="5">
        <f>[15]gpt4omini_single_100!O5</f>
        <v>0.5</v>
      </c>
      <c r="D2" s="3">
        <f>[15]gpt4omini_single_100!O4</f>
        <v>50</v>
      </c>
      <c r="E2" s="17">
        <f>[15]gpt4omini_single_100!O6</f>
        <v>0.162436</v>
      </c>
      <c r="F2" s="6">
        <f>[15]gpt4omini_shuffle_100!AA4</f>
        <v>0.309</v>
      </c>
      <c r="G2" s="6">
        <f>[15]gpt4omini_shuffle_100!AA2</f>
        <v>0.74</v>
      </c>
      <c r="H2" s="6">
        <f>[15]gpt4omini_shuffle_100!AA3</f>
        <v>0</v>
      </c>
    </row>
    <row r="3" spans="1:12" x14ac:dyDescent="0.2">
      <c r="A3" s="26"/>
      <c r="B3" s="3" t="s">
        <v>15</v>
      </c>
      <c r="C3" s="5">
        <f>[16]gpt4omini_single_100!O5</f>
        <v>0.01</v>
      </c>
      <c r="D3" s="3">
        <f>[16]gpt4omini_single_100!O4</f>
        <v>99</v>
      </c>
      <c r="E3" s="17">
        <f>[16]gpt4omini_single_100!O6</f>
        <v>0.63500100000000004</v>
      </c>
      <c r="F3" s="6">
        <f>[16]gpt4omini_shuffle_100!AA4</f>
        <v>2.1333000000000001E-2</v>
      </c>
      <c r="G3" s="6">
        <f>[16]gpt4omini_shuffle_100!AA2</f>
        <v>0.11</v>
      </c>
      <c r="H3" s="6">
        <f>[16]gpt4omini_shuffle_100!AA3</f>
        <v>0</v>
      </c>
    </row>
    <row r="4" spans="1:12" x14ac:dyDescent="0.2">
      <c r="A4" s="26"/>
      <c r="B4" s="3" t="s">
        <v>1</v>
      </c>
      <c r="C4" s="5">
        <f>[17]gpt4omini_single_100!O5</f>
        <v>0.01</v>
      </c>
      <c r="D4" s="3">
        <f>[17]gpt4omini_single_100!O4</f>
        <v>99</v>
      </c>
      <c r="E4" s="17">
        <f>[17]gpt4omini_single_100!O6</f>
        <v>1.184159</v>
      </c>
      <c r="F4" s="6">
        <f>[17]gpt4omini_shuffle_100!AA4</f>
        <v>1.1332999999999999E-2</v>
      </c>
      <c r="G4" s="6">
        <f>[17]gpt4omini_shuffle_100!AA2</f>
        <v>0.04</v>
      </c>
      <c r="H4" s="6">
        <f>[17]gpt4omini_shuffle_100!AA3</f>
        <v>0</v>
      </c>
    </row>
    <row r="5" spans="1:12" x14ac:dyDescent="0.2">
      <c r="A5" s="26"/>
      <c r="B5" s="3" t="s">
        <v>2</v>
      </c>
      <c r="C5" s="20"/>
      <c r="D5" s="21"/>
      <c r="E5" s="22"/>
      <c r="F5" s="23"/>
      <c r="G5" s="23"/>
      <c r="H5" s="23"/>
    </row>
    <row r="6" spans="1:12" x14ac:dyDescent="0.2">
      <c r="A6" s="27"/>
      <c r="B6" s="7" t="s">
        <v>3</v>
      </c>
      <c r="C6" s="8">
        <f>[18]gpt4omini_single_100!O5</f>
        <v>0.03</v>
      </c>
      <c r="D6" s="7">
        <f>[18]gpt4omini_single_100!O4</f>
        <v>97</v>
      </c>
      <c r="E6" s="18">
        <f>[18]gpt4omini_single_100!O6</f>
        <v>0.82058500000000001</v>
      </c>
      <c r="F6" s="9">
        <f>[18]gpt4omini_shuffle_100!AA4</f>
        <v>3.2667000000000002E-2</v>
      </c>
      <c r="G6" s="9">
        <f>[18]gpt4omini_shuffle_100!AA2</f>
        <v>0.15</v>
      </c>
      <c r="H6" s="9">
        <f>[18]gpt4omini_shuffle_100!AA3</f>
        <v>0</v>
      </c>
      <c r="L6" s="2"/>
    </row>
    <row r="7" spans="1:12" x14ac:dyDescent="0.2">
      <c r="A7" s="28" t="s">
        <v>9</v>
      </c>
      <c r="B7" s="3" t="s">
        <v>0</v>
      </c>
      <c r="C7" s="5">
        <f>[15]gpt4omini_single_60!O5</f>
        <v>0.4</v>
      </c>
      <c r="D7" s="3">
        <f>[15]gpt4omini_single_60!O4</f>
        <v>36</v>
      </c>
      <c r="E7" s="17">
        <f>[15]gpt4omini_single_60!O6</f>
        <v>9.6419000000000005E-2</v>
      </c>
      <c r="F7" s="6">
        <f>[15]gpt4omini_shuffle_60!AA4</f>
        <v>0.185</v>
      </c>
      <c r="G7" s="6">
        <f>[15]gpt4omini_shuffle_60!AA2</f>
        <v>0.55000000000000004</v>
      </c>
      <c r="H7" s="6">
        <f>[15]gpt4omini_shuffle_60!AA3</f>
        <v>0</v>
      </c>
    </row>
    <row r="8" spans="1:12" x14ac:dyDescent="0.2">
      <c r="A8" s="26"/>
      <c r="B8" s="3" t="s">
        <v>14</v>
      </c>
      <c r="C8" s="5">
        <f>[16]gpt4omini_single_60!O5</f>
        <v>0</v>
      </c>
      <c r="D8" s="3">
        <f>[16]gpt4omini_single_60!O4</f>
        <v>60</v>
      </c>
      <c r="E8" s="17">
        <f>[16]gpt4omini_single_60!O6</f>
        <v>0.42116999999999999</v>
      </c>
      <c r="F8" s="6">
        <f>[16]gpt4omini_shuffle_60!AA4</f>
        <v>1.6667000000000001E-2</v>
      </c>
      <c r="G8" s="6">
        <f>[16]gpt4omini_shuffle_60!AA2</f>
        <v>6.6667000000000004E-2</v>
      </c>
      <c r="H8" s="6">
        <f>[16]gpt4omini_shuffle_60!AA3</f>
        <v>0</v>
      </c>
    </row>
    <row r="9" spans="1:12" x14ac:dyDescent="0.2">
      <c r="A9" s="26"/>
      <c r="B9" s="3" t="s">
        <v>1</v>
      </c>
      <c r="C9" s="5">
        <f>[17]gpt4omini_single_60!O5</f>
        <v>0</v>
      </c>
      <c r="D9" s="3">
        <f>[17]gpt4omini_single_60!O4</f>
        <v>60</v>
      </c>
      <c r="E9" s="17">
        <f>[17]gpt4omini_single_60!O6</f>
        <v>0.60755499999999996</v>
      </c>
      <c r="F9" s="6">
        <f>[17]gpt4omini_shuffle_60!AA4</f>
        <v>5.8329999999999996E-3</v>
      </c>
      <c r="G9" s="6">
        <f>[17]gpt4omini_shuffle_60!AA2</f>
        <v>3.3333000000000002E-2</v>
      </c>
      <c r="H9" s="6">
        <f>[17]gpt4omini_shuffle_60!AA3</f>
        <v>0</v>
      </c>
    </row>
    <row r="10" spans="1:12" x14ac:dyDescent="0.2">
      <c r="A10" s="26"/>
      <c r="B10" s="3" t="s">
        <v>2</v>
      </c>
      <c r="C10" s="20"/>
      <c r="D10" s="21"/>
      <c r="E10" s="22"/>
      <c r="F10" s="23"/>
      <c r="G10" s="23"/>
      <c r="H10" s="23"/>
    </row>
    <row r="11" spans="1:12" x14ac:dyDescent="0.2">
      <c r="A11" s="27"/>
      <c r="B11" s="7" t="s">
        <v>3</v>
      </c>
      <c r="C11" s="8">
        <f>[18]gpt4omini_single_60!O5</f>
        <v>0</v>
      </c>
      <c r="D11" s="7">
        <f>[18]gpt4omini_single_60!O4</f>
        <v>60</v>
      </c>
      <c r="E11" s="18">
        <f>[18]gpt4omini_single_60!O6</f>
        <v>0.44041599999999997</v>
      </c>
      <c r="F11" s="9">
        <f>[18]gpt4omini_shuffle_60!AA4</f>
        <v>2.6667E-2</v>
      </c>
      <c r="G11" s="9">
        <f>[18]gpt4omini_shuffle_60!AA2</f>
        <v>0.11666700000000001</v>
      </c>
      <c r="H11" s="9">
        <f>[18]gpt4omini_shuffle_60!AA3</f>
        <v>0</v>
      </c>
    </row>
    <row r="12" spans="1:12" x14ac:dyDescent="0.2">
      <c r="A12" s="28" t="s">
        <v>10</v>
      </c>
      <c r="B12" s="3" t="s">
        <v>0</v>
      </c>
      <c r="C12" s="5">
        <f>[15]gpt4omini_single_100_2!O5</f>
        <v>1</v>
      </c>
      <c r="D12" s="3">
        <f>[15]gpt4omini_single_100_2!O4</f>
        <v>0</v>
      </c>
      <c r="E12" s="17">
        <f>[15]gpt4omini_single_100_2!O6</f>
        <v>-0.44068400000000002</v>
      </c>
      <c r="F12" s="6">
        <f>[15]gpt4omini_shuffle_100_2!AA4</f>
        <v>0.997</v>
      </c>
      <c r="G12" s="6">
        <f>[15]gpt4omini_shuffle_100_2!AA2</f>
        <v>1</v>
      </c>
      <c r="H12" s="6">
        <f>[15]gpt4omini_shuffle_100_2!AA3</f>
        <v>0.96</v>
      </c>
    </row>
    <row r="13" spans="1:12" x14ac:dyDescent="0.2">
      <c r="A13" s="26"/>
      <c r="B13" s="3" t="s">
        <v>14</v>
      </c>
      <c r="C13" s="5">
        <f>[16]gpt4omini_single_100_2!O5</f>
        <v>0.67</v>
      </c>
      <c r="D13" s="3">
        <f>[16]gpt4omini_single_100_2!O4</f>
        <v>33</v>
      </c>
      <c r="E13" s="17">
        <f>[16]gpt4omini_single_100_2!O6</f>
        <v>6.9775000000000004E-2</v>
      </c>
      <c r="F13" s="6">
        <f>[16]gpt4omini_shuffle_100_2!AA4</f>
        <v>0.60199999999999998</v>
      </c>
      <c r="G13" s="6">
        <f>[16]gpt4omini_shuffle_100_2!AA2</f>
        <v>0.96</v>
      </c>
      <c r="H13" s="6">
        <f>[16]gpt4omini_shuffle_100_2!AA3</f>
        <v>0.06</v>
      </c>
    </row>
    <row r="14" spans="1:12" x14ac:dyDescent="0.2">
      <c r="A14" s="26"/>
      <c r="B14" s="3" t="s">
        <v>1</v>
      </c>
      <c r="C14" s="5">
        <f>[17]gpt4omini_single_100_2!O5</f>
        <v>0.43</v>
      </c>
      <c r="D14" s="3">
        <f>[17]gpt4omini_single_100_2!O4</f>
        <v>57</v>
      </c>
      <c r="E14" s="17">
        <f>[17]gpt4omini_single_100_2!O6</f>
        <v>0.52893100000000004</v>
      </c>
      <c r="F14" s="6">
        <f>[17]gpt4omini_shuffle_100_2!AA4</f>
        <v>0.29866700000000002</v>
      </c>
      <c r="G14" s="6">
        <f>[17]gpt4omini_shuffle_100_2!AA2</f>
        <v>0.66</v>
      </c>
      <c r="H14" s="6">
        <f>[17]gpt4omini_shuffle_100_2!AA3</f>
        <v>7.0000000000000007E-2</v>
      </c>
    </row>
    <row r="15" spans="1:12" x14ac:dyDescent="0.2">
      <c r="A15" s="26"/>
      <c r="B15" s="3" t="s">
        <v>2</v>
      </c>
      <c r="C15" s="20"/>
      <c r="D15" s="21"/>
      <c r="E15" s="22"/>
      <c r="F15" s="23"/>
      <c r="G15" s="23"/>
      <c r="H15" s="23"/>
    </row>
    <row r="16" spans="1:12" x14ac:dyDescent="0.2">
      <c r="A16" s="27"/>
      <c r="B16" s="7" t="s">
        <v>3</v>
      </c>
      <c r="C16" s="8">
        <f>[18]gpt4omini_single_100_2!O5</f>
        <v>0.53</v>
      </c>
      <c r="D16" s="7">
        <f>[18]gpt4omini_single_100_2!O4</f>
        <v>47</v>
      </c>
      <c r="E16" s="18">
        <f>[18]gpt4omini_single_100_2!O6</f>
        <v>0.25089499999999998</v>
      </c>
      <c r="F16" s="9">
        <f>[18]gpt4omini_shuffle_100_2!AA4</f>
        <v>0.23666699999999999</v>
      </c>
      <c r="G16" s="9">
        <f>[18]gpt4omini_shuffle_100_2!AA2</f>
        <v>0.64</v>
      </c>
      <c r="H16" s="9">
        <f>[18]gpt4omini_shuffle_100_2!AA3</f>
        <v>0.01</v>
      </c>
    </row>
    <row r="17" spans="1:8" x14ac:dyDescent="0.2">
      <c r="A17" s="28" t="s">
        <v>11</v>
      </c>
      <c r="B17" s="3" t="s">
        <v>0</v>
      </c>
      <c r="C17" s="5">
        <f>[15]gpt4omini_single_60_2!O5</f>
        <v>1</v>
      </c>
      <c r="D17" s="3">
        <f>[15]gpt4omini_single_60_2!O4</f>
        <v>0</v>
      </c>
      <c r="E17" s="17">
        <f>[15]gpt4omini_single_60_2!O6</f>
        <v>-0.17890400000000001</v>
      </c>
      <c r="F17" s="6">
        <f>[15]gpt4omini_shuffle_60_2!AA4</f>
        <v>0.99333300000000002</v>
      </c>
      <c r="G17" s="6">
        <f>[15]gpt4omini_shuffle_60_2!AA2</f>
        <v>1</v>
      </c>
      <c r="H17" s="6">
        <f>[15]gpt4omini_shuffle_60_2!AA3</f>
        <v>0.95</v>
      </c>
    </row>
    <row r="18" spans="1:8" x14ac:dyDescent="0.2">
      <c r="A18" s="26"/>
      <c r="B18" s="3" t="s">
        <v>14</v>
      </c>
      <c r="C18" s="5">
        <f>[16]gpt4omini_single_60_2!O5</f>
        <v>0.13333300000000001</v>
      </c>
      <c r="D18" s="3">
        <f>[16]gpt4omini_single_60_2!O4</f>
        <v>52</v>
      </c>
      <c r="E18" s="17">
        <f>[16]gpt4omini_single_60_2!O6</f>
        <v>0.215975</v>
      </c>
      <c r="F18" s="6">
        <f>[16]gpt4omini_shuffle_60_2!AA4</f>
        <v>0.124167</v>
      </c>
      <c r="G18" s="6">
        <f>[16]gpt4omini_shuffle_60_2!AA2</f>
        <v>0.41666700000000001</v>
      </c>
      <c r="H18" s="6">
        <f>[16]gpt4omini_shuffle_60_2!AA3</f>
        <v>0</v>
      </c>
    </row>
    <row r="19" spans="1:8" x14ac:dyDescent="0.2">
      <c r="A19" s="26"/>
      <c r="B19" s="3" t="s">
        <v>1</v>
      </c>
      <c r="C19" s="5">
        <f>[17]gpt4omini_single_60_2!O5</f>
        <v>0</v>
      </c>
      <c r="D19" s="3">
        <f>[17]gpt4omini_single_60_2!O4</f>
        <v>60</v>
      </c>
      <c r="E19" s="17">
        <f>[17]gpt4omini_single_60_2!O6</f>
        <v>0.33307300000000001</v>
      </c>
      <c r="F19" s="6">
        <f>[17]gpt4omini_shuffle_60_2!AA4</f>
        <v>6.3333E-2</v>
      </c>
      <c r="G19" s="6">
        <f>[17]gpt4omini_shuffle_60_2!AA2</f>
        <v>0.26666699999999999</v>
      </c>
      <c r="H19" s="6">
        <f>[17]gpt4omini_shuffle_60_2!AA3</f>
        <v>0</v>
      </c>
    </row>
    <row r="20" spans="1:8" x14ac:dyDescent="0.2">
      <c r="A20" s="26"/>
      <c r="B20" s="3" t="s">
        <v>2</v>
      </c>
      <c r="C20" s="20"/>
      <c r="D20" s="21"/>
      <c r="E20" s="22"/>
      <c r="F20" s="23"/>
      <c r="G20" s="23"/>
      <c r="H20" s="23"/>
    </row>
    <row r="21" spans="1:8" x14ac:dyDescent="0.2">
      <c r="A21" s="26"/>
      <c r="B21" s="3" t="s">
        <v>3</v>
      </c>
      <c r="C21" s="5">
        <f>[18]gpt4omini_single_60_2!O5</f>
        <v>0.61666699999999997</v>
      </c>
      <c r="D21" s="3">
        <f>[18]gpt4omini_single_60_2!O4</f>
        <v>23</v>
      </c>
      <c r="E21" s="17">
        <f>[18]gpt4omini_single_60_2!O6</f>
        <v>4.7010999999999997E-2</v>
      </c>
      <c r="F21" s="6">
        <f>[18]gpt4omini_shuffle_60_2!AA4</f>
        <v>0.42</v>
      </c>
      <c r="G21" s="6">
        <f>[18]gpt4omini_shuffle_60_2!AA2</f>
        <v>0.83333299999999999</v>
      </c>
      <c r="H21" s="6">
        <f>[18]gpt4omini_shuffle_60_2!AA3</f>
        <v>6.6667000000000004E-2</v>
      </c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4"/>
    </row>
    <row r="25" spans="1:8" x14ac:dyDescent="0.2">
      <c r="A25" s="4"/>
    </row>
    <row r="26" spans="1:8" x14ac:dyDescent="0.2">
      <c r="A26" s="4"/>
    </row>
    <row r="27" spans="1:8" x14ac:dyDescent="0.2">
      <c r="A27" s="4"/>
    </row>
    <row r="28" spans="1:8" x14ac:dyDescent="0.2">
      <c r="A28" s="4"/>
    </row>
    <row r="29" spans="1:8" x14ac:dyDescent="0.2">
      <c r="A29" s="4"/>
      <c r="B29" s="3"/>
      <c r="C29" s="3"/>
      <c r="D29" s="3"/>
      <c r="E29" s="3"/>
      <c r="F29" s="3"/>
      <c r="G29" s="3"/>
      <c r="H29" s="3"/>
    </row>
    <row r="30" spans="1:8" x14ac:dyDescent="0.2">
      <c r="A30" s="4"/>
      <c r="B30" s="3"/>
      <c r="C30" s="3"/>
      <c r="D30" s="3"/>
      <c r="E30" s="3"/>
      <c r="F30" s="3"/>
      <c r="G30" s="3"/>
      <c r="H30" s="3"/>
    </row>
    <row r="31" spans="1:8" x14ac:dyDescent="0.2">
      <c r="A31" s="4"/>
      <c r="B31" s="3"/>
      <c r="C31" s="3"/>
      <c r="D31" s="3"/>
      <c r="E31" s="3"/>
      <c r="F31" s="3"/>
      <c r="G31" s="3"/>
      <c r="H31" s="3"/>
    </row>
    <row r="32" spans="1:8" x14ac:dyDescent="0.2">
      <c r="A32" s="4"/>
      <c r="B32" s="3"/>
      <c r="C32" s="3"/>
      <c r="D32" s="3"/>
      <c r="E32" s="3"/>
      <c r="F32" s="3"/>
      <c r="G32" s="3"/>
      <c r="H32" s="3"/>
    </row>
    <row r="33" spans="1:14" x14ac:dyDescent="0.2">
      <c r="A33" s="4"/>
      <c r="B33" s="3"/>
      <c r="C33" s="3"/>
      <c r="D33" s="3"/>
      <c r="E33" s="3"/>
      <c r="F33" s="3"/>
      <c r="G33" s="3"/>
      <c r="H33" s="3"/>
    </row>
    <row r="34" spans="1:14" x14ac:dyDescent="0.2">
      <c r="A34" s="4"/>
      <c r="B34" s="3"/>
      <c r="C34" s="3"/>
      <c r="D34" s="3"/>
      <c r="E34" s="3"/>
      <c r="F34" s="3"/>
      <c r="G34" s="3"/>
      <c r="H34" s="3"/>
      <c r="I34" s="16" t="s">
        <v>13</v>
      </c>
      <c r="J34" s="19" t="s">
        <v>0</v>
      </c>
      <c r="K34" s="19" t="s">
        <v>14</v>
      </c>
      <c r="L34" s="19" t="s">
        <v>1</v>
      </c>
      <c r="M34" s="19" t="s">
        <v>2</v>
      </c>
      <c r="N34" s="19" t="s">
        <v>3</v>
      </c>
    </row>
    <row r="35" spans="1:14" x14ac:dyDescent="0.2">
      <c r="A35" s="4"/>
      <c r="B35" s="3"/>
      <c r="C35" s="3"/>
      <c r="D35" s="3"/>
      <c r="E35" s="3"/>
      <c r="F35" s="3"/>
      <c r="G35" s="3"/>
      <c r="H35" s="3"/>
      <c r="I35" s="19" t="s">
        <v>5</v>
      </c>
      <c r="J35" s="10">
        <f>E2</f>
        <v>0.162436</v>
      </c>
      <c r="K35" s="10">
        <f>E3</f>
        <v>0.63500100000000004</v>
      </c>
      <c r="L35" s="10">
        <f>E4</f>
        <v>1.184159</v>
      </c>
      <c r="M35" s="25"/>
      <c r="N35" s="10">
        <f>E6</f>
        <v>0.82058500000000001</v>
      </c>
    </row>
    <row r="36" spans="1:14" x14ac:dyDescent="0.2">
      <c r="A36" s="4"/>
      <c r="B36" s="3"/>
      <c r="C36" s="3"/>
      <c r="D36" s="3"/>
      <c r="E36" s="3"/>
      <c r="F36" s="3"/>
      <c r="G36" s="3"/>
      <c r="H36" s="3"/>
      <c r="I36" s="19" t="s">
        <v>6</v>
      </c>
      <c r="J36" s="10">
        <f>E7</f>
        <v>9.6419000000000005E-2</v>
      </c>
      <c r="K36" s="10">
        <f>E8</f>
        <v>0.42116999999999999</v>
      </c>
      <c r="L36" s="10">
        <f>E9</f>
        <v>0.60755499999999996</v>
      </c>
      <c r="M36" s="25"/>
      <c r="N36" s="10">
        <f>E11</f>
        <v>0.44041599999999997</v>
      </c>
    </row>
    <row r="37" spans="1:14" x14ac:dyDescent="0.2">
      <c r="A37" s="4"/>
      <c r="B37" s="3"/>
      <c r="C37" s="3"/>
      <c r="D37" s="3"/>
      <c r="E37" s="3"/>
      <c r="F37" s="3"/>
      <c r="G37" s="3"/>
      <c r="H37" s="3"/>
      <c r="I37" s="19" t="s">
        <v>7</v>
      </c>
      <c r="J37" s="10">
        <f>E12</f>
        <v>-0.44068400000000002</v>
      </c>
      <c r="K37" s="10">
        <f>E13</f>
        <v>6.9775000000000004E-2</v>
      </c>
      <c r="L37" s="10">
        <f>E14</f>
        <v>0.52893100000000004</v>
      </c>
      <c r="M37" s="25"/>
      <c r="N37" s="10">
        <f>E16</f>
        <v>0.25089499999999998</v>
      </c>
    </row>
    <row r="38" spans="1:14" x14ac:dyDescent="0.2">
      <c r="A38" s="4"/>
      <c r="B38" s="3"/>
      <c r="C38" s="3"/>
      <c r="D38" s="3"/>
      <c r="E38" s="3"/>
      <c r="F38" s="3"/>
      <c r="G38" s="3"/>
      <c r="H38" s="3"/>
      <c r="I38" s="19" t="s">
        <v>8</v>
      </c>
      <c r="J38" s="10">
        <f>E17</f>
        <v>-0.17890400000000001</v>
      </c>
      <c r="K38" s="10">
        <f>E18</f>
        <v>0.215975</v>
      </c>
      <c r="L38" s="10">
        <f>E19</f>
        <v>0.33307300000000001</v>
      </c>
      <c r="M38" s="25"/>
      <c r="N38" s="10">
        <f>E21</f>
        <v>4.7010999999999997E-2</v>
      </c>
    </row>
    <row r="39" spans="1:14" x14ac:dyDescent="0.2">
      <c r="A39" s="4"/>
      <c r="B39" s="3"/>
      <c r="C39" s="3"/>
      <c r="D39" s="3"/>
      <c r="E39" s="3"/>
      <c r="F39" s="3"/>
      <c r="G39" s="3"/>
      <c r="H39" s="3"/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5A72-C6DB-AE43-A558-322847443D70}">
  <dimension ref="A1:X103"/>
  <sheetViews>
    <sheetView topLeftCell="M1" zoomScale="125" zoomScaleNormal="167" workbookViewId="0">
      <selection activeCell="AM27" sqref="AM27"/>
    </sheetView>
  </sheetViews>
  <sheetFormatPr baseColWidth="10" defaultColWidth="8.83203125" defaultRowHeight="15" x14ac:dyDescent="0.2"/>
  <sheetData>
    <row r="1" spans="1:24" x14ac:dyDescent="0.2">
      <c r="A1" s="32" t="s">
        <v>4</v>
      </c>
      <c r="B1" s="31"/>
      <c r="C1" s="31"/>
      <c r="D1" s="31"/>
      <c r="E1" s="31"/>
      <c r="F1" s="33"/>
      <c r="G1" s="31" t="s">
        <v>9</v>
      </c>
      <c r="H1" s="31"/>
      <c r="I1" s="31"/>
      <c r="J1" s="31"/>
      <c r="K1" s="31"/>
      <c r="L1" s="31"/>
      <c r="M1" s="32" t="s">
        <v>10</v>
      </c>
      <c r="N1" s="31"/>
      <c r="O1" s="31"/>
      <c r="P1" s="31"/>
      <c r="Q1" s="31"/>
      <c r="R1" s="33"/>
      <c r="S1" s="31" t="s">
        <v>11</v>
      </c>
      <c r="T1" s="31"/>
      <c r="U1" s="31"/>
      <c r="V1" s="31"/>
      <c r="W1" s="31"/>
      <c r="X1" s="31"/>
    </row>
    <row r="2" spans="1:24" x14ac:dyDescent="0.2">
      <c r="A2" s="13" t="s">
        <v>12</v>
      </c>
      <c r="B2" s="14" t="s">
        <v>0</v>
      </c>
      <c r="C2" s="14" t="s">
        <v>14</v>
      </c>
      <c r="D2" s="14" t="s">
        <v>1</v>
      </c>
      <c r="E2" s="14" t="s">
        <v>2</v>
      </c>
      <c r="F2" s="15" t="s">
        <v>3</v>
      </c>
      <c r="G2" s="14" t="s">
        <v>12</v>
      </c>
      <c r="H2" s="14" t="s">
        <v>0</v>
      </c>
      <c r="I2" s="14" t="s">
        <v>14</v>
      </c>
      <c r="J2" s="14" t="s">
        <v>1</v>
      </c>
      <c r="K2" s="14" t="s">
        <v>2</v>
      </c>
      <c r="L2" s="14" t="s">
        <v>3</v>
      </c>
      <c r="M2" s="13" t="s">
        <v>12</v>
      </c>
      <c r="N2" s="14" t="s">
        <v>0</v>
      </c>
      <c r="O2" s="14" t="s">
        <v>14</v>
      </c>
      <c r="P2" s="14" t="s">
        <v>1</v>
      </c>
      <c r="Q2" s="14" t="s">
        <v>2</v>
      </c>
      <c r="R2" s="15" t="s">
        <v>3</v>
      </c>
      <c r="S2" s="14" t="s">
        <v>12</v>
      </c>
      <c r="T2" s="14" t="s">
        <v>0</v>
      </c>
      <c r="U2" s="14" t="s">
        <v>14</v>
      </c>
      <c r="V2" s="14" t="s">
        <v>1</v>
      </c>
      <c r="W2" s="14" t="s">
        <v>2</v>
      </c>
      <c r="X2" s="14" t="s">
        <v>3</v>
      </c>
    </row>
    <row r="3" spans="1:24" x14ac:dyDescent="0.2">
      <c r="A3" s="12">
        <v>0</v>
      </c>
      <c r="B3">
        <f>[15]gpt4omini_single_100!L2</f>
        <v>0</v>
      </c>
      <c r="C3">
        <f>[16]gpt4omini_single_100!L2</f>
        <v>0</v>
      </c>
      <c r="D3">
        <f>[17]gpt4omini_single_100!L2</f>
        <v>0</v>
      </c>
      <c r="E3" s="24"/>
      <c r="F3" s="11">
        <f>[18]gpt4omini_single_100!L2</f>
        <v>0</v>
      </c>
      <c r="G3">
        <v>0</v>
      </c>
      <c r="H3">
        <f>[15]gpt4omini_single_60!L2</f>
        <v>0</v>
      </c>
      <c r="I3">
        <f>[16]gpt4omini_single_60!L2</f>
        <v>0</v>
      </c>
      <c r="J3">
        <f>[17]gpt4omini_single_60!L2</f>
        <v>0</v>
      </c>
      <c r="K3" s="24"/>
      <c r="L3">
        <f>[18]gpt4omini_single_60!L2</f>
        <v>0</v>
      </c>
      <c r="M3" s="12">
        <v>0</v>
      </c>
      <c r="N3">
        <f>[15]gpt4omini_single_100_2!L2</f>
        <v>0</v>
      </c>
      <c r="O3">
        <f>[16]gpt4omini_single_100_2!L2</f>
        <v>0</v>
      </c>
      <c r="P3">
        <f>[17]gpt4omini_single_100_2!L2</f>
        <v>0</v>
      </c>
      <c r="Q3" s="24"/>
      <c r="R3" s="11">
        <f>[18]gpt4omini_single_100_2!L2</f>
        <v>0</v>
      </c>
      <c r="S3">
        <v>0</v>
      </c>
      <c r="T3">
        <f>[15]gpt4omini_single_60_2!L2</f>
        <v>0</v>
      </c>
      <c r="U3">
        <f>[16]gpt4omini_single_60_2!L2</f>
        <v>0</v>
      </c>
      <c r="V3">
        <f>[17]gpt4omini_single_60_2!L2</f>
        <v>0</v>
      </c>
      <c r="W3" s="24"/>
      <c r="X3">
        <f>[18]gpt4omini_single_60_2!L2</f>
        <v>0</v>
      </c>
    </row>
    <row r="4" spans="1:24" x14ac:dyDescent="0.2">
      <c r="A4" s="12">
        <v>1</v>
      </c>
      <c r="B4">
        <f>[15]gpt4omini_single_100!L3</f>
        <v>-9.3179999999999999E-3</v>
      </c>
      <c r="C4">
        <f>[16]gpt4omini_single_100!L3</f>
        <v>-5.2490000000000002E-3</v>
      </c>
      <c r="D4">
        <f>[17]gpt4omini_single_100!L3</f>
        <v>-2.4510000000000001E-3</v>
      </c>
      <c r="E4" s="24"/>
      <c r="F4" s="11">
        <f>[18]gpt4omini_single_100!L3</f>
        <v>-7.352E-3</v>
      </c>
      <c r="G4">
        <v>1</v>
      </c>
      <c r="H4">
        <f>[15]gpt4omini_single_60!L3</f>
        <v>-1.495E-3</v>
      </c>
      <c r="I4">
        <f>[16]gpt4omini_single_60!L3</f>
        <v>1.9449999999999999E-3</v>
      </c>
      <c r="J4">
        <f>[17]gpt4omini_single_60!L3</f>
        <v>4.1799999999999997E-3</v>
      </c>
      <c r="K4" s="24"/>
      <c r="L4">
        <f>[18]gpt4omini_single_60!L3</f>
        <v>3.3310000000000002E-3</v>
      </c>
      <c r="M4" s="12">
        <v>1</v>
      </c>
      <c r="N4">
        <f>[15]gpt4omini_single_100_2!L3</f>
        <v>-1.5734000000000001E-2</v>
      </c>
      <c r="O4">
        <f>[16]gpt4omini_single_100_2!L3</f>
        <v>-2.0303999999999999E-2</v>
      </c>
      <c r="P4">
        <f>[17]gpt4omini_single_100_2!L3</f>
        <v>-1.7461000000000001E-2</v>
      </c>
      <c r="Q4" s="24"/>
      <c r="R4" s="11">
        <f>[18]gpt4omini_single_100_2!L3</f>
        <v>-1.2043999999999999E-2</v>
      </c>
      <c r="S4">
        <v>1</v>
      </c>
      <c r="T4">
        <f>[15]gpt4omini_single_60_2!L3</f>
        <v>-7.2189999999999997E-3</v>
      </c>
      <c r="U4">
        <f>[16]gpt4omini_single_60_2!L3</f>
        <v>-1.472E-3</v>
      </c>
      <c r="V4">
        <f>[17]gpt4omini_single_60_2!L3</f>
        <v>1.954E-3</v>
      </c>
      <c r="W4" s="24"/>
      <c r="X4">
        <f>[18]gpt4omini_single_60_2!L3</f>
        <v>-1.426E-3</v>
      </c>
    </row>
    <row r="5" spans="1:24" x14ac:dyDescent="0.2">
      <c r="A5" s="12">
        <v>2</v>
      </c>
      <c r="B5">
        <f>[15]gpt4omini_single_100!L4</f>
        <v>-1.0853E-2</v>
      </c>
      <c r="C5">
        <f>[16]gpt4omini_single_100!L4</f>
        <v>7.1599999999999997E-3</v>
      </c>
      <c r="D5">
        <f>[17]gpt4omini_single_100!L4</f>
        <v>1.1884E-2</v>
      </c>
      <c r="E5" s="24"/>
      <c r="F5" s="11">
        <f>[18]gpt4omini_single_100!L4</f>
        <v>-4.7809999999999997E-3</v>
      </c>
      <c r="G5">
        <v>2</v>
      </c>
      <c r="H5">
        <f>[15]gpt4omini_single_60!L4</f>
        <v>-2.6719999999999999E-3</v>
      </c>
      <c r="I5">
        <f>[16]gpt4omini_single_60!L4</f>
        <v>2.1440000000000001E-3</v>
      </c>
      <c r="J5">
        <f>[17]gpt4omini_single_60!L4</f>
        <v>1.4801999999999999E-2</v>
      </c>
      <c r="K5" s="24"/>
      <c r="L5">
        <f>[18]gpt4omini_single_60!L4</f>
        <v>8.8889999999999993E-3</v>
      </c>
      <c r="M5" s="12">
        <v>2</v>
      </c>
      <c r="N5">
        <f>[15]gpt4omini_single_100_2!L4</f>
        <v>-1.3063E-2</v>
      </c>
      <c r="O5">
        <f>[16]gpt4omini_single_100_2!L4</f>
        <v>-1.3058999999999999E-2</v>
      </c>
      <c r="P5">
        <f>[17]gpt4omini_single_100_2!L4</f>
        <v>-1.6254000000000001E-2</v>
      </c>
      <c r="Q5" s="24"/>
      <c r="R5" s="11">
        <f>[18]gpt4omini_single_100_2!L4</f>
        <v>-7.6099999999999996E-3</v>
      </c>
      <c r="S5">
        <v>2</v>
      </c>
      <c r="T5">
        <f>[15]gpt4omini_single_60_2!L4</f>
        <v>-5.8269999999999997E-3</v>
      </c>
      <c r="U5">
        <f>[16]gpt4omini_single_60_2!L4</f>
        <v>-1.3780000000000001E-3</v>
      </c>
      <c r="V5">
        <f>[17]gpt4omini_single_60_2!L4</f>
        <v>8.52E-4</v>
      </c>
      <c r="W5" s="24"/>
      <c r="X5">
        <f>[18]gpt4omini_single_60_2!L4</f>
        <v>-6.4050000000000001E-3</v>
      </c>
    </row>
    <row r="6" spans="1:24" x14ac:dyDescent="0.2">
      <c r="A6" s="12">
        <v>3</v>
      </c>
      <c r="B6">
        <f>[15]gpt4omini_single_100!L5</f>
        <v>-1.2588E-2</v>
      </c>
      <c r="C6">
        <f>[16]gpt4omini_single_100!L5</f>
        <v>1.5192000000000001E-2</v>
      </c>
      <c r="D6">
        <f>[17]gpt4omini_single_100!L5</f>
        <v>2.2433999999999999E-2</v>
      </c>
      <c r="E6" s="24"/>
      <c r="F6" s="11">
        <f>[18]gpt4omini_single_100!L5</f>
        <v>2.1440000000000001E-3</v>
      </c>
      <c r="G6">
        <v>3</v>
      </c>
      <c r="H6">
        <f>[15]gpt4omini_single_60!L5</f>
        <v>-1.1479999999999999E-3</v>
      </c>
      <c r="I6">
        <f>[16]gpt4omini_single_60!L5</f>
        <v>4.3940000000000003E-3</v>
      </c>
      <c r="J6">
        <f>[17]gpt4omini_single_60!L5</f>
        <v>1.3573E-2</v>
      </c>
      <c r="K6" s="24"/>
      <c r="L6">
        <f>[18]gpt4omini_single_60!L5</f>
        <v>1.3833E-2</v>
      </c>
      <c r="M6" s="12">
        <v>3</v>
      </c>
      <c r="N6">
        <f>[15]gpt4omini_single_100_2!L5</f>
        <v>-1.3554999999999999E-2</v>
      </c>
      <c r="O6">
        <f>[16]gpt4omini_single_100_2!L5</f>
        <v>-4.6649999999999999E-3</v>
      </c>
      <c r="P6">
        <f>[17]gpt4omini_single_100_2!L5</f>
        <v>-1.5629000000000001E-2</v>
      </c>
      <c r="Q6" s="24"/>
      <c r="R6" s="11">
        <f>[18]gpt4omini_single_100_2!L5</f>
        <v>-5.1850000000000004E-3</v>
      </c>
      <c r="S6">
        <v>3</v>
      </c>
      <c r="T6">
        <f>[15]gpt4omini_single_60_2!L5</f>
        <v>-8.43E-3</v>
      </c>
      <c r="U6">
        <f>[16]gpt4omini_single_60_2!L5</f>
        <v>1.853E-3</v>
      </c>
      <c r="V6">
        <f>[17]gpt4omini_single_60_2!L5</f>
        <v>1.142E-3</v>
      </c>
      <c r="W6" s="24"/>
      <c r="X6">
        <f>[18]gpt4omini_single_60_2!L5</f>
        <v>-7.1710000000000003E-3</v>
      </c>
    </row>
    <row r="7" spans="1:24" x14ac:dyDescent="0.2">
      <c r="A7" s="12">
        <v>4</v>
      </c>
      <c r="B7">
        <f>[15]gpt4omini_single_100!L6</f>
        <v>-1.7526E-2</v>
      </c>
      <c r="C7">
        <f>[16]gpt4omini_single_100!L6</f>
        <v>2.8309000000000001E-2</v>
      </c>
      <c r="D7">
        <f>[17]gpt4omini_single_100!L6</f>
        <v>2.8645E-2</v>
      </c>
      <c r="E7" s="24"/>
      <c r="F7" s="11">
        <f>[18]gpt4omini_single_100!L6</f>
        <v>-4.7410000000000004E-3</v>
      </c>
      <c r="G7">
        <v>4</v>
      </c>
      <c r="H7">
        <f>[15]gpt4omini_single_60!L6</f>
        <v>3.5300000000000002E-4</v>
      </c>
      <c r="I7">
        <f>[16]gpt4omini_single_60!L6</f>
        <v>2.2399999999999998E-3</v>
      </c>
      <c r="J7">
        <f>[17]gpt4omini_single_60!L6</f>
        <v>1.8563E-2</v>
      </c>
      <c r="K7" s="24"/>
      <c r="L7">
        <f>[18]gpt4omini_single_60!L6</f>
        <v>2.8455999999999999E-2</v>
      </c>
      <c r="M7" s="12">
        <v>4</v>
      </c>
      <c r="N7">
        <f>[15]gpt4omini_single_100_2!L6</f>
        <v>-3.3798000000000002E-2</v>
      </c>
      <c r="O7">
        <f>[16]gpt4omini_single_100_2!L6</f>
        <v>-5.5659999999999998E-3</v>
      </c>
      <c r="P7">
        <f>[17]gpt4omini_single_100_2!L6</f>
        <v>-1.9143E-2</v>
      </c>
      <c r="Q7" s="24"/>
      <c r="R7" s="11">
        <f>[18]gpt4omini_single_100_2!L6</f>
        <v>-3.771E-3</v>
      </c>
      <c r="S7">
        <v>4</v>
      </c>
      <c r="T7">
        <f>[15]gpt4omini_single_60_2!L6</f>
        <v>-2.2259999999999999E-2</v>
      </c>
      <c r="U7">
        <f>[16]gpt4omini_single_60_2!L6</f>
        <v>-3.2959999999999999E-3</v>
      </c>
      <c r="V7">
        <f>[17]gpt4omini_single_60_2!L6</f>
        <v>3.3010000000000001E-3</v>
      </c>
      <c r="W7" s="24"/>
      <c r="X7">
        <f>[18]gpt4omini_single_60_2!L6</f>
        <v>-1.0399E-2</v>
      </c>
    </row>
    <row r="8" spans="1:24" x14ac:dyDescent="0.2">
      <c r="A8" s="12">
        <v>5</v>
      </c>
      <c r="B8">
        <f>[15]gpt4omini_single_100!L7</f>
        <v>-2.1080999999999999E-2</v>
      </c>
      <c r="C8">
        <f>[16]gpt4omini_single_100!L7</f>
        <v>3.5070999999999998E-2</v>
      </c>
      <c r="D8">
        <f>[17]gpt4omini_single_100!L7</f>
        <v>2.8160999999999999E-2</v>
      </c>
      <c r="E8" s="24"/>
      <c r="F8" s="11">
        <f>[18]gpt4omini_single_100!L7</f>
        <v>9.4339999999999997E-3</v>
      </c>
      <c r="G8">
        <v>5</v>
      </c>
      <c r="H8">
        <f>[15]gpt4omini_single_60!L7</f>
        <v>1.0549999999999999E-3</v>
      </c>
      <c r="I8">
        <f>[16]gpt4omini_single_60!L7</f>
        <v>6.7019999999999996E-3</v>
      </c>
      <c r="J8">
        <f>[17]gpt4omini_single_60!L7</f>
        <v>2.5566999999999999E-2</v>
      </c>
      <c r="K8" s="24"/>
      <c r="L8">
        <f>[18]gpt4omini_single_60!L7</f>
        <v>3.0530000000000002E-2</v>
      </c>
      <c r="M8" s="12">
        <v>5</v>
      </c>
      <c r="N8">
        <f>[15]gpt4omini_single_100_2!L7</f>
        <v>-4.8267999999999998E-2</v>
      </c>
      <c r="O8">
        <f>[16]gpt4omini_single_100_2!L7</f>
        <v>9.3069999999999993E-3</v>
      </c>
      <c r="P8">
        <f>[17]gpt4omini_single_100_2!L7</f>
        <v>-9.1489999999999991E-3</v>
      </c>
      <c r="Q8" s="24"/>
      <c r="R8" s="11">
        <f>[18]gpt4omini_single_100_2!L7</f>
        <v>4.7609999999999996E-3</v>
      </c>
      <c r="S8">
        <v>5</v>
      </c>
      <c r="T8">
        <f>[15]gpt4omini_single_60_2!L7</f>
        <v>-3.2001000000000002E-2</v>
      </c>
      <c r="U8">
        <f>[16]gpt4omini_single_60_2!L7</f>
        <v>-3.0560000000000001E-3</v>
      </c>
      <c r="V8">
        <f>[17]gpt4omini_single_60_2!L7</f>
        <v>6.0179999999999999E-3</v>
      </c>
      <c r="W8" s="24"/>
      <c r="X8">
        <f>[18]gpt4omini_single_60_2!L7</f>
        <v>-9.5890000000000003E-3</v>
      </c>
    </row>
    <row r="9" spans="1:24" x14ac:dyDescent="0.2">
      <c r="A9" s="12">
        <v>6</v>
      </c>
      <c r="B9">
        <f>[15]gpt4omini_single_100!L8</f>
        <v>-6.9220000000000002E-3</v>
      </c>
      <c r="C9">
        <f>[16]gpt4omini_single_100!L8</f>
        <v>4.9421E-2</v>
      </c>
      <c r="D9">
        <f>[17]gpt4omini_single_100!L8</f>
        <v>5.3718000000000002E-2</v>
      </c>
      <c r="E9" s="24"/>
      <c r="F9" s="11">
        <f>[18]gpt4omini_single_100!L8</f>
        <v>2.7786999999999999E-2</v>
      </c>
      <c r="G9">
        <v>6</v>
      </c>
      <c r="H9">
        <f>[15]gpt4omini_single_60!L8</f>
        <v>6.9099999999999999E-4</v>
      </c>
      <c r="I9">
        <f>[16]gpt4omini_single_60!L8</f>
        <v>1.1735000000000001E-2</v>
      </c>
      <c r="J9">
        <f>[17]gpt4omini_single_60!L8</f>
        <v>2.8908E-2</v>
      </c>
      <c r="K9" s="24"/>
      <c r="L9">
        <f>[18]gpt4omini_single_60!L8</f>
        <v>3.6833999999999999E-2</v>
      </c>
      <c r="M9" s="12">
        <v>6</v>
      </c>
      <c r="N9">
        <f>[15]gpt4omini_single_100_2!L8</f>
        <v>-9.5452999999999996E-2</v>
      </c>
      <c r="O9">
        <f>[16]gpt4omini_single_100_2!L8</f>
        <v>5.2310000000000004E-3</v>
      </c>
      <c r="P9">
        <f>[17]gpt4omini_single_100_2!L8</f>
        <v>-3.0322999999999999E-2</v>
      </c>
      <c r="Q9" s="24"/>
      <c r="R9" s="11">
        <f>[18]gpt4omini_single_100_2!L8</f>
        <v>2.1199999999999999E-3</v>
      </c>
      <c r="S9">
        <v>6</v>
      </c>
      <c r="T9">
        <f>[15]gpt4omini_single_60_2!L8</f>
        <v>-3.3612000000000003E-2</v>
      </c>
      <c r="U9">
        <f>[16]gpt4omini_single_60_2!L8</f>
        <v>-1.0532E-2</v>
      </c>
      <c r="V9">
        <f>[17]gpt4omini_single_60_2!L8</f>
        <v>1.1386E-2</v>
      </c>
      <c r="W9" s="24"/>
      <c r="X9">
        <f>[18]gpt4omini_single_60_2!L8</f>
        <v>-2.0666E-2</v>
      </c>
    </row>
    <row r="10" spans="1:24" x14ac:dyDescent="0.2">
      <c r="A10" s="12">
        <v>7</v>
      </c>
      <c r="B10">
        <f>[15]gpt4omini_single_100!L9</f>
        <v>-1.5785E-2</v>
      </c>
      <c r="C10">
        <f>[16]gpt4omini_single_100!L9</f>
        <v>8.0213000000000007E-2</v>
      </c>
      <c r="D10">
        <f>[17]gpt4omini_single_100!L9</f>
        <v>7.1142999999999998E-2</v>
      </c>
      <c r="E10" s="24"/>
      <c r="F10" s="11">
        <f>[18]gpt4omini_single_100!L9</f>
        <v>2.3047999999999999E-2</v>
      </c>
      <c r="G10">
        <v>7</v>
      </c>
      <c r="H10">
        <f>[15]gpt4omini_single_60!L9</f>
        <v>4.7790000000000003E-3</v>
      </c>
      <c r="I10">
        <f>[16]gpt4omini_single_60!L9</f>
        <v>2.7451E-2</v>
      </c>
      <c r="J10">
        <f>[17]gpt4omini_single_60!L9</f>
        <v>3.7224E-2</v>
      </c>
      <c r="K10" s="24"/>
      <c r="L10">
        <f>[18]gpt4omini_single_60!L9</f>
        <v>3.7495000000000001E-2</v>
      </c>
      <c r="M10" s="12">
        <v>7</v>
      </c>
      <c r="N10">
        <f>[15]gpt4omini_single_100_2!L9</f>
        <v>-8.5568000000000005E-2</v>
      </c>
      <c r="O10">
        <f>[16]gpt4omini_single_100_2!L9</f>
        <v>8.2410000000000001E-3</v>
      </c>
      <c r="P10">
        <f>[17]gpt4omini_single_100_2!L9</f>
        <v>-3.3508000000000003E-2</v>
      </c>
      <c r="Q10" s="24"/>
      <c r="R10" s="11">
        <f>[18]gpt4omini_single_100_2!L9</f>
        <v>-5.0860000000000002E-3</v>
      </c>
      <c r="S10">
        <v>7</v>
      </c>
      <c r="T10">
        <f>[15]gpt4omini_single_60_2!L9</f>
        <v>-3.6899000000000001E-2</v>
      </c>
      <c r="U10">
        <f>[16]gpt4omini_single_60_2!L9</f>
        <v>-9.665E-3</v>
      </c>
      <c r="V10">
        <f>[17]gpt4omini_single_60_2!L9</f>
        <v>2.2515E-2</v>
      </c>
      <c r="W10" s="24"/>
      <c r="X10">
        <f>[18]gpt4omini_single_60_2!L9</f>
        <v>-1.8603999999999999E-2</v>
      </c>
    </row>
    <row r="11" spans="1:24" x14ac:dyDescent="0.2">
      <c r="A11" s="12">
        <v>8</v>
      </c>
      <c r="B11">
        <f>[15]gpt4omini_single_100!L10</f>
        <v>-1.9980000000000001E-2</v>
      </c>
      <c r="C11">
        <f>[16]gpt4omini_single_100!L10</f>
        <v>8.4445000000000006E-2</v>
      </c>
      <c r="D11">
        <f>[17]gpt4omini_single_100!L10</f>
        <v>0.107639</v>
      </c>
      <c r="E11" s="24"/>
      <c r="F11" s="11">
        <f>[18]gpt4omini_single_100!L10</f>
        <v>3.3715000000000002E-2</v>
      </c>
      <c r="G11">
        <v>8</v>
      </c>
      <c r="H11">
        <f>[15]gpt4omini_single_60!L10</f>
        <v>8.9390000000000008E-3</v>
      </c>
      <c r="I11">
        <f>[16]gpt4omini_single_60!L10</f>
        <v>3.2015000000000002E-2</v>
      </c>
      <c r="J11">
        <f>[17]gpt4omini_single_60!L10</f>
        <v>4.8515999999999997E-2</v>
      </c>
      <c r="K11" s="24"/>
      <c r="L11">
        <f>[18]gpt4omini_single_60!L10</f>
        <v>4.8901E-2</v>
      </c>
      <c r="M11" s="12">
        <v>8</v>
      </c>
      <c r="N11">
        <f>[15]gpt4omini_single_100_2!L10</f>
        <v>-7.5643000000000002E-2</v>
      </c>
      <c r="O11">
        <f>[16]gpt4omini_single_100_2!L10</f>
        <v>2.9402999999999999E-2</v>
      </c>
      <c r="P11">
        <f>[17]gpt4omini_single_100_2!L10</f>
        <v>-8.5389999999999997E-3</v>
      </c>
      <c r="Q11" s="24"/>
      <c r="R11" s="11">
        <f>[18]gpt4omini_single_100_2!L10</f>
        <v>-5.2129999999999998E-3</v>
      </c>
      <c r="S11">
        <v>8</v>
      </c>
      <c r="T11">
        <f>[15]gpt4omini_single_60_2!L10</f>
        <v>-3.4890999999999998E-2</v>
      </c>
      <c r="U11">
        <f>[16]gpt4omini_single_60_2!L10</f>
        <v>-4.4749999999999998E-3</v>
      </c>
      <c r="V11">
        <f>[17]gpt4omini_single_60_2!L10</f>
        <v>3.2867E-2</v>
      </c>
      <c r="W11" s="24"/>
      <c r="X11">
        <f>[18]gpt4omini_single_60_2!L10</f>
        <v>-1.7690999999999998E-2</v>
      </c>
    </row>
    <row r="12" spans="1:24" x14ac:dyDescent="0.2">
      <c r="A12" s="12">
        <v>9</v>
      </c>
      <c r="B12">
        <f>[15]gpt4omini_single_100!L11</f>
        <v>-2.1066000000000001E-2</v>
      </c>
      <c r="C12">
        <f>[16]gpt4omini_single_100!L11</f>
        <v>0.100092</v>
      </c>
      <c r="D12">
        <f>[17]gpt4omini_single_100!L11</f>
        <v>0.10738300000000001</v>
      </c>
      <c r="E12" s="24"/>
      <c r="F12" s="11">
        <f>[18]gpt4omini_single_100!L11</f>
        <v>6.1335000000000001E-2</v>
      </c>
      <c r="G12">
        <v>9</v>
      </c>
      <c r="H12">
        <f>[15]gpt4omini_single_60!L11</f>
        <v>6.5839999999999996E-3</v>
      </c>
      <c r="I12">
        <f>[16]gpt4omini_single_60!L11</f>
        <v>3.1175999999999999E-2</v>
      </c>
      <c r="J12">
        <f>[17]gpt4omini_single_60!L11</f>
        <v>6.5047999999999995E-2</v>
      </c>
      <c r="K12" s="24"/>
      <c r="L12">
        <f>[18]gpt4omini_single_60!L11</f>
        <v>6.1100000000000002E-2</v>
      </c>
      <c r="M12" s="12">
        <v>9</v>
      </c>
      <c r="N12">
        <f>[15]gpt4omini_single_100_2!L11</f>
        <v>-8.6717000000000002E-2</v>
      </c>
      <c r="O12">
        <f>[16]gpt4omini_single_100_2!L11</f>
        <v>1.6726999999999999E-2</v>
      </c>
      <c r="P12">
        <f>[17]gpt4omini_single_100_2!L11</f>
        <v>2.1235E-2</v>
      </c>
      <c r="Q12" s="24"/>
      <c r="R12" s="11">
        <f>[18]gpt4omini_single_100_2!L11</f>
        <v>2.3081999999999998E-2</v>
      </c>
      <c r="S12">
        <v>9</v>
      </c>
      <c r="T12">
        <f>[15]gpt4omini_single_60_2!L11</f>
        <v>-3.7919000000000001E-2</v>
      </c>
      <c r="U12">
        <f>[16]gpt4omini_single_60_2!L11</f>
        <v>7.6969999999999998E-3</v>
      </c>
      <c r="V12">
        <f>[17]gpt4omini_single_60_2!L11</f>
        <v>3.7731000000000001E-2</v>
      </c>
      <c r="W12" s="24"/>
      <c r="X12">
        <f>[18]gpt4omini_single_60_2!L11</f>
        <v>-1.4302E-2</v>
      </c>
    </row>
    <row r="13" spans="1:24" x14ac:dyDescent="0.2">
      <c r="A13" s="12">
        <v>10</v>
      </c>
      <c r="B13">
        <f>[15]gpt4omini_single_100!L12</f>
        <v>-3.9449999999999999E-2</v>
      </c>
      <c r="C13">
        <f>[16]gpt4omini_single_100!L12</f>
        <v>6.5850000000000006E-2</v>
      </c>
      <c r="D13">
        <f>[17]gpt4omini_single_100!L12</f>
        <v>9.6988000000000005E-2</v>
      </c>
      <c r="E13" s="24"/>
      <c r="F13" s="11">
        <f>[18]gpt4omini_single_100!L12</f>
        <v>5.2025000000000002E-2</v>
      </c>
      <c r="G13">
        <v>10</v>
      </c>
      <c r="H13">
        <f>[15]gpt4omini_single_60!L12</f>
        <v>6.8139999999999997E-3</v>
      </c>
      <c r="I13">
        <f>[16]gpt4omini_single_60!L12</f>
        <v>3.2273000000000003E-2</v>
      </c>
      <c r="J13">
        <f>[17]gpt4omini_single_60!L12</f>
        <v>7.5636999999999996E-2</v>
      </c>
      <c r="K13" s="24"/>
      <c r="L13">
        <f>[18]gpt4omini_single_60!L12</f>
        <v>8.7995000000000004E-2</v>
      </c>
      <c r="M13" s="12">
        <v>10</v>
      </c>
      <c r="N13">
        <f>[15]gpt4omini_single_100_2!L12</f>
        <v>-0.120589</v>
      </c>
      <c r="O13">
        <f>[16]gpt4omini_single_100_2!L12</f>
        <v>7.3889999999999997E-3</v>
      </c>
      <c r="P13">
        <f>[17]gpt4omini_single_100_2!L12</f>
        <v>-7.5783000000000003E-2</v>
      </c>
      <c r="Q13" s="24"/>
      <c r="R13" s="11">
        <f>[18]gpt4omini_single_100_2!L12</f>
        <v>1.3102000000000001E-2</v>
      </c>
      <c r="S13">
        <v>10</v>
      </c>
      <c r="T13">
        <f>[15]gpt4omini_single_60_2!L12</f>
        <v>-4.3111999999999998E-2</v>
      </c>
      <c r="U13">
        <f>[16]gpt4omini_single_60_2!L12</f>
        <v>1.5893999999999998E-2</v>
      </c>
      <c r="V13">
        <f>[17]gpt4omini_single_60_2!L12</f>
        <v>4.2949000000000001E-2</v>
      </c>
      <c r="W13" s="24"/>
      <c r="X13">
        <f>[18]gpt4omini_single_60_2!L12</f>
        <v>7.1000000000000002E-4</v>
      </c>
    </row>
    <row r="14" spans="1:24" x14ac:dyDescent="0.2">
      <c r="A14" s="12">
        <v>11</v>
      </c>
      <c r="B14">
        <f>[15]gpt4omini_single_100!L13</f>
        <v>-4.6678999999999998E-2</v>
      </c>
      <c r="C14">
        <f>[16]gpt4omini_single_100!L13</f>
        <v>5.7867000000000002E-2</v>
      </c>
      <c r="D14">
        <f>[17]gpt4omini_single_100!L13</f>
        <v>0.10176200000000001</v>
      </c>
      <c r="E14" s="24"/>
      <c r="F14" s="11">
        <f>[18]gpt4omini_single_100!L13</f>
        <v>5.9568999999999997E-2</v>
      </c>
      <c r="G14">
        <v>11</v>
      </c>
      <c r="H14">
        <f>[15]gpt4omini_single_60!L13</f>
        <v>-2.5652999999999999E-2</v>
      </c>
      <c r="I14">
        <f>[16]gpt4omini_single_60!L13</f>
        <v>3.4784000000000002E-2</v>
      </c>
      <c r="J14">
        <f>[17]gpt4omini_single_60!L13</f>
        <v>7.0250000000000007E-2</v>
      </c>
      <c r="K14" s="24"/>
      <c r="L14">
        <f>[18]gpt4omini_single_60!L13</f>
        <v>6.5126000000000003E-2</v>
      </c>
      <c r="M14" s="12">
        <v>11</v>
      </c>
      <c r="N14">
        <f>[15]gpt4omini_single_100_2!L13</f>
        <v>-0.14333499999999999</v>
      </c>
      <c r="O14">
        <f>[16]gpt4omini_single_100_2!L13</f>
        <v>6.6909999999999999E-3</v>
      </c>
      <c r="P14">
        <f>[17]gpt4omini_single_100_2!L13</f>
        <v>-9.0785000000000005E-2</v>
      </c>
      <c r="Q14" s="24"/>
      <c r="R14" s="11">
        <f>[18]gpt4omini_single_100_2!L13</f>
        <v>5.4130000000000003E-3</v>
      </c>
      <c r="S14">
        <v>11</v>
      </c>
      <c r="T14">
        <f>[15]gpt4omini_single_60_2!L13</f>
        <v>-5.6356999999999997E-2</v>
      </c>
      <c r="U14">
        <f>[16]gpt4omini_single_60_2!L13</f>
        <v>1.4033E-2</v>
      </c>
      <c r="V14">
        <f>[17]gpt4omini_single_60_2!L13</f>
        <v>1.8955E-2</v>
      </c>
      <c r="W14" s="24"/>
      <c r="X14">
        <f>[18]gpt4omini_single_60_2!L13</f>
        <v>-6.5278000000000003E-2</v>
      </c>
    </row>
    <row r="15" spans="1:24" x14ac:dyDescent="0.2">
      <c r="A15" s="12">
        <v>12</v>
      </c>
      <c r="B15">
        <f>[15]gpt4omini_single_100!L14</f>
        <v>-4.6378999999999997E-2</v>
      </c>
      <c r="C15">
        <f>[16]gpt4omini_single_100!L14</f>
        <v>6.1587000000000003E-2</v>
      </c>
      <c r="D15">
        <f>[17]gpt4omini_single_100!L14</f>
        <v>0.113991</v>
      </c>
      <c r="E15" s="24"/>
      <c r="F15" s="11">
        <f>[18]gpt4omini_single_100!L14</f>
        <v>8.2492999999999997E-2</v>
      </c>
      <c r="G15">
        <v>12</v>
      </c>
      <c r="H15">
        <f>[15]gpt4omini_single_60!L14</f>
        <v>-2.6804000000000001E-2</v>
      </c>
      <c r="I15">
        <f>[16]gpt4omini_single_60!L14</f>
        <v>3.9548E-2</v>
      </c>
      <c r="J15">
        <f>[17]gpt4omini_single_60!L14</f>
        <v>9.0315999999999994E-2</v>
      </c>
      <c r="K15" s="24"/>
      <c r="L15">
        <f>[18]gpt4omini_single_60!L14</f>
        <v>7.4649999999999994E-2</v>
      </c>
      <c r="M15" s="12">
        <v>12</v>
      </c>
      <c r="N15">
        <f>[15]gpt4omini_single_100_2!L14</f>
        <v>-0.14863699999999999</v>
      </c>
      <c r="O15">
        <f>[16]gpt4omini_single_100_2!L14</f>
        <v>1.0485E-2</v>
      </c>
      <c r="P15">
        <f>[17]gpt4omini_single_100_2!L14</f>
        <v>-9.3296000000000004E-2</v>
      </c>
      <c r="Q15" s="24"/>
      <c r="R15" s="11">
        <f>[18]gpt4omini_single_100_2!L14</f>
        <v>1.629E-3</v>
      </c>
      <c r="S15">
        <v>12</v>
      </c>
      <c r="T15">
        <f>[15]gpt4omini_single_60_2!L14</f>
        <v>-6.7514000000000005E-2</v>
      </c>
      <c r="U15">
        <f>[16]gpt4omini_single_60_2!L14</f>
        <v>1.0581E-2</v>
      </c>
      <c r="V15">
        <f>[17]gpt4omini_single_60_2!L14</f>
        <v>3.9188000000000001E-2</v>
      </c>
      <c r="W15" s="24"/>
      <c r="X15">
        <f>[18]gpt4omini_single_60_2!L14</f>
        <v>-7.2881000000000001E-2</v>
      </c>
    </row>
    <row r="16" spans="1:24" x14ac:dyDescent="0.2">
      <c r="A16" s="12">
        <v>13</v>
      </c>
      <c r="B16">
        <f>[15]gpt4omini_single_100!L15</f>
        <v>-3.9671999999999999E-2</v>
      </c>
      <c r="C16">
        <f>[16]gpt4omini_single_100!L15</f>
        <v>7.1028999999999995E-2</v>
      </c>
      <c r="D16">
        <f>[17]gpt4omini_single_100!L15</f>
        <v>0.12338499999999999</v>
      </c>
      <c r="E16" s="24"/>
      <c r="F16" s="11">
        <f>[18]gpt4omini_single_100!L15</f>
        <v>8.3059999999999995E-2</v>
      </c>
      <c r="G16">
        <v>13</v>
      </c>
      <c r="H16">
        <f>[15]gpt4omini_single_60!L15</f>
        <v>-2.6481999999999999E-2</v>
      </c>
      <c r="I16">
        <f>[16]gpt4omini_single_60!L15</f>
        <v>4.7010999999999997E-2</v>
      </c>
      <c r="J16">
        <f>[17]gpt4omini_single_60!L15</f>
        <v>9.3588000000000005E-2</v>
      </c>
      <c r="K16" s="24"/>
      <c r="L16">
        <f>[18]gpt4omini_single_60!L15</f>
        <v>7.7810000000000004E-2</v>
      </c>
      <c r="M16" s="12">
        <v>13</v>
      </c>
      <c r="N16">
        <f>[15]gpt4omini_single_100_2!L15</f>
        <v>-0.148203</v>
      </c>
      <c r="O16">
        <f>[16]gpt4omini_single_100_2!L15</f>
        <v>1.8696999999999998E-2</v>
      </c>
      <c r="P16">
        <f>[17]gpt4omini_single_100_2!L15</f>
        <v>-8.8250999999999996E-2</v>
      </c>
      <c r="Q16" s="24"/>
      <c r="R16" s="11">
        <f>[18]gpt4omini_single_100_2!L15</f>
        <v>1.4697E-2</v>
      </c>
      <c r="S16">
        <v>13</v>
      </c>
      <c r="T16">
        <f>[15]gpt4omini_single_60_2!L15</f>
        <v>-7.0569000000000007E-2</v>
      </c>
      <c r="U16">
        <f>[16]gpt4omini_single_60_2!L15</f>
        <v>1.0969E-2</v>
      </c>
      <c r="V16">
        <f>[17]gpt4omini_single_60_2!L15</f>
        <v>4.3491000000000002E-2</v>
      </c>
      <c r="W16" s="24"/>
      <c r="X16">
        <f>[18]gpt4omini_single_60_2!L15</f>
        <v>-7.6274999999999996E-2</v>
      </c>
    </row>
    <row r="17" spans="1:24" x14ac:dyDescent="0.2">
      <c r="A17" s="12">
        <v>14</v>
      </c>
      <c r="B17">
        <f>[15]gpt4omini_single_100!L16</f>
        <v>-5.2588999999999997E-2</v>
      </c>
      <c r="C17">
        <f>[16]gpt4omini_single_100!L16</f>
        <v>6.7166000000000003E-2</v>
      </c>
      <c r="D17">
        <f>[17]gpt4omini_single_100!L16</f>
        <v>0.13576199999999999</v>
      </c>
      <c r="E17" s="24"/>
      <c r="F17" s="11">
        <f>[18]gpt4omini_single_100!L16</f>
        <v>8.4302000000000002E-2</v>
      </c>
      <c r="G17">
        <v>14</v>
      </c>
      <c r="H17">
        <f>[15]gpt4omini_single_60!L16</f>
        <v>-2.8708000000000001E-2</v>
      </c>
      <c r="I17">
        <f>[16]gpt4omini_single_60!L16</f>
        <v>4.8541000000000001E-2</v>
      </c>
      <c r="J17">
        <f>[17]gpt4omini_single_60!L16</f>
        <v>9.7489999999999993E-2</v>
      </c>
      <c r="K17" s="24"/>
      <c r="L17">
        <f>[18]gpt4omini_single_60!L16</f>
        <v>7.8479999999999994E-2</v>
      </c>
      <c r="M17" s="12">
        <v>14</v>
      </c>
      <c r="N17">
        <f>[15]gpt4omini_single_100_2!L16</f>
        <v>-0.162276</v>
      </c>
      <c r="O17">
        <f>[16]gpt4omini_single_100_2!L16</f>
        <v>9.5849999999999998E-3</v>
      </c>
      <c r="P17">
        <f>[17]gpt4omini_single_100_2!L16</f>
        <v>-8.1772999999999998E-2</v>
      </c>
      <c r="Q17" s="24"/>
      <c r="R17" s="11">
        <f>[18]gpt4omini_single_100_2!L16</f>
        <v>-7.2399999999999999E-3</v>
      </c>
      <c r="S17">
        <v>14</v>
      </c>
      <c r="T17">
        <f>[15]gpt4omini_single_60_2!L16</f>
        <v>-7.7058000000000001E-2</v>
      </c>
      <c r="U17">
        <f>[16]gpt4omini_single_60_2!L16</f>
        <v>0</v>
      </c>
      <c r="V17">
        <f>[17]gpt4omini_single_60_2!L16</f>
        <v>4.6142000000000002E-2</v>
      </c>
      <c r="W17" s="24"/>
      <c r="X17">
        <f>[18]gpt4omini_single_60_2!L16</f>
        <v>-7.9873E-2</v>
      </c>
    </row>
    <row r="18" spans="1:24" x14ac:dyDescent="0.2">
      <c r="A18" s="12">
        <v>15</v>
      </c>
      <c r="B18">
        <f>[15]gpt4omini_single_100!L17</f>
        <v>-2.9354000000000002E-2</v>
      </c>
      <c r="C18">
        <f>[16]gpt4omini_single_100!L17</f>
        <v>7.9406000000000004E-2</v>
      </c>
      <c r="D18">
        <f>[17]gpt4omini_single_100!L17</f>
        <v>0.14128399999999999</v>
      </c>
      <c r="E18" s="24"/>
      <c r="F18" s="11">
        <f>[18]gpt4omini_single_100!L17</f>
        <v>8.6682999999999996E-2</v>
      </c>
      <c r="G18">
        <v>15</v>
      </c>
      <c r="H18">
        <f>[15]gpt4omini_single_60!L17</f>
        <v>-2.7289999999999998E-2</v>
      </c>
      <c r="I18">
        <f>[16]gpt4omini_single_60!L17</f>
        <v>8.5813E-2</v>
      </c>
      <c r="J18">
        <f>[17]gpt4omini_single_60!L17</f>
        <v>0.11698799999999999</v>
      </c>
      <c r="K18" s="24"/>
      <c r="L18">
        <f>[18]gpt4omini_single_60!L17</f>
        <v>8.6610000000000006E-2</v>
      </c>
      <c r="M18" s="12">
        <v>15</v>
      </c>
      <c r="N18">
        <f>[15]gpt4omini_single_100_2!L17</f>
        <v>-0.189833</v>
      </c>
      <c r="O18">
        <f>[16]gpt4omini_single_100_2!L17</f>
        <v>-2.6930000000000001E-3</v>
      </c>
      <c r="P18">
        <f>[17]gpt4omini_single_100_2!L17</f>
        <v>-7.7538999999999997E-2</v>
      </c>
      <c r="Q18" s="24"/>
      <c r="R18" s="11">
        <f>[18]gpt4omini_single_100_2!L17</f>
        <v>-1.7158E-2</v>
      </c>
      <c r="S18">
        <v>15</v>
      </c>
      <c r="T18">
        <f>[15]gpt4omini_single_60_2!L17</f>
        <v>-7.7331999999999998E-2</v>
      </c>
      <c r="U18">
        <f>[16]gpt4omini_single_60_2!L17</f>
        <v>1.0536E-2</v>
      </c>
      <c r="V18">
        <f>[17]gpt4omini_single_60_2!L17</f>
        <v>4.0176000000000003E-2</v>
      </c>
      <c r="W18" s="24"/>
      <c r="X18">
        <f>[18]gpt4omini_single_60_2!L17</f>
        <v>-8.5042000000000006E-2</v>
      </c>
    </row>
    <row r="19" spans="1:24" x14ac:dyDescent="0.2">
      <c r="A19" s="12">
        <v>16</v>
      </c>
      <c r="B19">
        <f>[15]gpt4omini_single_100!L18</f>
        <v>-4.7882000000000001E-2</v>
      </c>
      <c r="C19">
        <f>[16]gpt4omini_single_100!L18</f>
        <v>6.2477999999999999E-2</v>
      </c>
      <c r="D19">
        <f>[17]gpt4omini_single_100!L18</f>
        <v>0.13669500000000001</v>
      </c>
      <c r="E19" s="24"/>
      <c r="F19" s="11">
        <f>[18]gpt4omini_single_100!L18</f>
        <v>7.7330999999999997E-2</v>
      </c>
      <c r="G19">
        <v>16</v>
      </c>
      <c r="H19">
        <f>[15]gpt4omini_single_60!L18</f>
        <v>-2.5940000000000001E-2</v>
      </c>
      <c r="I19">
        <f>[16]gpt4omini_single_60!L18</f>
        <v>9.7591999999999998E-2</v>
      </c>
      <c r="J19">
        <f>[17]gpt4omini_single_60!L18</f>
        <v>0.15542900000000001</v>
      </c>
      <c r="K19" s="24"/>
      <c r="L19">
        <f>[18]gpt4omini_single_60!L18</f>
        <v>0.102144</v>
      </c>
      <c r="M19" s="12">
        <v>16</v>
      </c>
      <c r="N19">
        <f>[15]gpt4omini_single_100_2!L18</f>
        <v>-0.22738800000000001</v>
      </c>
      <c r="O19">
        <f>[16]gpt4omini_single_100_2!L18</f>
        <v>-2.1205999999999999E-2</v>
      </c>
      <c r="P19">
        <f>[17]gpt4omini_single_100_2!L18</f>
        <v>-0.112231</v>
      </c>
      <c r="Q19" s="24"/>
      <c r="R19" s="11">
        <f>[18]gpt4omini_single_100_2!L18</f>
        <v>-5.3044000000000001E-2</v>
      </c>
      <c r="S19">
        <v>16</v>
      </c>
      <c r="T19">
        <f>[15]gpt4omini_single_60_2!L18</f>
        <v>-7.9989000000000005E-2</v>
      </c>
      <c r="U19">
        <f>[16]gpt4omini_single_60_2!L18</f>
        <v>2.1277999999999998E-2</v>
      </c>
      <c r="V19">
        <f>[17]gpt4omini_single_60_2!L18</f>
        <v>4.5802000000000002E-2</v>
      </c>
      <c r="W19" s="24"/>
      <c r="X19">
        <f>[18]gpt4omini_single_60_2!L18</f>
        <v>-8.5194000000000006E-2</v>
      </c>
    </row>
    <row r="20" spans="1:24" x14ac:dyDescent="0.2">
      <c r="A20" s="12">
        <v>17</v>
      </c>
      <c r="B20">
        <f>[15]gpt4omini_single_100!L19</f>
        <v>-4.598E-2</v>
      </c>
      <c r="C20">
        <f>[16]gpt4omini_single_100!L19</f>
        <v>7.3012999999999995E-2</v>
      </c>
      <c r="D20">
        <f>[17]gpt4omini_single_100!L19</f>
        <v>0.154807</v>
      </c>
      <c r="E20" s="24"/>
      <c r="F20" s="11">
        <f>[18]gpt4omini_single_100!L19</f>
        <v>7.9565999999999998E-2</v>
      </c>
      <c r="G20">
        <v>17</v>
      </c>
      <c r="H20">
        <f>[15]gpt4omini_single_60!L19</f>
        <v>-2.0539000000000002E-2</v>
      </c>
      <c r="I20">
        <f>[16]gpt4omini_single_60!L19</f>
        <v>0.10303</v>
      </c>
      <c r="J20">
        <f>[17]gpt4omini_single_60!L19</f>
        <v>0.16450799999999999</v>
      </c>
      <c r="K20" s="24"/>
      <c r="L20">
        <f>[18]gpt4omini_single_60!L19</f>
        <v>0.106462</v>
      </c>
      <c r="M20" s="12">
        <v>17</v>
      </c>
      <c r="N20">
        <f>[15]gpt4omini_single_100_2!L19</f>
        <v>-0.23896600000000001</v>
      </c>
      <c r="O20">
        <f>[16]gpt4omini_single_100_2!L19</f>
        <v>-2.9763000000000001E-2</v>
      </c>
      <c r="P20">
        <f>[17]gpt4omini_single_100_2!L19</f>
        <v>-0.11808399999999999</v>
      </c>
      <c r="Q20" s="24"/>
      <c r="R20" s="11">
        <f>[18]gpt4omini_single_100_2!L19</f>
        <v>-4.4337000000000001E-2</v>
      </c>
      <c r="S20">
        <v>17</v>
      </c>
      <c r="T20">
        <f>[15]gpt4omini_single_60_2!L19</f>
        <v>-8.4690000000000001E-2</v>
      </c>
      <c r="U20">
        <f>[16]gpt4omini_single_60_2!L19</f>
        <v>4.6861E-2</v>
      </c>
      <c r="V20">
        <f>[17]gpt4omini_single_60_2!L19</f>
        <v>4.2417999999999997E-2</v>
      </c>
      <c r="W20" s="24"/>
      <c r="X20">
        <f>[18]gpt4omini_single_60_2!L19</f>
        <v>-8.4959999999999994E-2</v>
      </c>
    </row>
    <row r="21" spans="1:24" x14ac:dyDescent="0.2">
      <c r="A21" s="12">
        <v>18</v>
      </c>
      <c r="B21">
        <f>[15]gpt4omini_single_100!L20</f>
        <v>-4.7808000000000003E-2</v>
      </c>
      <c r="C21">
        <f>[16]gpt4omini_single_100!L20</f>
        <v>7.9757999999999996E-2</v>
      </c>
      <c r="D21">
        <f>[17]gpt4omini_single_100!L20</f>
        <v>0.15759300000000001</v>
      </c>
      <c r="E21" s="24"/>
      <c r="F21" s="11">
        <f>[18]gpt4omini_single_100!L20</f>
        <v>7.8348000000000001E-2</v>
      </c>
      <c r="G21">
        <v>18</v>
      </c>
      <c r="H21">
        <f>[15]gpt4omini_single_60!L20</f>
        <v>-1.9852000000000002E-2</v>
      </c>
      <c r="I21">
        <f>[16]gpt4omini_single_60!L20</f>
        <v>0.11613800000000001</v>
      </c>
      <c r="J21">
        <f>[17]gpt4omini_single_60!L20</f>
        <v>0.183809</v>
      </c>
      <c r="K21" s="24"/>
      <c r="L21">
        <f>[18]gpt4omini_single_60!L20</f>
        <v>0.11919200000000001</v>
      </c>
      <c r="M21" s="12">
        <v>18</v>
      </c>
      <c r="N21">
        <f>[15]gpt4omini_single_100_2!L20</f>
        <v>-0.24496799999999999</v>
      </c>
      <c r="O21">
        <f>[16]gpt4omini_single_100_2!L20</f>
        <v>-3.0703999999999999E-2</v>
      </c>
      <c r="P21">
        <f>[17]gpt4omini_single_100_2!L20</f>
        <v>-0.120674</v>
      </c>
      <c r="Q21" s="24"/>
      <c r="R21" s="11">
        <f>[18]gpt4omini_single_100_2!L20</f>
        <v>-7.0511000000000004E-2</v>
      </c>
      <c r="S21">
        <v>18</v>
      </c>
      <c r="T21">
        <f>[15]gpt4omini_single_60_2!L20</f>
        <v>-8.5593000000000002E-2</v>
      </c>
      <c r="U21">
        <f>[16]gpt4omini_single_60_2!L20</f>
        <v>5.2589999999999998E-2</v>
      </c>
      <c r="V21">
        <f>[17]gpt4omini_single_60_2!L20</f>
        <v>4.6328000000000001E-2</v>
      </c>
      <c r="W21" s="24"/>
      <c r="X21">
        <f>[18]gpt4omini_single_60_2!L20</f>
        <v>-8.3467E-2</v>
      </c>
    </row>
    <row r="22" spans="1:24" x14ac:dyDescent="0.2">
      <c r="A22" s="12">
        <v>19</v>
      </c>
      <c r="B22">
        <f>[15]gpt4omini_single_100!L21</f>
        <v>-9.9950000000000004E-3</v>
      </c>
      <c r="C22">
        <f>[16]gpt4omini_single_100!L21</f>
        <v>0.105588</v>
      </c>
      <c r="D22">
        <f>[17]gpt4omini_single_100!L21</f>
        <v>0.207429</v>
      </c>
      <c r="E22" s="24"/>
      <c r="F22" s="11">
        <f>[18]gpt4omini_single_100!L21</f>
        <v>9.9479999999999999E-2</v>
      </c>
      <c r="G22">
        <v>19</v>
      </c>
      <c r="H22">
        <f>[15]gpt4omini_single_60!L21</f>
        <v>-1.5192000000000001E-2</v>
      </c>
      <c r="I22">
        <f>[16]gpt4omini_single_60!L21</f>
        <v>0.121431</v>
      </c>
      <c r="J22">
        <f>[17]gpt4omini_single_60!L21</f>
        <v>0.17698700000000001</v>
      </c>
      <c r="K22" s="24"/>
      <c r="L22">
        <f>[18]gpt4omini_single_60!L21</f>
        <v>0.12002500000000001</v>
      </c>
      <c r="M22" s="12">
        <v>19</v>
      </c>
      <c r="N22">
        <f>[15]gpt4omini_single_100_2!L21</f>
        <v>-0.23341600000000001</v>
      </c>
      <c r="O22">
        <f>[16]gpt4omini_single_100_2!L21</f>
        <v>-2.134E-3</v>
      </c>
      <c r="P22">
        <f>[17]gpt4omini_single_100_2!L21</f>
        <v>-0.10580000000000001</v>
      </c>
      <c r="Q22" s="24"/>
      <c r="R22" s="11">
        <f>[18]gpt4omini_single_100_2!L21</f>
        <v>-6.6363000000000005E-2</v>
      </c>
      <c r="S22">
        <v>19</v>
      </c>
      <c r="T22">
        <f>[15]gpt4omini_single_60_2!L21</f>
        <v>-9.1720999999999997E-2</v>
      </c>
      <c r="U22">
        <f>[16]gpt4omini_single_60_2!L21</f>
        <v>6.5235000000000001E-2</v>
      </c>
      <c r="V22">
        <f>[17]gpt4omini_single_60_2!L21</f>
        <v>4.9984000000000001E-2</v>
      </c>
      <c r="W22" s="24"/>
      <c r="X22">
        <f>[18]gpt4omini_single_60_2!L21</f>
        <v>-6.2927999999999998E-2</v>
      </c>
    </row>
    <row r="23" spans="1:24" x14ac:dyDescent="0.2">
      <c r="A23" s="12">
        <v>20</v>
      </c>
      <c r="B23">
        <f>[15]gpt4omini_single_100!L22</f>
        <v>-1.9546000000000001E-2</v>
      </c>
      <c r="C23">
        <f>[16]gpt4omini_single_100!L22</f>
        <v>9.4738000000000003E-2</v>
      </c>
      <c r="D23">
        <f>[17]gpt4omini_single_100!L22</f>
        <v>0.21809500000000001</v>
      </c>
      <c r="E23" s="24"/>
      <c r="F23" s="11">
        <f>[18]gpt4omini_single_100!L22</f>
        <v>0.121929</v>
      </c>
      <c r="G23">
        <v>20</v>
      </c>
      <c r="H23">
        <f>[15]gpt4omini_single_60!L22</f>
        <v>-1.5396E-2</v>
      </c>
      <c r="I23">
        <f>[16]gpt4omini_single_60!L22</f>
        <v>0.14605000000000001</v>
      </c>
      <c r="J23">
        <f>[17]gpt4omini_single_60!L22</f>
        <v>0.20260300000000001</v>
      </c>
      <c r="K23" s="24"/>
      <c r="L23">
        <f>[18]gpt4omini_single_60!L22</f>
        <v>0.122846</v>
      </c>
      <c r="M23" s="12">
        <v>20</v>
      </c>
      <c r="N23">
        <f>[15]gpt4omini_single_100_2!L22</f>
        <v>-0.25357299999999999</v>
      </c>
      <c r="O23">
        <f>[16]gpt4omini_single_100_2!L22</f>
        <v>-1.9303000000000001E-2</v>
      </c>
      <c r="P23">
        <f>[17]gpt4omini_single_100_2!L22</f>
        <v>-0.12191200000000001</v>
      </c>
      <c r="Q23" s="24"/>
      <c r="R23" s="11">
        <f>[18]gpt4omini_single_100_2!L22</f>
        <v>-8.1600000000000006E-2</v>
      </c>
      <c r="S23">
        <v>20</v>
      </c>
      <c r="T23">
        <f>[15]gpt4omini_single_60_2!L22</f>
        <v>-9.6692E-2</v>
      </c>
      <c r="U23">
        <f>[16]gpt4omini_single_60_2!L22</f>
        <v>6.6442000000000001E-2</v>
      </c>
      <c r="V23">
        <f>[17]gpt4omini_single_60_2!L22</f>
        <v>0.106978</v>
      </c>
      <c r="W23" s="24"/>
      <c r="X23">
        <f>[18]gpt4omini_single_60_2!L22</f>
        <v>-6.5511E-2</v>
      </c>
    </row>
    <row r="24" spans="1:24" x14ac:dyDescent="0.2">
      <c r="A24" s="12">
        <v>21</v>
      </c>
      <c r="B24">
        <f>[15]gpt4omini_single_100!L23</f>
        <v>-1.6983999999999999E-2</v>
      </c>
      <c r="C24">
        <f>[16]gpt4omini_single_100!L23</f>
        <v>0.102505</v>
      </c>
      <c r="D24">
        <f>[17]gpt4omini_single_100!L23</f>
        <v>0.23571700000000001</v>
      </c>
      <c r="E24" s="24"/>
      <c r="F24" s="11">
        <f>[18]gpt4omini_single_100!L23</f>
        <v>0.12825</v>
      </c>
      <c r="G24">
        <v>21</v>
      </c>
      <c r="H24">
        <f>[15]gpt4omini_single_60!L23</f>
        <v>-1.6372000000000001E-2</v>
      </c>
      <c r="I24">
        <f>[16]gpt4omini_single_60!L23</f>
        <v>0.15310299999999999</v>
      </c>
      <c r="J24">
        <f>[17]gpt4omini_single_60!L23</f>
        <v>0.211426</v>
      </c>
      <c r="K24" s="24"/>
      <c r="L24">
        <f>[18]gpt4omini_single_60!L23</f>
        <v>0.12628800000000001</v>
      </c>
      <c r="M24" s="12">
        <v>21</v>
      </c>
      <c r="N24">
        <f>[15]gpt4omini_single_100_2!L23</f>
        <v>-0.25907200000000002</v>
      </c>
      <c r="O24">
        <f>[16]gpt4omini_single_100_2!L23</f>
        <v>-2.4183E-2</v>
      </c>
      <c r="P24">
        <f>[17]gpt4omini_single_100_2!L23</f>
        <v>-0.123206</v>
      </c>
      <c r="Q24" s="24"/>
      <c r="R24" s="11">
        <f>[18]gpt4omini_single_100_2!L23</f>
        <v>-8.1842999999999999E-2</v>
      </c>
      <c r="S24">
        <v>21</v>
      </c>
      <c r="T24">
        <f>[15]gpt4omini_single_60_2!L23</f>
        <v>-0.108691</v>
      </c>
      <c r="U24">
        <f>[16]gpt4omini_single_60_2!L23</f>
        <v>6.4312999999999995E-2</v>
      </c>
      <c r="V24">
        <f>[17]gpt4omini_single_60_2!L23</f>
        <v>0.10056900000000001</v>
      </c>
      <c r="W24" s="24"/>
      <c r="X24">
        <f>[18]gpt4omini_single_60_2!L23</f>
        <v>-7.0050000000000001E-2</v>
      </c>
    </row>
    <row r="25" spans="1:24" x14ac:dyDescent="0.2">
      <c r="A25" s="12">
        <v>22</v>
      </c>
      <c r="B25">
        <f>[15]gpt4omini_single_100!L24</f>
        <v>-1.0315E-2</v>
      </c>
      <c r="C25">
        <f>[16]gpt4omini_single_100!L24</f>
        <v>0.11047999999999999</v>
      </c>
      <c r="D25">
        <f>[17]gpt4omini_single_100!L24</f>
        <v>0.239872</v>
      </c>
      <c r="E25" s="24"/>
      <c r="F25" s="11">
        <f>[18]gpt4omini_single_100!L24</f>
        <v>0.134685</v>
      </c>
      <c r="G25">
        <v>22</v>
      </c>
      <c r="H25">
        <f>[15]gpt4omini_single_60!L24</f>
        <v>-1.6806000000000001E-2</v>
      </c>
      <c r="I25">
        <f>[16]gpt4omini_single_60!L24</f>
        <v>0.15758900000000001</v>
      </c>
      <c r="J25">
        <f>[17]gpt4omini_single_60!L24</f>
        <v>0.21424499999999999</v>
      </c>
      <c r="K25" s="24"/>
      <c r="L25">
        <f>[18]gpt4omini_single_60!L24</f>
        <v>0.134578</v>
      </c>
      <c r="M25" s="12">
        <v>22</v>
      </c>
      <c r="N25">
        <f>[15]gpt4omini_single_100_2!L24</f>
        <v>-0.25227899999999998</v>
      </c>
      <c r="O25">
        <f>[16]gpt4omini_single_100_2!L24</f>
        <v>-2.3046000000000001E-2</v>
      </c>
      <c r="P25">
        <f>[17]gpt4omini_single_100_2!L24</f>
        <v>-0.12420100000000001</v>
      </c>
      <c r="Q25" s="24"/>
      <c r="R25" s="11">
        <f>[18]gpt4omini_single_100_2!L24</f>
        <v>-6.9436999999999999E-2</v>
      </c>
      <c r="S25">
        <v>22</v>
      </c>
      <c r="T25">
        <f>[15]gpt4omini_single_60_2!L24</f>
        <v>-0.113274</v>
      </c>
      <c r="U25">
        <f>[16]gpt4omini_single_60_2!L24</f>
        <v>6.9587999999999997E-2</v>
      </c>
      <c r="V25">
        <f>[17]gpt4omini_single_60_2!L24</f>
        <v>0.10403999999999999</v>
      </c>
      <c r="W25" s="24"/>
      <c r="X25">
        <f>[18]gpt4omini_single_60_2!L24</f>
        <v>-7.0744000000000001E-2</v>
      </c>
    </row>
    <row r="26" spans="1:24" x14ac:dyDescent="0.2">
      <c r="A26" s="12">
        <v>23</v>
      </c>
      <c r="B26">
        <f>[15]gpt4omini_single_100!L25</f>
        <v>-2.0976000000000002E-2</v>
      </c>
      <c r="C26">
        <f>[16]gpt4omini_single_100!L25</f>
        <v>9.8691000000000001E-2</v>
      </c>
      <c r="D26">
        <f>[17]gpt4omini_single_100!L25</f>
        <v>0.23655000000000001</v>
      </c>
      <c r="E26" s="24"/>
      <c r="F26" s="11">
        <f>[18]gpt4omini_single_100!L25</f>
        <v>0.122103</v>
      </c>
      <c r="G26">
        <v>23</v>
      </c>
      <c r="H26">
        <f>[15]gpt4omini_single_60!L25</f>
        <v>-1.3311E-2</v>
      </c>
      <c r="I26">
        <f>[16]gpt4omini_single_60!L25</f>
        <v>0.16983699999999999</v>
      </c>
      <c r="J26">
        <f>[17]gpt4omini_single_60!L25</f>
        <v>0.221058</v>
      </c>
      <c r="K26" s="24"/>
      <c r="L26">
        <f>[18]gpt4omini_single_60!L25</f>
        <v>0.14347199999999999</v>
      </c>
      <c r="M26" s="12">
        <v>23</v>
      </c>
      <c r="N26">
        <f>[15]gpt4omini_single_100_2!L25</f>
        <v>-0.27203100000000002</v>
      </c>
      <c r="O26">
        <f>[16]gpt4omini_single_100_2!L25</f>
        <v>-5.8039E-2</v>
      </c>
      <c r="P26">
        <f>[17]gpt4omini_single_100_2!L25</f>
        <v>-0.124513</v>
      </c>
      <c r="Q26" s="24"/>
      <c r="R26" s="11">
        <f>[18]gpt4omini_single_100_2!L25</f>
        <v>-9.1236999999999999E-2</v>
      </c>
      <c r="S26">
        <v>23</v>
      </c>
      <c r="T26">
        <f>[15]gpt4omini_single_60_2!L25</f>
        <v>-0.111166</v>
      </c>
      <c r="U26">
        <f>[16]gpt4omini_single_60_2!L25</f>
        <v>8.2907999999999996E-2</v>
      </c>
      <c r="V26">
        <f>[17]gpt4omini_single_60_2!L25</f>
        <v>9.9866999999999997E-2</v>
      </c>
      <c r="W26" s="24"/>
      <c r="X26">
        <f>[18]gpt4omini_single_60_2!L25</f>
        <v>-6.9311999999999999E-2</v>
      </c>
    </row>
    <row r="27" spans="1:24" x14ac:dyDescent="0.2">
      <c r="A27" s="12">
        <v>24</v>
      </c>
      <c r="B27">
        <f>[15]gpt4omini_single_100!L26</f>
        <v>-2.0001000000000001E-2</v>
      </c>
      <c r="C27">
        <f>[16]gpt4omini_single_100!L26</f>
        <v>0.10564999999999999</v>
      </c>
      <c r="D27">
        <f>[17]gpt4omini_single_100!L26</f>
        <v>0.245362</v>
      </c>
      <c r="E27" s="24"/>
      <c r="F27" s="11">
        <f>[18]gpt4omini_single_100!L26</f>
        <v>0.13301099999999999</v>
      </c>
      <c r="G27">
        <v>24</v>
      </c>
      <c r="H27">
        <f>[15]gpt4omini_single_60!L26</f>
        <v>-1.6924000000000002E-2</v>
      </c>
      <c r="I27">
        <f>[16]gpt4omini_single_60!L26</f>
        <v>0.17802499999999999</v>
      </c>
      <c r="J27">
        <f>[17]gpt4omini_single_60!L26</f>
        <v>0.22803100000000001</v>
      </c>
      <c r="K27" s="24"/>
      <c r="L27">
        <f>[18]gpt4omini_single_60!L26</f>
        <v>0.146643</v>
      </c>
      <c r="M27" s="12">
        <v>24</v>
      </c>
      <c r="N27">
        <f>[15]gpt4omini_single_100_2!L26</f>
        <v>-0.27281100000000003</v>
      </c>
      <c r="O27">
        <f>[16]gpt4omini_single_100_2!L26</f>
        <v>-5.8484000000000001E-2</v>
      </c>
      <c r="P27">
        <f>[17]gpt4omini_single_100_2!L26</f>
        <v>-0.13206300000000001</v>
      </c>
      <c r="Q27" s="24"/>
      <c r="R27" s="11">
        <f>[18]gpt4omini_single_100_2!L26</f>
        <v>-8.7396000000000001E-2</v>
      </c>
      <c r="S27">
        <v>24</v>
      </c>
      <c r="T27">
        <f>[15]gpt4omini_single_60_2!L26</f>
        <v>-0.11551400000000001</v>
      </c>
      <c r="U27">
        <f>[16]gpt4omini_single_60_2!L26</f>
        <v>8.6197999999999997E-2</v>
      </c>
      <c r="V27">
        <f>[17]gpt4omini_single_60_2!L26</f>
        <v>0.100303</v>
      </c>
      <c r="W27" s="24"/>
      <c r="X27">
        <f>[18]gpt4omini_single_60_2!L26</f>
        <v>-6.3891000000000003E-2</v>
      </c>
    </row>
    <row r="28" spans="1:24" x14ac:dyDescent="0.2">
      <c r="A28" s="12">
        <v>25</v>
      </c>
      <c r="B28">
        <f>[15]gpt4omini_single_100!L27</f>
        <v>-1.5453E-2</v>
      </c>
      <c r="C28">
        <f>[16]gpt4omini_single_100!L27</f>
        <v>0.111945</v>
      </c>
      <c r="D28">
        <f>[17]gpt4omini_single_100!L27</f>
        <v>0.25524799999999997</v>
      </c>
      <c r="E28" s="24"/>
      <c r="F28" s="11">
        <f>[18]gpt4omini_single_100!L27</f>
        <v>0.13756299999999999</v>
      </c>
      <c r="G28">
        <v>25</v>
      </c>
      <c r="H28">
        <f>[15]gpt4omini_single_60!L27</f>
        <v>-1.5675000000000001E-2</v>
      </c>
      <c r="I28">
        <f>[16]gpt4omini_single_60!L27</f>
        <v>0.18258099999999999</v>
      </c>
      <c r="J28">
        <f>[17]gpt4omini_single_60!L27</f>
        <v>0.230237</v>
      </c>
      <c r="K28" s="24"/>
      <c r="L28">
        <f>[18]gpt4omini_single_60!L27</f>
        <v>0.149677</v>
      </c>
      <c r="M28" s="12">
        <v>25</v>
      </c>
      <c r="N28">
        <f>[15]gpt4omini_single_100_2!L27</f>
        <v>-0.27393299999999998</v>
      </c>
      <c r="O28">
        <f>[16]gpt4omini_single_100_2!L27</f>
        <v>-5.3749999999999999E-2</v>
      </c>
      <c r="P28">
        <f>[17]gpt4omini_single_100_2!L27</f>
        <v>-0.12217799999999999</v>
      </c>
      <c r="Q28" s="24"/>
      <c r="R28" s="11">
        <f>[18]gpt4omini_single_100_2!L27</f>
        <v>-7.1197999999999997E-2</v>
      </c>
      <c r="S28">
        <v>25</v>
      </c>
      <c r="T28">
        <f>[15]gpt4omini_single_60_2!L27</f>
        <v>-0.11304500000000001</v>
      </c>
      <c r="U28">
        <f>[16]gpt4omini_single_60_2!L27</f>
        <v>6.9441000000000003E-2</v>
      </c>
      <c r="V28">
        <f>[17]gpt4omini_single_60_2!L27</f>
        <v>0.112958</v>
      </c>
      <c r="W28" s="24"/>
      <c r="X28">
        <f>[18]gpt4omini_single_60_2!L27</f>
        <v>-7.9338000000000006E-2</v>
      </c>
    </row>
    <row r="29" spans="1:24" x14ac:dyDescent="0.2">
      <c r="A29" s="12">
        <v>26</v>
      </c>
      <c r="B29">
        <f>[15]gpt4omini_single_100!L28</f>
        <v>-6.1479999999999998E-3</v>
      </c>
      <c r="C29">
        <f>[16]gpt4omini_single_100!L28</f>
        <v>0.115171</v>
      </c>
      <c r="D29">
        <f>[17]gpt4omini_single_100!L28</f>
        <v>0.26035799999999998</v>
      </c>
      <c r="E29" s="24"/>
      <c r="F29" s="11">
        <f>[18]gpt4omini_single_100!L28</f>
        <v>0.14235100000000001</v>
      </c>
      <c r="G29">
        <v>26</v>
      </c>
      <c r="H29">
        <f>[15]gpt4omini_single_60!L28</f>
        <v>-1.5442000000000001E-2</v>
      </c>
      <c r="I29">
        <f>[16]gpt4omini_single_60!L28</f>
        <v>0.18820799999999999</v>
      </c>
      <c r="J29">
        <f>[17]gpt4omini_single_60!L28</f>
        <v>0.23192599999999999</v>
      </c>
      <c r="K29" s="24"/>
      <c r="L29">
        <f>[18]gpt4omini_single_60!L28</f>
        <v>0.15146999999999999</v>
      </c>
      <c r="M29" s="12">
        <v>26</v>
      </c>
      <c r="N29">
        <f>[15]gpt4omini_single_100_2!L28</f>
        <v>-0.26982600000000001</v>
      </c>
      <c r="O29">
        <f>[16]gpt4omini_single_100_2!L28</f>
        <v>-4.8759999999999998E-2</v>
      </c>
      <c r="P29">
        <f>[17]gpt4omini_single_100_2!L28</f>
        <v>-0.116713</v>
      </c>
      <c r="Q29" s="24"/>
      <c r="R29" s="11">
        <f>[18]gpt4omini_single_100_2!L28</f>
        <v>-7.0037000000000002E-2</v>
      </c>
      <c r="S29">
        <v>26</v>
      </c>
      <c r="T29">
        <f>[15]gpt4omini_single_60_2!L28</f>
        <v>-0.11397400000000001</v>
      </c>
      <c r="U29">
        <f>[16]gpt4omini_single_60_2!L28</f>
        <v>6.9395999999999999E-2</v>
      </c>
      <c r="V29">
        <f>[17]gpt4omini_single_60_2!L28</f>
        <v>0.113561</v>
      </c>
      <c r="W29" s="24"/>
      <c r="X29">
        <f>[18]gpt4omini_single_60_2!L28</f>
        <v>-8.0643999999999993E-2</v>
      </c>
    </row>
    <row r="30" spans="1:24" x14ac:dyDescent="0.2">
      <c r="A30" s="12">
        <v>27</v>
      </c>
      <c r="B30">
        <f>[15]gpt4omini_single_100!L29</f>
        <v>-3.323E-3</v>
      </c>
      <c r="C30">
        <f>[16]gpt4omini_single_100!L29</f>
        <v>0.117871</v>
      </c>
      <c r="D30">
        <f>[17]gpt4omini_single_100!L29</f>
        <v>0.26405899999999999</v>
      </c>
      <c r="E30" s="24"/>
      <c r="F30" s="11">
        <f>[18]gpt4omini_single_100!L29</f>
        <v>0.154672</v>
      </c>
      <c r="G30">
        <v>27</v>
      </c>
      <c r="H30">
        <f>[15]gpt4omini_single_60!L29</f>
        <v>-1.8315000000000001E-2</v>
      </c>
      <c r="I30">
        <f>[16]gpt4omini_single_60!L29</f>
        <v>0.202094</v>
      </c>
      <c r="J30">
        <f>[17]gpt4omini_single_60!L29</f>
        <v>0.26610400000000001</v>
      </c>
      <c r="K30" s="24"/>
      <c r="L30">
        <f>[18]gpt4omini_single_60!L29</f>
        <v>0.147398</v>
      </c>
      <c r="M30" s="12">
        <v>27</v>
      </c>
      <c r="N30">
        <f>[15]gpt4omini_single_100_2!L29</f>
        <v>-0.26701900000000001</v>
      </c>
      <c r="O30">
        <f>[16]gpt4omini_single_100_2!L29</f>
        <v>-4.6587999999999997E-2</v>
      </c>
      <c r="P30">
        <f>[17]gpt4omini_single_100_2!L29</f>
        <v>-0.10473300000000001</v>
      </c>
      <c r="Q30" s="24"/>
      <c r="R30" s="11">
        <f>[18]gpt4omini_single_100_2!L29</f>
        <v>-6.7646999999999999E-2</v>
      </c>
      <c r="S30">
        <v>27</v>
      </c>
      <c r="T30">
        <f>[15]gpt4omini_single_60_2!L29</f>
        <v>-0.121244</v>
      </c>
      <c r="U30">
        <f>[16]gpt4omini_single_60_2!L29</f>
        <v>6.9236000000000006E-2</v>
      </c>
      <c r="V30">
        <f>[17]gpt4omini_single_60_2!L29</f>
        <v>0.11665</v>
      </c>
      <c r="W30" s="24"/>
      <c r="X30">
        <f>[18]gpt4omini_single_60_2!L29</f>
        <v>-6.0114000000000001E-2</v>
      </c>
    </row>
    <row r="31" spans="1:24" x14ac:dyDescent="0.2">
      <c r="A31" s="12">
        <v>28</v>
      </c>
      <c r="B31">
        <f>[15]gpt4omini_single_100!L30</f>
        <v>-4.5000000000000003E-5</v>
      </c>
      <c r="C31">
        <f>[16]gpt4omini_single_100!L30</f>
        <v>0.120675</v>
      </c>
      <c r="D31">
        <f>[17]gpt4omini_single_100!L30</f>
        <v>0.269015</v>
      </c>
      <c r="E31" s="24"/>
      <c r="F31" s="11">
        <f>[18]gpt4omini_single_100!L30</f>
        <v>0.156608</v>
      </c>
      <c r="G31">
        <v>28</v>
      </c>
      <c r="H31">
        <f>[15]gpt4omini_single_60!L30</f>
        <v>-2.1115999999999999E-2</v>
      </c>
      <c r="I31">
        <f>[16]gpt4omini_single_60!L30</f>
        <v>0.204761</v>
      </c>
      <c r="J31">
        <f>[17]gpt4omini_single_60!L30</f>
        <v>0.31089</v>
      </c>
      <c r="K31" s="24"/>
      <c r="L31">
        <f>[18]gpt4omini_single_60!L30</f>
        <v>0.14494599999999999</v>
      </c>
      <c r="M31" s="12">
        <v>28</v>
      </c>
      <c r="N31">
        <f>[15]gpt4omini_single_100_2!L30</f>
        <v>-0.27003899999999997</v>
      </c>
      <c r="O31">
        <f>[16]gpt4omini_single_100_2!L30</f>
        <v>-4.7965000000000001E-2</v>
      </c>
      <c r="P31">
        <f>[17]gpt4omini_single_100_2!L30</f>
        <v>-0.117046</v>
      </c>
      <c r="Q31" s="24"/>
      <c r="R31" s="11">
        <f>[18]gpt4omini_single_100_2!L30</f>
        <v>-6.6284999999999997E-2</v>
      </c>
      <c r="S31">
        <v>28</v>
      </c>
      <c r="T31">
        <f>[15]gpt4omini_single_60_2!L30</f>
        <v>-0.14388699999999999</v>
      </c>
      <c r="U31">
        <f>[16]gpt4omini_single_60_2!L30</f>
        <v>6.7687999999999998E-2</v>
      </c>
      <c r="V31">
        <f>[17]gpt4omini_single_60_2!L30</f>
        <v>0.129966</v>
      </c>
      <c r="W31" s="24"/>
      <c r="X31">
        <f>[18]gpt4omini_single_60_2!L30</f>
        <v>-6.3538999999999998E-2</v>
      </c>
    </row>
    <row r="32" spans="1:24" x14ac:dyDescent="0.2">
      <c r="A32" s="12">
        <v>29</v>
      </c>
      <c r="B32">
        <f>[15]gpt4omini_single_100!L31</f>
        <v>6.1390000000000004E-3</v>
      </c>
      <c r="C32">
        <f>[16]gpt4omini_single_100!L31</f>
        <v>0.12311900000000001</v>
      </c>
      <c r="D32">
        <f>[17]gpt4omini_single_100!L31</f>
        <v>0.26631199999999999</v>
      </c>
      <c r="E32" s="24"/>
      <c r="F32" s="11">
        <f>[18]gpt4omini_single_100!L31</f>
        <v>0.153138</v>
      </c>
      <c r="G32">
        <v>29</v>
      </c>
      <c r="H32">
        <f>[15]gpt4omini_single_60!L31</f>
        <v>-2.5978999999999999E-2</v>
      </c>
      <c r="I32">
        <f>[16]gpt4omini_single_60!L31</f>
        <v>0.20827799999999999</v>
      </c>
      <c r="J32">
        <f>[17]gpt4omini_single_60!L31</f>
        <v>0.32564500000000002</v>
      </c>
      <c r="K32" s="24"/>
      <c r="L32">
        <f>[18]gpt4omini_single_60!L31</f>
        <v>0.14993899999999999</v>
      </c>
      <c r="M32" s="12">
        <v>29</v>
      </c>
      <c r="N32">
        <f>[15]gpt4omini_single_100_2!L31</f>
        <v>-0.27214100000000002</v>
      </c>
      <c r="O32">
        <f>[16]gpt4omini_single_100_2!L31</f>
        <v>-6.0118999999999999E-2</v>
      </c>
      <c r="P32">
        <f>[17]gpt4omini_single_100_2!L31</f>
        <v>-0.11419700000000001</v>
      </c>
      <c r="Q32" s="24"/>
      <c r="R32" s="11">
        <f>[18]gpt4omini_single_100_2!L31</f>
        <v>-6.8744E-2</v>
      </c>
      <c r="S32">
        <v>29</v>
      </c>
      <c r="T32">
        <f>[15]gpt4omini_single_60_2!L31</f>
        <v>-0.150584</v>
      </c>
      <c r="U32">
        <f>[16]gpt4omini_single_60_2!L31</f>
        <v>6.8999000000000005E-2</v>
      </c>
      <c r="V32">
        <f>[17]gpt4omini_single_60_2!L31</f>
        <v>0.13144700000000001</v>
      </c>
      <c r="W32" s="24"/>
      <c r="X32">
        <f>[18]gpt4omini_single_60_2!L31</f>
        <v>-6.7540000000000003E-2</v>
      </c>
    </row>
    <row r="33" spans="1:24" x14ac:dyDescent="0.2">
      <c r="A33" s="12">
        <v>30</v>
      </c>
      <c r="B33">
        <f>[15]gpt4omini_single_100!L32</f>
        <v>8.2279999999999992E-3</v>
      </c>
      <c r="C33">
        <f>[16]gpt4omini_single_100!L32</f>
        <v>0.127057</v>
      </c>
      <c r="D33">
        <f>[17]gpt4omini_single_100!L32</f>
        <v>0.27022499999999999</v>
      </c>
      <c r="E33" s="24"/>
      <c r="F33" s="11">
        <f>[18]gpt4omini_single_100!L32</f>
        <v>0.16160099999999999</v>
      </c>
      <c r="G33">
        <v>30</v>
      </c>
      <c r="H33">
        <f>[15]gpt4omini_single_60!L32</f>
        <v>-2.8634E-2</v>
      </c>
      <c r="I33">
        <f>[16]gpt4omini_single_60!L32</f>
        <v>0.21335699999999999</v>
      </c>
      <c r="J33">
        <f>[17]gpt4omini_single_60!L32</f>
        <v>0.33793499999999999</v>
      </c>
      <c r="K33" s="24"/>
      <c r="L33">
        <f>[18]gpt4omini_single_60!L32</f>
        <v>0.15168899999999999</v>
      </c>
      <c r="M33" s="12">
        <v>30</v>
      </c>
      <c r="N33">
        <f>[15]gpt4omini_single_100_2!L32</f>
        <v>-0.27265200000000001</v>
      </c>
      <c r="O33">
        <f>[16]gpt4omini_single_100_2!L32</f>
        <v>-6.3903000000000001E-2</v>
      </c>
      <c r="P33">
        <f>[17]gpt4omini_single_100_2!L32</f>
        <v>-0.12238400000000001</v>
      </c>
      <c r="Q33" s="24"/>
      <c r="R33" s="11">
        <f>[18]gpt4omini_single_100_2!L32</f>
        <v>-6.7201999999999998E-2</v>
      </c>
      <c r="S33">
        <v>30</v>
      </c>
      <c r="T33">
        <f>[15]gpt4omini_single_60_2!L32</f>
        <v>-0.155172</v>
      </c>
      <c r="U33">
        <f>[16]gpt4omini_single_60_2!L32</f>
        <v>6.7761000000000002E-2</v>
      </c>
      <c r="V33">
        <f>[17]gpt4omini_single_60_2!L32</f>
        <v>0.13269700000000001</v>
      </c>
      <c r="W33" s="24"/>
      <c r="X33">
        <f>[18]gpt4omini_single_60_2!L32</f>
        <v>-6.5418000000000004E-2</v>
      </c>
    </row>
    <row r="34" spans="1:24" x14ac:dyDescent="0.2">
      <c r="A34" s="12">
        <v>31</v>
      </c>
      <c r="B34">
        <f>[15]gpt4omini_single_100!L33</f>
        <v>-8.6899999999999998E-4</v>
      </c>
      <c r="C34">
        <f>[16]gpt4omini_single_100!L33</f>
        <v>0.113438</v>
      </c>
      <c r="D34">
        <f>[17]gpt4omini_single_100!L33</f>
        <v>0.23195199999999999</v>
      </c>
      <c r="E34" s="24"/>
      <c r="F34" s="11">
        <f>[18]gpt4omini_single_100!L33</f>
        <v>0.15747</v>
      </c>
      <c r="G34">
        <v>31</v>
      </c>
      <c r="H34">
        <f>[15]gpt4omini_single_60!L33</f>
        <v>-1.9130000000000001E-2</v>
      </c>
      <c r="I34">
        <f>[16]gpt4omini_single_60!L33</f>
        <v>0.218667</v>
      </c>
      <c r="J34">
        <f>[17]gpt4omini_single_60!L33</f>
        <v>0.35170499999999999</v>
      </c>
      <c r="K34" s="24"/>
      <c r="L34">
        <f>[18]gpt4omini_single_60!L33</f>
        <v>0.17899699999999999</v>
      </c>
      <c r="M34" s="12">
        <v>31</v>
      </c>
      <c r="N34">
        <f>[15]gpt4omini_single_100_2!L33</f>
        <v>-0.28332499999999999</v>
      </c>
      <c r="O34">
        <f>[16]gpt4omini_single_100_2!L33</f>
        <v>-6.8384E-2</v>
      </c>
      <c r="P34">
        <f>[17]gpt4omini_single_100_2!L33</f>
        <v>-0.119424</v>
      </c>
      <c r="Q34" s="24"/>
      <c r="R34" s="11">
        <f>[18]gpt4omini_single_100_2!L33</f>
        <v>-8.8569999999999996E-2</v>
      </c>
      <c r="S34">
        <v>31</v>
      </c>
      <c r="T34">
        <f>[15]gpt4omini_single_60_2!L33</f>
        <v>-0.145731</v>
      </c>
      <c r="U34">
        <f>[16]gpt4omini_single_60_2!L33</f>
        <v>7.1275000000000005E-2</v>
      </c>
      <c r="V34">
        <f>[17]gpt4omini_single_60_2!L33</f>
        <v>0.14937</v>
      </c>
      <c r="W34" s="24"/>
      <c r="X34">
        <f>[18]gpt4omini_single_60_2!L33</f>
        <v>-6.0206999999999997E-2</v>
      </c>
    </row>
    <row r="35" spans="1:24" x14ac:dyDescent="0.2">
      <c r="A35" s="12">
        <v>32</v>
      </c>
      <c r="B35">
        <f>[15]gpt4omini_single_100!L34</f>
        <v>-6.5259999999999997E-3</v>
      </c>
      <c r="C35">
        <f>[16]gpt4omini_single_100!L34</f>
        <v>0.117108</v>
      </c>
      <c r="D35">
        <f>[17]gpt4omini_single_100!L34</f>
        <v>0.26221</v>
      </c>
      <c r="E35" s="24"/>
      <c r="F35" s="11">
        <f>[18]gpt4omini_single_100!L34</f>
        <v>0.15455199999999999</v>
      </c>
      <c r="G35">
        <v>32</v>
      </c>
      <c r="H35">
        <f>[15]gpt4omini_single_60!L34</f>
        <v>2.9799999999999998E-4</v>
      </c>
      <c r="I35">
        <f>[16]gpt4omini_single_60!L34</f>
        <v>0.23479700000000001</v>
      </c>
      <c r="J35">
        <f>[17]gpt4omini_single_60!L34</f>
        <v>0.35990800000000001</v>
      </c>
      <c r="K35" s="24"/>
      <c r="L35">
        <f>[18]gpt4omini_single_60!L34</f>
        <v>0.19597000000000001</v>
      </c>
      <c r="M35" s="12">
        <v>32</v>
      </c>
      <c r="N35">
        <f>[15]gpt4omini_single_100_2!L34</f>
        <v>-0.28884300000000002</v>
      </c>
      <c r="O35">
        <f>[16]gpt4omini_single_100_2!L34</f>
        <v>-8.9385000000000006E-2</v>
      </c>
      <c r="P35">
        <f>[17]gpt4omini_single_100_2!L34</f>
        <v>-0.15615299999999999</v>
      </c>
      <c r="Q35" s="24"/>
      <c r="R35" s="11">
        <f>[18]gpt4omini_single_100_2!L34</f>
        <v>-7.3422000000000001E-2</v>
      </c>
      <c r="S35">
        <v>32</v>
      </c>
      <c r="T35">
        <f>[15]gpt4omini_single_60_2!L34</f>
        <v>-0.13223599999999999</v>
      </c>
      <c r="U35">
        <f>[16]gpt4omini_single_60_2!L34</f>
        <v>7.0657999999999999E-2</v>
      </c>
      <c r="V35">
        <f>[17]gpt4omini_single_60_2!L34</f>
        <v>0.14369799999999999</v>
      </c>
      <c r="W35" s="24"/>
      <c r="X35">
        <f>[18]gpt4omini_single_60_2!L34</f>
        <v>-5.7525E-2</v>
      </c>
    </row>
    <row r="36" spans="1:24" x14ac:dyDescent="0.2">
      <c r="A36" s="12">
        <v>33</v>
      </c>
      <c r="B36">
        <f>[15]gpt4omini_single_100!L35</f>
        <v>-1.1679999999999999E-2</v>
      </c>
      <c r="C36">
        <f>[16]gpt4omini_single_100!L35</f>
        <v>0.1245</v>
      </c>
      <c r="D36">
        <f>[17]gpt4omini_single_100!L35</f>
        <v>0.28851199999999999</v>
      </c>
      <c r="E36" s="24"/>
      <c r="F36" s="11">
        <f>[18]gpt4omini_single_100!L35</f>
        <v>0.164218</v>
      </c>
      <c r="G36">
        <v>33</v>
      </c>
      <c r="H36">
        <f>[15]gpt4omini_single_60!L35</f>
        <v>4.6699999999999997E-3</v>
      </c>
      <c r="I36">
        <f>[16]gpt4omini_single_60!L35</f>
        <v>0.24238899999999999</v>
      </c>
      <c r="J36">
        <f>[17]gpt4omini_single_60!L35</f>
        <v>0.37298900000000001</v>
      </c>
      <c r="K36" s="24"/>
      <c r="L36">
        <f>[18]gpt4omini_single_60!L35</f>
        <v>0.202177</v>
      </c>
      <c r="M36" s="12">
        <v>33</v>
      </c>
      <c r="N36">
        <f>[15]gpt4omini_single_100_2!L35</f>
        <v>-0.28975200000000001</v>
      </c>
      <c r="O36">
        <f>[16]gpt4omini_single_100_2!L35</f>
        <v>-7.2875999999999996E-2</v>
      </c>
      <c r="P36">
        <f>[17]gpt4omini_single_100_2!L35</f>
        <v>-0.100022</v>
      </c>
      <c r="Q36" s="24"/>
      <c r="R36" s="11">
        <f>[18]gpt4omini_single_100_2!L35</f>
        <v>-6.9649000000000003E-2</v>
      </c>
      <c r="S36">
        <v>33</v>
      </c>
      <c r="T36">
        <f>[15]gpt4omini_single_60_2!L35</f>
        <v>-0.13333900000000001</v>
      </c>
      <c r="U36">
        <f>[16]gpt4omini_single_60_2!L35</f>
        <v>7.7148999999999995E-2</v>
      </c>
      <c r="V36">
        <f>[17]gpt4omini_single_60_2!L35</f>
        <v>0.160192</v>
      </c>
      <c r="W36" s="24"/>
      <c r="X36">
        <f>[18]gpt4omini_single_60_2!L35</f>
        <v>-4.9321999999999998E-2</v>
      </c>
    </row>
    <row r="37" spans="1:24" x14ac:dyDescent="0.2">
      <c r="A37" s="12">
        <v>34</v>
      </c>
      <c r="B37">
        <f>[15]gpt4omini_single_100!L36</f>
        <v>-1.3129E-2</v>
      </c>
      <c r="C37">
        <f>[16]gpt4omini_single_100!L36</f>
        <v>0.12596099999999999</v>
      </c>
      <c r="D37">
        <f>[17]gpt4omini_single_100!L36</f>
        <v>0.301709</v>
      </c>
      <c r="E37" s="24"/>
      <c r="F37" s="11">
        <f>[18]gpt4omini_single_100!L36</f>
        <v>0.166905</v>
      </c>
      <c r="G37">
        <v>34</v>
      </c>
      <c r="H37">
        <f>[15]gpt4omini_single_60!L36</f>
        <v>3.5509999999999999E-3</v>
      </c>
      <c r="I37">
        <f>[16]gpt4omini_single_60!L36</f>
        <v>0.23803099999999999</v>
      </c>
      <c r="J37">
        <f>[17]gpt4omini_single_60!L36</f>
        <v>0.39083200000000001</v>
      </c>
      <c r="K37" s="24"/>
      <c r="L37">
        <f>[18]gpt4omini_single_60!L36</f>
        <v>0.20974899999999999</v>
      </c>
      <c r="M37" s="12">
        <v>34</v>
      </c>
      <c r="N37">
        <f>[15]gpt4omini_single_100_2!L36</f>
        <v>-0.29418</v>
      </c>
      <c r="O37">
        <f>[16]gpt4omini_single_100_2!L36</f>
        <v>-7.3363999999999999E-2</v>
      </c>
      <c r="P37">
        <f>[17]gpt4omini_single_100_2!L36</f>
        <v>-8.4437999999999999E-2</v>
      </c>
      <c r="Q37" s="24"/>
      <c r="R37" s="11">
        <f>[18]gpt4omini_single_100_2!L36</f>
        <v>-2.3807999999999999E-2</v>
      </c>
      <c r="S37">
        <v>34</v>
      </c>
      <c r="T37">
        <f>[15]gpt4omini_single_60_2!L36</f>
        <v>-0.13767599999999999</v>
      </c>
      <c r="U37">
        <f>[16]gpt4omini_single_60_2!L36</f>
        <v>8.6301000000000003E-2</v>
      </c>
      <c r="V37">
        <f>[17]gpt4omini_single_60_2!L36</f>
        <v>0.15279999999999999</v>
      </c>
      <c r="W37" s="24"/>
      <c r="X37">
        <f>[18]gpt4omini_single_60_2!L36</f>
        <v>-5.083E-2</v>
      </c>
    </row>
    <row r="38" spans="1:24" x14ac:dyDescent="0.2">
      <c r="A38" s="12">
        <v>35</v>
      </c>
      <c r="B38">
        <f>[15]gpt4omini_single_100!L37</f>
        <v>-2.3768999999999998E-2</v>
      </c>
      <c r="C38">
        <f>[16]gpt4omini_single_100!L37</f>
        <v>0.121764</v>
      </c>
      <c r="D38">
        <f>[17]gpt4omini_single_100!L37</f>
        <v>0.30737900000000001</v>
      </c>
      <c r="E38" s="24"/>
      <c r="F38" s="11">
        <f>[18]gpt4omini_single_100!L37</f>
        <v>0.16433600000000001</v>
      </c>
      <c r="G38">
        <v>35</v>
      </c>
      <c r="H38">
        <f>[15]gpt4omini_single_60!L37</f>
        <v>3.7429999999999998E-3</v>
      </c>
      <c r="I38">
        <f>[16]gpt4omini_single_60!L37</f>
        <v>0.25052799999999997</v>
      </c>
      <c r="J38">
        <f>[17]gpt4omini_single_60!L37</f>
        <v>0.393513</v>
      </c>
      <c r="K38" s="24"/>
      <c r="L38">
        <f>[18]gpt4omini_single_60!L37</f>
        <v>0.21673200000000001</v>
      </c>
      <c r="M38" s="12">
        <v>35</v>
      </c>
      <c r="N38">
        <f>[15]gpt4omini_single_100_2!L37</f>
        <v>-0.319102</v>
      </c>
      <c r="O38">
        <f>[16]gpt4omini_single_100_2!L37</f>
        <v>-9.5570000000000002E-2</v>
      </c>
      <c r="P38">
        <f>[17]gpt4omini_single_100_2!L37</f>
        <v>-5.0687999999999997E-2</v>
      </c>
      <c r="Q38" s="24"/>
      <c r="R38" s="11">
        <f>[18]gpt4omini_single_100_2!L37</f>
        <v>-2.5734E-2</v>
      </c>
      <c r="S38">
        <v>35</v>
      </c>
      <c r="T38">
        <f>[15]gpt4omini_single_60_2!L37</f>
        <v>-0.14336299999999999</v>
      </c>
      <c r="U38">
        <f>[16]gpt4omini_single_60_2!L37</f>
        <v>9.6214999999999995E-2</v>
      </c>
      <c r="V38">
        <f>[17]gpt4omini_single_60_2!L37</f>
        <v>0.15626599999999999</v>
      </c>
      <c r="W38" s="24"/>
      <c r="X38">
        <f>[18]gpt4omini_single_60_2!L37</f>
        <v>-4.8884999999999998E-2</v>
      </c>
    </row>
    <row r="39" spans="1:24" x14ac:dyDescent="0.2">
      <c r="A39" s="12">
        <v>36</v>
      </c>
      <c r="B39">
        <f>[15]gpt4omini_single_100!L38</f>
        <v>-2.8302999999999998E-2</v>
      </c>
      <c r="C39">
        <f>[16]gpt4omini_single_100!L38</f>
        <v>0.128524</v>
      </c>
      <c r="D39">
        <f>[17]gpt4omini_single_100!L38</f>
        <v>0.32834600000000003</v>
      </c>
      <c r="E39" s="24"/>
      <c r="F39" s="11">
        <f>[18]gpt4omini_single_100!L38</f>
        <v>0.18104400000000001</v>
      </c>
      <c r="G39">
        <v>36</v>
      </c>
      <c r="H39">
        <f>[15]gpt4omini_single_60!L38</f>
        <v>1.5058999999999999E-2</v>
      </c>
      <c r="I39">
        <f>[16]gpt4omini_single_60!L38</f>
        <v>0.26857599999999998</v>
      </c>
      <c r="J39">
        <f>[17]gpt4omini_single_60!L38</f>
        <v>0.387212</v>
      </c>
      <c r="K39" s="24"/>
      <c r="L39">
        <f>[18]gpt4omini_single_60!L38</f>
        <v>0.22731000000000001</v>
      </c>
      <c r="M39" s="12">
        <v>36</v>
      </c>
      <c r="N39">
        <f>[15]gpt4omini_single_100_2!L38</f>
        <v>-0.33630399999999999</v>
      </c>
      <c r="O39">
        <f>[16]gpt4omini_single_100_2!L38</f>
        <v>-0.101383</v>
      </c>
      <c r="P39">
        <f>[17]gpt4omini_single_100_2!L38</f>
        <v>-4.5097999999999999E-2</v>
      </c>
      <c r="Q39" s="24"/>
      <c r="R39" s="11">
        <f>[18]gpt4omini_single_100_2!L38</f>
        <v>-2.2145000000000001E-2</v>
      </c>
      <c r="S39">
        <v>36</v>
      </c>
      <c r="T39">
        <f>[15]gpt4omini_single_60_2!L38</f>
        <v>-0.15054300000000001</v>
      </c>
      <c r="U39">
        <f>[16]gpt4omini_single_60_2!L38</f>
        <v>0.117894</v>
      </c>
      <c r="V39">
        <f>[17]gpt4omini_single_60_2!L38</f>
        <v>0.17281099999999999</v>
      </c>
      <c r="W39" s="24"/>
      <c r="X39">
        <f>[18]gpt4omini_single_60_2!L38</f>
        <v>-3.3404999999999997E-2</v>
      </c>
    </row>
    <row r="40" spans="1:24" x14ac:dyDescent="0.2">
      <c r="A40" s="12">
        <v>37</v>
      </c>
      <c r="B40">
        <f>[15]gpt4omini_single_100!L39</f>
        <v>-2.7129E-2</v>
      </c>
      <c r="C40">
        <f>[16]gpt4omini_single_100!L39</f>
        <v>0.12557599999999999</v>
      </c>
      <c r="D40">
        <f>[17]gpt4omini_single_100!L39</f>
        <v>0.35467199999999999</v>
      </c>
      <c r="E40" s="24"/>
      <c r="F40" s="11">
        <f>[18]gpt4omini_single_100!L39</f>
        <v>0.18749399999999999</v>
      </c>
      <c r="G40">
        <v>37</v>
      </c>
      <c r="H40">
        <f>[15]gpt4omini_single_60!L39</f>
        <v>1.2654E-2</v>
      </c>
      <c r="I40">
        <f>[16]gpt4omini_single_60!L39</f>
        <v>0.27857300000000002</v>
      </c>
      <c r="J40">
        <f>[17]gpt4omini_single_60!L39</f>
        <v>0.407337</v>
      </c>
      <c r="K40" s="24"/>
      <c r="L40">
        <f>[18]gpt4omini_single_60!L39</f>
        <v>0.23808199999999999</v>
      </c>
      <c r="M40" s="12">
        <v>37</v>
      </c>
      <c r="N40">
        <f>[15]gpt4omini_single_100_2!L39</f>
        <v>-0.336092</v>
      </c>
      <c r="O40">
        <f>[16]gpt4omini_single_100_2!L39</f>
        <v>-8.2279000000000005E-2</v>
      </c>
      <c r="P40">
        <f>[17]gpt4omini_single_100_2!L39</f>
        <v>-4.2321999999999999E-2</v>
      </c>
      <c r="Q40" s="24"/>
      <c r="R40" s="11">
        <f>[18]gpt4omini_single_100_2!L39</f>
        <v>-1.4714E-2</v>
      </c>
      <c r="S40">
        <v>37</v>
      </c>
      <c r="T40">
        <f>[15]gpt4omini_single_60_2!L39</f>
        <v>-0.159526</v>
      </c>
      <c r="U40">
        <f>[16]gpt4omini_single_60_2!L39</f>
        <v>0.13295899999999999</v>
      </c>
      <c r="V40">
        <f>[17]gpt4omini_single_60_2!L39</f>
        <v>0.21596299999999999</v>
      </c>
      <c r="W40" s="24"/>
      <c r="X40">
        <f>[18]gpt4omini_single_60_2!L39</f>
        <v>-2.8153000000000001E-2</v>
      </c>
    </row>
    <row r="41" spans="1:24" x14ac:dyDescent="0.2">
      <c r="A41" s="12">
        <v>38</v>
      </c>
      <c r="B41">
        <f>[15]gpt4omini_single_100!L40</f>
        <v>-2.7827999999999999E-2</v>
      </c>
      <c r="C41">
        <f>[16]gpt4omini_single_100!L40</f>
        <v>0.128887</v>
      </c>
      <c r="D41">
        <f>[17]gpt4omini_single_100!L40</f>
        <v>0.35590699999999997</v>
      </c>
      <c r="E41" s="24"/>
      <c r="F41" s="11">
        <f>[18]gpt4omini_single_100!L40</f>
        <v>0.187498</v>
      </c>
      <c r="G41">
        <v>38</v>
      </c>
      <c r="H41">
        <f>[15]gpt4omini_single_60!L40</f>
        <v>1.3336000000000001E-2</v>
      </c>
      <c r="I41">
        <f>[16]gpt4omini_single_60!L40</f>
        <v>0.290408</v>
      </c>
      <c r="J41">
        <f>[17]gpt4omini_single_60!L40</f>
        <v>0.417406</v>
      </c>
      <c r="K41" s="24"/>
      <c r="L41">
        <f>[18]gpt4omini_single_60!L40</f>
        <v>0.24138200000000001</v>
      </c>
      <c r="M41" s="12">
        <v>38</v>
      </c>
      <c r="N41">
        <f>[15]gpt4omini_single_100_2!L40</f>
        <v>-0.34945199999999998</v>
      </c>
      <c r="O41">
        <f>[16]gpt4omini_single_100_2!L40</f>
        <v>-8.4191000000000002E-2</v>
      </c>
      <c r="P41">
        <f>[17]gpt4omini_single_100_2!L40</f>
        <v>-4.8152E-2</v>
      </c>
      <c r="Q41" s="24"/>
      <c r="R41" s="11">
        <f>[18]gpt4omini_single_100_2!L40</f>
        <v>-1.8179000000000001E-2</v>
      </c>
      <c r="S41">
        <v>38</v>
      </c>
      <c r="T41">
        <f>[15]gpt4omini_single_60_2!L40</f>
        <v>-0.163993</v>
      </c>
      <c r="U41">
        <f>[16]gpt4omini_single_60_2!L40</f>
        <v>0.14346300000000001</v>
      </c>
      <c r="V41">
        <f>[17]gpt4omini_single_60_2!L40</f>
        <v>0.23371400000000001</v>
      </c>
      <c r="W41" s="24"/>
      <c r="X41">
        <f>[18]gpt4omini_single_60_2!L40</f>
        <v>-1.5890000000000001E-2</v>
      </c>
    </row>
    <row r="42" spans="1:24" x14ac:dyDescent="0.2">
      <c r="A42" s="12">
        <v>39</v>
      </c>
      <c r="B42">
        <f>[15]gpt4omini_single_100!L41</f>
        <v>-2.6610999999999999E-2</v>
      </c>
      <c r="C42">
        <f>[16]gpt4omini_single_100!L41</f>
        <v>0.13667099999999999</v>
      </c>
      <c r="D42">
        <f>[17]gpt4omini_single_100!L41</f>
        <v>0.36472599999999999</v>
      </c>
      <c r="E42" s="24"/>
      <c r="F42" s="11">
        <f>[18]gpt4omini_single_100!L41</f>
        <v>0.20593500000000001</v>
      </c>
      <c r="G42">
        <v>39</v>
      </c>
      <c r="H42">
        <f>[15]gpt4omini_single_60!L41</f>
        <v>1.8072000000000001E-2</v>
      </c>
      <c r="I42">
        <f>[16]gpt4omini_single_60!L41</f>
        <v>0.29247499999999998</v>
      </c>
      <c r="J42">
        <f>[17]gpt4omini_single_60!L41</f>
        <v>0.41992400000000002</v>
      </c>
      <c r="K42" s="24"/>
      <c r="L42">
        <f>[18]gpt4omini_single_60!L41</f>
        <v>0.226661</v>
      </c>
      <c r="M42" s="12">
        <v>39</v>
      </c>
      <c r="N42">
        <f>[15]gpt4omini_single_100_2!L41</f>
        <v>-0.35616500000000001</v>
      </c>
      <c r="O42">
        <f>[16]gpt4omini_single_100_2!L41</f>
        <v>-8.8909000000000002E-2</v>
      </c>
      <c r="P42">
        <f>[17]gpt4omini_single_100_2!L41</f>
        <v>-3.6124999999999997E-2</v>
      </c>
      <c r="Q42" s="24"/>
      <c r="R42" s="11">
        <f>[18]gpt4omini_single_100_2!L41</f>
        <v>-1.5580999999999999E-2</v>
      </c>
      <c r="S42">
        <v>39</v>
      </c>
      <c r="T42">
        <f>[15]gpt4omini_single_60_2!L41</f>
        <v>-0.15911400000000001</v>
      </c>
      <c r="U42">
        <f>[16]gpt4omini_single_60_2!L41</f>
        <v>0.15639</v>
      </c>
      <c r="V42">
        <f>[17]gpt4omini_single_60_2!L41</f>
        <v>0.236238</v>
      </c>
      <c r="W42" s="24"/>
      <c r="X42">
        <f>[18]gpt4omini_single_60_2!L41</f>
        <v>6.0480000000000004E-3</v>
      </c>
    </row>
    <row r="43" spans="1:24" x14ac:dyDescent="0.2">
      <c r="A43" s="12">
        <v>40</v>
      </c>
      <c r="B43">
        <f>[15]gpt4omini_single_100!L42</f>
        <v>-2.7775000000000001E-2</v>
      </c>
      <c r="C43">
        <f>[16]gpt4omini_single_100!L42</f>
        <v>0.13573499999999999</v>
      </c>
      <c r="D43">
        <f>[17]gpt4omini_single_100!L42</f>
        <v>0.35811599999999999</v>
      </c>
      <c r="E43" s="24"/>
      <c r="F43" s="11">
        <f>[18]gpt4omini_single_100!L42</f>
        <v>0.20441000000000001</v>
      </c>
      <c r="G43">
        <v>40</v>
      </c>
      <c r="H43">
        <f>[15]gpt4omini_single_60!L42</f>
        <v>1.8776000000000001E-2</v>
      </c>
      <c r="I43">
        <f>[16]gpt4omini_single_60!L42</f>
        <v>0.30130200000000001</v>
      </c>
      <c r="J43">
        <f>[17]gpt4omini_single_60!L42</f>
        <v>0.44295000000000001</v>
      </c>
      <c r="K43" s="24"/>
      <c r="L43">
        <f>[18]gpt4omini_single_60!L42</f>
        <v>0.240429</v>
      </c>
      <c r="M43" s="12">
        <v>40</v>
      </c>
      <c r="N43">
        <f>[15]gpt4omini_single_100_2!L42</f>
        <v>-0.36142800000000003</v>
      </c>
      <c r="O43">
        <f>[16]gpt4omini_single_100_2!L42</f>
        <v>-0.10782</v>
      </c>
      <c r="P43">
        <f>[17]gpt4omini_single_100_2!L42</f>
        <v>-3.6865000000000002E-2</v>
      </c>
      <c r="Q43" s="24"/>
      <c r="R43" s="11">
        <f>[18]gpt4omini_single_100_2!L42</f>
        <v>-2.4909000000000001E-2</v>
      </c>
      <c r="S43">
        <v>40</v>
      </c>
      <c r="T43">
        <f>[15]gpt4omini_single_60_2!L42</f>
        <v>-0.16500400000000001</v>
      </c>
      <c r="U43">
        <f>[16]gpt4omini_single_60_2!L42</f>
        <v>0.15718599999999999</v>
      </c>
      <c r="V43">
        <f>[17]gpt4omini_single_60_2!L42</f>
        <v>0.251249</v>
      </c>
      <c r="W43" s="24"/>
      <c r="X43">
        <f>[18]gpt4omini_single_60_2!L42</f>
        <v>1.0325000000000001E-2</v>
      </c>
    </row>
    <row r="44" spans="1:24" x14ac:dyDescent="0.2">
      <c r="A44" s="12">
        <v>41</v>
      </c>
      <c r="B44">
        <f>[15]gpt4omini_single_100!L43</f>
        <v>-3.2689999999999997E-2</v>
      </c>
      <c r="C44">
        <f>[16]gpt4omini_single_100!L43</f>
        <v>0.19484899999999999</v>
      </c>
      <c r="D44">
        <f>[17]gpt4omini_single_100!L43</f>
        <v>0.41824099999999997</v>
      </c>
      <c r="E44" s="24"/>
      <c r="F44" s="11">
        <f>[18]gpt4omini_single_100!L43</f>
        <v>0.19461200000000001</v>
      </c>
      <c r="G44">
        <v>41</v>
      </c>
      <c r="H44">
        <f>[15]gpt4omini_single_60!L43</f>
        <v>1.9113999999999999E-2</v>
      </c>
      <c r="I44">
        <f>[16]gpt4omini_single_60!L43</f>
        <v>0.30486600000000003</v>
      </c>
      <c r="J44">
        <f>[17]gpt4omini_single_60!L43</f>
        <v>0.44706600000000002</v>
      </c>
      <c r="K44" s="24"/>
      <c r="L44">
        <f>[18]gpt4omini_single_60!L43</f>
        <v>0.24675800000000001</v>
      </c>
      <c r="M44" s="12">
        <v>41</v>
      </c>
      <c r="N44">
        <f>[15]gpt4omini_single_100_2!L43</f>
        <v>-0.35291699999999998</v>
      </c>
      <c r="O44">
        <f>[16]gpt4omini_single_100_2!L43</f>
        <v>-0.101594</v>
      </c>
      <c r="P44">
        <f>[17]gpt4omini_single_100_2!L43</f>
        <v>-3.2221E-2</v>
      </c>
      <c r="Q44" s="24"/>
      <c r="R44" s="11">
        <f>[18]gpt4omini_single_100_2!L43</f>
        <v>-3.0387999999999998E-2</v>
      </c>
      <c r="S44">
        <v>41</v>
      </c>
      <c r="T44">
        <f>[15]gpt4omini_single_60_2!L43</f>
        <v>-0.16710800000000001</v>
      </c>
      <c r="U44">
        <f>[16]gpt4omini_single_60_2!L43</f>
        <v>0.15993299999999999</v>
      </c>
      <c r="V44">
        <f>[17]gpt4omini_single_60_2!L43</f>
        <v>0.25251499999999999</v>
      </c>
      <c r="W44" s="24"/>
      <c r="X44">
        <f>[18]gpt4omini_single_60_2!L43</f>
        <v>1.2423E-2</v>
      </c>
    </row>
    <row r="45" spans="1:24" x14ac:dyDescent="0.2">
      <c r="A45" s="12">
        <v>42</v>
      </c>
      <c r="B45">
        <f>[15]gpt4omini_single_100!L44</f>
        <v>-3.3514000000000002E-2</v>
      </c>
      <c r="C45">
        <f>[16]gpt4omini_single_100!L44</f>
        <v>0.203815</v>
      </c>
      <c r="D45">
        <f>[17]gpt4omini_single_100!L44</f>
        <v>0.52417100000000005</v>
      </c>
      <c r="E45" s="24"/>
      <c r="F45" s="11">
        <f>[18]gpt4omini_single_100!L44</f>
        <v>0.21779200000000001</v>
      </c>
      <c r="G45">
        <v>42</v>
      </c>
      <c r="H45">
        <f>[15]gpt4omini_single_60!L44</f>
        <v>1.6187E-2</v>
      </c>
      <c r="I45">
        <f>[16]gpt4omini_single_60!L44</f>
        <v>0.293655</v>
      </c>
      <c r="J45">
        <f>[17]gpt4omini_single_60!L44</f>
        <v>0.44170199999999998</v>
      </c>
      <c r="K45" s="24"/>
      <c r="L45">
        <f>[18]gpt4omini_single_60!L44</f>
        <v>0.23421400000000001</v>
      </c>
      <c r="M45" s="12">
        <v>42</v>
      </c>
      <c r="N45">
        <f>[15]gpt4omini_single_100_2!L44</f>
        <v>-0.37003799999999998</v>
      </c>
      <c r="O45">
        <f>[16]gpt4omini_single_100_2!L44</f>
        <v>-0.124485</v>
      </c>
      <c r="P45">
        <f>[17]gpt4omini_single_100_2!L44</f>
        <v>-4.1451000000000002E-2</v>
      </c>
      <c r="Q45" s="24"/>
      <c r="R45" s="11">
        <f>[18]gpt4omini_single_100_2!L44</f>
        <v>-3.3066999999999999E-2</v>
      </c>
      <c r="S45">
        <v>42</v>
      </c>
      <c r="T45">
        <f>[15]gpt4omini_single_60_2!L44</f>
        <v>-0.178982</v>
      </c>
      <c r="U45">
        <f>[16]gpt4omini_single_60_2!L44</f>
        <v>0.169795</v>
      </c>
      <c r="V45">
        <f>[17]gpt4omini_single_60_2!L44</f>
        <v>0.23177300000000001</v>
      </c>
      <c r="W45" s="24"/>
      <c r="X45">
        <f>[18]gpt4omini_single_60_2!L44</f>
        <v>5.2290000000000001E-3</v>
      </c>
    </row>
    <row r="46" spans="1:24" x14ac:dyDescent="0.2">
      <c r="A46" s="12">
        <v>43</v>
      </c>
      <c r="B46">
        <f>[15]gpt4omini_single_100!L45</f>
        <v>-3.4667999999999997E-2</v>
      </c>
      <c r="C46">
        <f>[16]gpt4omini_single_100!L45</f>
        <v>0.200625</v>
      </c>
      <c r="D46">
        <f>[17]gpt4omini_single_100!L45</f>
        <v>0.54527300000000001</v>
      </c>
      <c r="E46" s="24"/>
      <c r="F46" s="11">
        <f>[18]gpt4omini_single_100!L45</f>
        <v>0.25856699999999999</v>
      </c>
      <c r="G46">
        <v>43</v>
      </c>
      <c r="H46">
        <f>[15]gpt4omini_single_60!L45</f>
        <v>1.6871000000000001E-2</v>
      </c>
      <c r="I46">
        <f>[16]gpt4omini_single_60!L45</f>
        <v>0.30556800000000001</v>
      </c>
      <c r="J46">
        <f>[17]gpt4omini_single_60!L45</f>
        <v>0.45934000000000003</v>
      </c>
      <c r="K46" s="24"/>
      <c r="L46">
        <f>[18]gpt4omini_single_60!L45</f>
        <v>0.236036</v>
      </c>
      <c r="M46" s="12">
        <v>43</v>
      </c>
      <c r="N46">
        <f>[15]gpt4omini_single_100_2!L45</f>
        <v>-0.37053399999999997</v>
      </c>
      <c r="O46">
        <f>[16]gpt4omini_single_100_2!L45</f>
        <v>-0.108751</v>
      </c>
      <c r="P46">
        <f>[17]gpt4omini_single_100_2!L45</f>
        <v>-4.9444000000000002E-2</v>
      </c>
      <c r="Q46" s="24"/>
      <c r="R46" s="11">
        <f>[18]gpt4omini_single_100_2!L45</f>
        <v>-3.5452999999999998E-2</v>
      </c>
      <c r="S46">
        <v>43</v>
      </c>
      <c r="T46">
        <f>[15]gpt4omini_single_60_2!L45</f>
        <v>-0.18194199999999999</v>
      </c>
      <c r="U46">
        <f>[16]gpt4omini_single_60_2!L45</f>
        <v>0.165879</v>
      </c>
      <c r="V46">
        <f>[17]gpt4omini_single_60_2!L45</f>
        <v>0.246671</v>
      </c>
      <c r="W46" s="24"/>
      <c r="X46">
        <f>[18]gpt4omini_single_60_2!L45</f>
        <v>7.5310000000000004E-3</v>
      </c>
    </row>
    <row r="47" spans="1:24" x14ac:dyDescent="0.2">
      <c r="A47" s="12">
        <v>44</v>
      </c>
      <c r="B47">
        <f>[15]gpt4omini_single_100!L46</f>
        <v>-3.5410999999999998E-2</v>
      </c>
      <c r="C47">
        <f>[16]gpt4omini_single_100!L46</f>
        <v>0.206012</v>
      </c>
      <c r="D47">
        <f>[17]gpt4omini_single_100!L46</f>
        <v>0.56424399999999997</v>
      </c>
      <c r="E47" s="24"/>
      <c r="F47" s="11">
        <f>[18]gpt4omini_single_100!L46</f>
        <v>0.266598</v>
      </c>
      <c r="G47">
        <v>44</v>
      </c>
      <c r="H47">
        <f>[15]gpt4omini_single_60!L46</f>
        <v>1.7909999999999999E-2</v>
      </c>
      <c r="I47">
        <f>[16]gpt4omini_single_60!L46</f>
        <v>0.31105100000000002</v>
      </c>
      <c r="J47">
        <f>[17]gpt4omini_single_60!L46</f>
        <v>0.473744</v>
      </c>
      <c r="K47" s="24"/>
      <c r="L47">
        <f>[18]gpt4omini_single_60!L46</f>
        <v>0.24162500000000001</v>
      </c>
      <c r="M47" s="12">
        <v>44</v>
      </c>
      <c r="N47">
        <f>[15]gpt4omini_single_100_2!L46</f>
        <v>-0.37006499999999998</v>
      </c>
      <c r="O47">
        <f>[16]gpt4omini_single_100_2!L46</f>
        <v>-0.107922</v>
      </c>
      <c r="P47">
        <f>[17]gpt4omini_single_100_2!L46</f>
        <v>-4.7035E-2</v>
      </c>
      <c r="Q47" s="24"/>
      <c r="R47" s="11">
        <f>[18]gpt4omini_single_100_2!L46</f>
        <v>-3.6070999999999999E-2</v>
      </c>
      <c r="S47">
        <v>44</v>
      </c>
      <c r="T47">
        <f>[15]gpt4omini_single_60_2!L46</f>
        <v>-0.188053</v>
      </c>
      <c r="U47">
        <f>[16]gpt4omini_single_60_2!L46</f>
        <v>0.16811000000000001</v>
      </c>
      <c r="V47">
        <f>[17]gpt4omini_single_60_2!L46</f>
        <v>0.27138400000000001</v>
      </c>
      <c r="W47" s="24"/>
      <c r="X47">
        <f>[18]gpt4omini_single_60_2!L46</f>
        <v>1.0291E-2</v>
      </c>
    </row>
    <row r="48" spans="1:24" x14ac:dyDescent="0.2">
      <c r="A48" s="12">
        <v>45</v>
      </c>
      <c r="B48">
        <f>[15]gpt4omini_single_100!L47</f>
        <v>-4.1318000000000001E-2</v>
      </c>
      <c r="C48">
        <f>[16]gpt4omini_single_100!L47</f>
        <v>0.20074800000000001</v>
      </c>
      <c r="D48">
        <f>[17]gpt4omini_single_100!L47</f>
        <v>0.57348200000000005</v>
      </c>
      <c r="E48" s="24"/>
      <c r="F48" s="11">
        <f>[18]gpt4omini_single_100!L47</f>
        <v>0.26899299999999998</v>
      </c>
      <c r="G48">
        <v>45</v>
      </c>
      <c r="H48">
        <f>[15]gpt4omini_single_60!L47</f>
        <v>1.6452000000000001E-2</v>
      </c>
      <c r="I48">
        <f>[16]gpt4omini_single_60!L47</f>
        <v>0.318602</v>
      </c>
      <c r="J48">
        <f>[17]gpt4omini_single_60!L47</f>
        <v>0.479933</v>
      </c>
      <c r="K48" s="24"/>
      <c r="L48">
        <f>[18]gpt4omini_single_60!L47</f>
        <v>0.27021699999999998</v>
      </c>
      <c r="M48" s="12">
        <v>45</v>
      </c>
      <c r="N48">
        <f>[15]gpt4omini_single_100_2!L47</f>
        <v>-0.37837100000000001</v>
      </c>
      <c r="O48">
        <f>[16]gpt4omini_single_100_2!L47</f>
        <v>-0.120559</v>
      </c>
      <c r="P48">
        <f>[17]gpt4omini_single_100_2!L47</f>
        <v>0.13907</v>
      </c>
      <c r="Q48" s="24"/>
      <c r="R48" s="11">
        <f>[18]gpt4omini_single_100_2!L47</f>
        <v>-4.7954999999999998E-2</v>
      </c>
      <c r="S48">
        <v>45</v>
      </c>
      <c r="T48">
        <f>[15]gpt4omini_single_60_2!L47</f>
        <v>-0.193605</v>
      </c>
      <c r="U48">
        <f>[16]gpt4omini_single_60_2!L47</f>
        <v>0.16908200000000001</v>
      </c>
      <c r="V48">
        <f>[17]gpt4omini_single_60_2!L47</f>
        <v>0.272901</v>
      </c>
      <c r="W48" s="24"/>
      <c r="X48">
        <f>[18]gpt4omini_single_60_2!L47</f>
        <v>2.1259E-2</v>
      </c>
    </row>
    <row r="49" spans="1:24" x14ac:dyDescent="0.2">
      <c r="A49" s="12">
        <v>46</v>
      </c>
      <c r="B49">
        <f>[15]gpt4omini_single_100!L48</f>
        <v>-4.0874000000000001E-2</v>
      </c>
      <c r="C49">
        <f>[16]gpt4omini_single_100!L48</f>
        <v>0.20503299999999999</v>
      </c>
      <c r="D49">
        <f>[17]gpt4omini_single_100!L48</f>
        <v>0.568963</v>
      </c>
      <c r="E49" s="24"/>
      <c r="F49" s="11">
        <f>[18]gpt4omini_single_100!L48</f>
        <v>0.27025700000000002</v>
      </c>
      <c r="G49">
        <v>46</v>
      </c>
      <c r="H49">
        <f>[15]gpt4omini_single_60!L48</f>
        <v>2.1552999999999999E-2</v>
      </c>
      <c r="I49">
        <f>[16]gpt4omini_single_60!L48</f>
        <v>0.31409700000000002</v>
      </c>
      <c r="J49">
        <f>[17]gpt4omini_single_60!L48</f>
        <v>0.48541800000000002</v>
      </c>
      <c r="K49" s="24"/>
      <c r="L49">
        <f>[18]gpt4omini_single_60!L48</f>
        <v>0.272453</v>
      </c>
      <c r="M49" s="12">
        <v>46</v>
      </c>
      <c r="N49">
        <f>[15]gpt4omini_single_100_2!L48</f>
        <v>-0.376747</v>
      </c>
      <c r="O49">
        <f>[16]gpt4omini_single_100_2!L48</f>
        <v>-0.114122</v>
      </c>
      <c r="P49">
        <f>[17]gpt4omini_single_100_2!L48</f>
        <v>0.15722800000000001</v>
      </c>
      <c r="Q49" s="24"/>
      <c r="R49" s="11">
        <f>[18]gpt4omini_single_100_2!L48</f>
        <v>-4.1620999999999998E-2</v>
      </c>
      <c r="S49">
        <v>46</v>
      </c>
      <c r="T49">
        <f>[15]gpt4omini_single_60_2!L48</f>
        <v>-0.19383700000000001</v>
      </c>
      <c r="U49">
        <f>[16]gpt4omini_single_60_2!L48</f>
        <v>0.17610000000000001</v>
      </c>
      <c r="V49">
        <f>[17]gpt4omini_single_60_2!L48</f>
        <v>0.27885900000000002</v>
      </c>
      <c r="W49" s="24"/>
      <c r="X49">
        <f>[18]gpt4omini_single_60_2!L48</f>
        <v>1.6043000000000002E-2</v>
      </c>
    </row>
    <row r="50" spans="1:24" x14ac:dyDescent="0.2">
      <c r="A50" s="12">
        <v>47</v>
      </c>
      <c r="B50">
        <f>[15]gpt4omini_single_100!L49</f>
        <v>-4.2936000000000002E-2</v>
      </c>
      <c r="C50">
        <f>[16]gpt4omini_single_100!L49</f>
        <v>0.202769</v>
      </c>
      <c r="D50">
        <f>[17]gpt4omini_single_100!L49</f>
        <v>0.54309099999999999</v>
      </c>
      <c r="E50" s="24"/>
      <c r="F50" s="11">
        <f>[18]gpt4omini_single_100!L49</f>
        <v>0.26859899999999998</v>
      </c>
      <c r="G50">
        <v>47</v>
      </c>
      <c r="H50">
        <f>[15]gpt4omini_single_60!L49</f>
        <v>4.7943E-2</v>
      </c>
      <c r="I50">
        <f>[16]gpt4omini_single_60!L49</f>
        <v>0.32858300000000001</v>
      </c>
      <c r="J50">
        <f>[17]gpt4omini_single_60!L49</f>
        <v>0.49768899999999999</v>
      </c>
      <c r="K50" s="24"/>
      <c r="L50">
        <f>[18]gpt4omini_single_60!L49</f>
        <v>0.29157100000000002</v>
      </c>
      <c r="M50" s="12">
        <v>47</v>
      </c>
      <c r="N50">
        <f>[15]gpt4omini_single_100_2!L49</f>
        <v>-0.38352000000000003</v>
      </c>
      <c r="O50">
        <f>[16]gpt4omini_single_100_2!L49</f>
        <v>-0.121337</v>
      </c>
      <c r="P50">
        <f>[17]gpt4omini_single_100_2!L49</f>
        <v>0.15982299999999999</v>
      </c>
      <c r="Q50" s="24"/>
      <c r="R50" s="11">
        <f>[18]gpt4omini_single_100_2!L49</f>
        <v>-4.9673000000000002E-2</v>
      </c>
      <c r="S50">
        <v>47</v>
      </c>
      <c r="T50">
        <f>[15]gpt4omini_single_60_2!L49</f>
        <v>-0.16966100000000001</v>
      </c>
      <c r="U50">
        <f>[16]gpt4omini_single_60_2!L49</f>
        <v>0.17097200000000001</v>
      </c>
      <c r="V50">
        <f>[17]gpt4omini_single_60_2!L49</f>
        <v>0.27673999999999999</v>
      </c>
      <c r="W50" s="24"/>
      <c r="X50">
        <f>[18]gpt4omini_single_60_2!L49</f>
        <v>4.7099999999999998E-3</v>
      </c>
    </row>
    <row r="51" spans="1:24" x14ac:dyDescent="0.2">
      <c r="A51" s="12">
        <v>48</v>
      </c>
      <c r="B51">
        <f>[15]gpt4omini_single_100!L50</f>
        <v>-4.0176999999999997E-2</v>
      </c>
      <c r="C51">
        <f>[16]gpt4omini_single_100!L50</f>
        <v>0.208699</v>
      </c>
      <c r="D51">
        <f>[17]gpt4omini_single_100!L50</f>
        <v>0.60112699999999997</v>
      </c>
      <c r="E51" s="24"/>
      <c r="F51" s="11">
        <f>[18]gpt4omini_single_100!L50</f>
        <v>0.26934999999999998</v>
      </c>
      <c r="G51">
        <v>48</v>
      </c>
      <c r="H51">
        <f>[15]gpt4omini_single_60!L50</f>
        <v>5.9479999999999998E-2</v>
      </c>
      <c r="I51">
        <f>[16]gpt4omini_single_60!L50</f>
        <v>0.35207500000000003</v>
      </c>
      <c r="J51">
        <f>[17]gpt4omini_single_60!L50</f>
        <v>0.52771599999999996</v>
      </c>
      <c r="K51" s="24"/>
      <c r="L51">
        <f>[18]gpt4omini_single_60!L50</f>
        <v>0.30535000000000001</v>
      </c>
      <c r="M51" s="12">
        <v>48</v>
      </c>
      <c r="N51">
        <f>[15]gpt4omini_single_100_2!L50</f>
        <v>-0.38162699999999999</v>
      </c>
      <c r="O51">
        <f>[16]gpt4omini_single_100_2!L50</f>
        <v>-0.119409</v>
      </c>
      <c r="P51">
        <f>[17]gpt4omini_single_100_2!L50</f>
        <v>0.188275</v>
      </c>
      <c r="Q51" s="24"/>
      <c r="R51" s="11">
        <f>[18]gpt4omini_single_100_2!L50</f>
        <v>-4.5301000000000001E-2</v>
      </c>
      <c r="S51">
        <v>48</v>
      </c>
      <c r="T51">
        <f>[15]gpt4omini_single_60_2!L50</f>
        <v>-0.16001599999999999</v>
      </c>
      <c r="U51">
        <f>[16]gpt4omini_single_60_2!L50</f>
        <v>0.19316</v>
      </c>
      <c r="V51">
        <f>[17]gpt4omini_single_60_2!L50</f>
        <v>0.29402499999999998</v>
      </c>
      <c r="W51" s="24"/>
      <c r="X51">
        <f>[18]gpt4omini_single_60_2!L50</f>
        <v>5.3689999999999996E-3</v>
      </c>
    </row>
    <row r="52" spans="1:24" x14ac:dyDescent="0.2">
      <c r="A52" s="12">
        <v>49</v>
      </c>
      <c r="B52">
        <f>[15]gpt4omini_single_100!L51</f>
        <v>-2.7643999999999998E-2</v>
      </c>
      <c r="C52">
        <f>[16]gpt4omini_single_100!L51</f>
        <v>0.21421899999999999</v>
      </c>
      <c r="D52">
        <f>[17]gpt4omini_single_100!L51</f>
        <v>0.61368199999999995</v>
      </c>
      <c r="E52" s="24"/>
      <c r="F52" s="11">
        <f>[18]gpt4omini_single_100!L51</f>
        <v>0.27427499999999999</v>
      </c>
      <c r="G52">
        <v>49</v>
      </c>
      <c r="H52">
        <f>[15]gpt4omini_single_60!L51</f>
        <v>6.9582000000000005E-2</v>
      </c>
      <c r="I52">
        <f>[16]gpt4omini_single_60!L51</f>
        <v>0.361321</v>
      </c>
      <c r="J52">
        <f>[17]gpt4omini_single_60!L51</f>
        <v>0.53380000000000005</v>
      </c>
      <c r="K52" s="24"/>
      <c r="L52">
        <f>[18]gpt4omini_single_60!L51</f>
        <v>0.314444</v>
      </c>
      <c r="M52" s="12">
        <v>49</v>
      </c>
      <c r="N52">
        <f>[15]gpt4omini_single_100_2!L51</f>
        <v>-0.38076399999999999</v>
      </c>
      <c r="O52">
        <f>[16]gpt4omini_single_100_2!L51</f>
        <v>-0.108686</v>
      </c>
      <c r="P52">
        <f>[17]gpt4omini_single_100_2!L51</f>
        <v>0.197606</v>
      </c>
      <c r="Q52" s="24"/>
      <c r="R52" s="11">
        <f>[18]gpt4omini_single_100_2!L51</f>
        <v>-3.6968000000000001E-2</v>
      </c>
      <c r="S52">
        <v>49</v>
      </c>
      <c r="T52">
        <f>[15]gpt4omini_single_60_2!L51</f>
        <v>-0.166495</v>
      </c>
      <c r="U52">
        <f>[16]gpt4omini_single_60_2!L51</f>
        <v>0.21457699999999999</v>
      </c>
      <c r="V52">
        <f>[17]gpt4omini_single_60_2!L51</f>
        <v>0.30153000000000002</v>
      </c>
      <c r="W52" s="24"/>
      <c r="X52">
        <f>[18]gpt4omini_single_60_2!L51</f>
        <v>1.7177000000000001E-2</v>
      </c>
    </row>
    <row r="53" spans="1:24" x14ac:dyDescent="0.2">
      <c r="A53" s="12">
        <v>50</v>
      </c>
      <c r="B53">
        <f>[15]gpt4omini_single_100!L52</f>
        <v>-3.0033000000000001E-2</v>
      </c>
      <c r="C53">
        <f>[16]gpt4omini_single_100!L52</f>
        <v>0.21872</v>
      </c>
      <c r="D53">
        <f>[17]gpt4omini_single_100!L52</f>
        <v>0.628081</v>
      </c>
      <c r="E53" s="24"/>
      <c r="F53" s="11">
        <f>[18]gpt4omini_single_100!L52</f>
        <v>0.28041300000000002</v>
      </c>
      <c r="G53">
        <v>50</v>
      </c>
      <c r="H53">
        <f>[15]gpt4omini_single_60!L52</f>
        <v>7.7757999999999994E-2</v>
      </c>
      <c r="I53">
        <f>[16]gpt4omini_single_60!L52</f>
        <v>0.379021</v>
      </c>
      <c r="J53">
        <f>[17]gpt4omini_single_60!L52</f>
        <v>0.53507899999999997</v>
      </c>
      <c r="K53" s="24"/>
      <c r="L53">
        <f>[18]gpt4omini_single_60!L52</f>
        <v>0.32400200000000001</v>
      </c>
      <c r="M53" s="12">
        <v>50</v>
      </c>
      <c r="N53">
        <f>[15]gpt4omini_single_100_2!L52</f>
        <v>-0.39067600000000002</v>
      </c>
      <c r="O53">
        <f>[16]gpt4omini_single_100_2!L52</f>
        <v>-0.114054</v>
      </c>
      <c r="P53">
        <f>[17]gpt4omini_single_100_2!L52</f>
        <v>0.19880200000000001</v>
      </c>
      <c r="Q53" s="24"/>
      <c r="R53" s="11">
        <f>[18]gpt4omini_single_100_2!L52</f>
        <v>-4.1839000000000001E-2</v>
      </c>
      <c r="S53">
        <v>50</v>
      </c>
      <c r="T53">
        <f>[15]gpt4omini_single_60_2!L52</f>
        <v>-0.173738</v>
      </c>
      <c r="U53">
        <f>[16]gpt4omini_single_60_2!L52</f>
        <v>0.221882</v>
      </c>
      <c r="V53">
        <f>[17]gpt4omini_single_60_2!L52</f>
        <v>0.29933799999999999</v>
      </c>
      <c r="W53" s="24"/>
      <c r="X53">
        <f>[18]gpt4omini_single_60_2!L52</f>
        <v>2.4181999999999999E-2</v>
      </c>
    </row>
    <row r="54" spans="1:24" x14ac:dyDescent="0.2">
      <c r="A54" s="12">
        <v>51</v>
      </c>
      <c r="B54">
        <f>[15]gpt4omini_single_100!L53</f>
        <v>-3.0138000000000002E-2</v>
      </c>
      <c r="C54">
        <f>[16]gpt4omini_single_100!L53</f>
        <v>0.225801</v>
      </c>
      <c r="D54">
        <f>[17]gpt4omini_single_100!L53</f>
        <v>0.61524699999999999</v>
      </c>
      <c r="E54" s="24"/>
      <c r="F54" s="11">
        <f>[18]gpt4omini_single_100!L53</f>
        <v>0.27512599999999998</v>
      </c>
      <c r="G54">
        <v>51</v>
      </c>
      <c r="H54">
        <f>[15]gpt4omini_single_60!L53</f>
        <v>8.6024000000000003E-2</v>
      </c>
      <c r="I54">
        <f>[16]gpt4omini_single_60!L53</f>
        <v>0.39266299999999998</v>
      </c>
      <c r="J54">
        <f>[17]gpt4omini_single_60!L53</f>
        <v>0.53901200000000005</v>
      </c>
      <c r="K54" s="24"/>
      <c r="L54">
        <f>[18]gpt4omini_single_60!L53</f>
        <v>0.34100200000000003</v>
      </c>
      <c r="M54" s="12">
        <v>51</v>
      </c>
      <c r="N54">
        <f>[15]gpt4omini_single_100_2!L53</f>
        <v>-0.39542100000000002</v>
      </c>
      <c r="O54">
        <f>[16]gpt4omini_single_100_2!L53</f>
        <v>-0.12651100000000001</v>
      </c>
      <c r="P54">
        <f>[17]gpt4omini_single_100_2!L53</f>
        <v>0.201657</v>
      </c>
      <c r="Q54" s="24"/>
      <c r="R54" s="11">
        <f>[18]gpt4omini_single_100_2!L53</f>
        <v>-4.6532999999999998E-2</v>
      </c>
      <c r="S54">
        <v>51</v>
      </c>
      <c r="T54">
        <f>[15]gpt4omini_single_60_2!L53</f>
        <v>-0.17608399999999999</v>
      </c>
      <c r="U54">
        <f>[16]gpt4omini_single_60_2!L53</f>
        <v>0.22846</v>
      </c>
      <c r="V54">
        <f>[17]gpt4omini_single_60_2!L53</f>
        <v>0.306954</v>
      </c>
      <c r="W54" s="24"/>
      <c r="X54">
        <f>[18]gpt4omini_single_60_2!L53</f>
        <v>3.3751000000000003E-2</v>
      </c>
    </row>
    <row r="55" spans="1:24" x14ac:dyDescent="0.2">
      <c r="A55" s="12">
        <v>52</v>
      </c>
      <c r="B55">
        <f>[15]gpt4omini_single_100!L54</f>
        <v>-3.3142999999999999E-2</v>
      </c>
      <c r="C55">
        <f>[16]gpt4omini_single_100!L54</f>
        <v>0.30847400000000003</v>
      </c>
      <c r="D55">
        <f>[17]gpt4omini_single_100!L54</f>
        <v>0.62869200000000003</v>
      </c>
      <c r="E55" s="24"/>
      <c r="F55" s="11">
        <f>[18]gpt4omini_single_100!L54</f>
        <v>0.26327</v>
      </c>
      <c r="G55">
        <v>52</v>
      </c>
      <c r="H55">
        <f>[15]gpt4omini_single_60!L54</f>
        <v>8.6398000000000003E-2</v>
      </c>
      <c r="I55">
        <f>[16]gpt4omini_single_60!L54</f>
        <v>0.4002</v>
      </c>
      <c r="J55">
        <f>[17]gpt4omini_single_60!L54</f>
        <v>0.55836200000000002</v>
      </c>
      <c r="K55" s="24"/>
      <c r="L55">
        <f>[18]gpt4omini_single_60!L54</f>
        <v>0.34694900000000001</v>
      </c>
      <c r="M55" s="12">
        <v>52</v>
      </c>
      <c r="N55">
        <f>[15]gpt4omini_single_100_2!L54</f>
        <v>-0.40198499999999998</v>
      </c>
      <c r="O55">
        <f>[16]gpt4omini_single_100_2!L54</f>
        <v>-0.134438</v>
      </c>
      <c r="P55">
        <f>[17]gpt4omini_single_100_2!L54</f>
        <v>0.201792</v>
      </c>
      <c r="Q55" s="24"/>
      <c r="R55" s="11">
        <f>[18]gpt4omini_single_100_2!L54</f>
        <v>-5.3275999999999997E-2</v>
      </c>
      <c r="S55">
        <v>52</v>
      </c>
      <c r="T55">
        <f>[15]gpt4omini_single_60_2!L54</f>
        <v>-0.17602000000000001</v>
      </c>
      <c r="U55">
        <f>[16]gpt4omini_single_60_2!L54</f>
        <v>0.22062399999999999</v>
      </c>
      <c r="V55">
        <f>[17]gpt4omini_single_60_2!L54</f>
        <v>0.30890600000000001</v>
      </c>
      <c r="W55" s="24"/>
      <c r="X55">
        <f>[18]gpt4omini_single_60_2!L54</f>
        <v>2.2776999999999999E-2</v>
      </c>
    </row>
    <row r="56" spans="1:24" x14ac:dyDescent="0.2">
      <c r="A56" s="12">
        <v>53</v>
      </c>
      <c r="B56">
        <f>[15]gpt4omini_single_100!L55</f>
        <v>2.2374999999999999E-2</v>
      </c>
      <c r="C56">
        <f>[16]gpt4omini_single_100!L55</f>
        <v>0.28419699999999998</v>
      </c>
      <c r="D56">
        <f>[17]gpt4omini_single_100!L55</f>
        <v>0.64075099999999996</v>
      </c>
      <c r="E56" s="24"/>
      <c r="F56" s="11">
        <f>[18]gpt4omini_single_100!L55</f>
        <v>0.26173299999999999</v>
      </c>
      <c r="G56">
        <v>53</v>
      </c>
      <c r="H56">
        <f>[15]gpt4omini_single_60!L55</f>
        <v>8.9302000000000006E-2</v>
      </c>
      <c r="I56">
        <f>[16]gpt4omini_single_60!L55</f>
        <v>0.39915800000000001</v>
      </c>
      <c r="J56">
        <f>[17]gpt4omini_single_60!L55</f>
        <v>0.55698099999999995</v>
      </c>
      <c r="K56" s="24"/>
      <c r="L56">
        <f>[18]gpt4omini_single_60!L55</f>
        <v>0.356906</v>
      </c>
      <c r="M56" s="12">
        <v>53</v>
      </c>
      <c r="N56">
        <f>[15]gpt4omini_single_100_2!L55</f>
        <v>-0.31186000000000003</v>
      </c>
      <c r="O56">
        <f>[16]gpt4omini_single_100_2!L55</f>
        <v>-8.6398000000000003E-2</v>
      </c>
      <c r="P56">
        <f>[17]gpt4omini_single_100_2!L55</f>
        <v>0.20293800000000001</v>
      </c>
      <c r="Q56" s="24"/>
      <c r="R56" s="11">
        <f>[18]gpt4omini_single_100_2!L55</f>
        <v>-5.2669000000000001E-2</v>
      </c>
      <c r="S56">
        <v>53</v>
      </c>
      <c r="T56">
        <f>[15]gpt4omini_single_60_2!L55</f>
        <v>-0.16924</v>
      </c>
      <c r="U56">
        <f>[16]gpt4omini_single_60_2!L55</f>
        <v>0.22093099999999999</v>
      </c>
      <c r="V56">
        <f>[17]gpt4omini_single_60_2!L55</f>
        <v>0.31252999999999997</v>
      </c>
      <c r="W56" s="24"/>
      <c r="X56">
        <f>[18]gpt4omini_single_60_2!L55</f>
        <v>1.6343E-2</v>
      </c>
    </row>
    <row r="57" spans="1:24" x14ac:dyDescent="0.2">
      <c r="A57" s="12">
        <v>54</v>
      </c>
      <c r="B57">
        <f>[15]gpt4omini_single_100!L56</f>
        <v>2.5929000000000001E-2</v>
      </c>
      <c r="C57">
        <f>[16]gpt4omini_single_100!L56</f>
        <v>0.33141500000000002</v>
      </c>
      <c r="D57">
        <f>[17]gpt4omini_single_100!L56</f>
        <v>0.70641600000000004</v>
      </c>
      <c r="E57" s="24"/>
      <c r="F57" s="11">
        <f>[18]gpt4omini_single_100!L56</f>
        <v>0.28088000000000002</v>
      </c>
      <c r="G57">
        <v>54</v>
      </c>
      <c r="H57">
        <f>[15]gpt4omini_single_60!L56</f>
        <v>9.1867000000000004E-2</v>
      </c>
      <c r="I57">
        <f>[16]gpt4omini_single_60!L56</f>
        <v>0.39275900000000002</v>
      </c>
      <c r="J57">
        <f>[17]gpt4omini_single_60!L56</f>
        <v>0.56467400000000001</v>
      </c>
      <c r="K57" s="24"/>
      <c r="L57">
        <f>[18]gpt4omini_single_60!L56</f>
        <v>0.36497099999999999</v>
      </c>
      <c r="M57" s="12">
        <v>54</v>
      </c>
      <c r="N57">
        <f>[15]gpt4omini_single_100_2!L56</f>
        <v>-0.357846</v>
      </c>
      <c r="O57">
        <f>[16]gpt4omini_single_100_2!L56</f>
        <v>-0.100436</v>
      </c>
      <c r="P57">
        <f>[17]gpt4omini_single_100_2!L56</f>
        <v>0.25480399999999997</v>
      </c>
      <c r="Q57" s="24"/>
      <c r="R57" s="11">
        <f>[18]gpt4omini_single_100_2!L56</f>
        <v>-3.5310000000000001E-2</v>
      </c>
      <c r="S57">
        <v>54</v>
      </c>
      <c r="T57">
        <f>[15]gpt4omini_single_60_2!L56</f>
        <v>-0.16928000000000001</v>
      </c>
      <c r="U57">
        <f>[16]gpt4omini_single_60_2!L56</f>
        <v>0.21768199999999999</v>
      </c>
      <c r="V57">
        <f>[17]gpt4omini_single_60_2!L56</f>
        <v>0.32294800000000001</v>
      </c>
      <c r="W57" s="24"/>
      <c r="X57">
        <f>[18]gpt4omini_single_60_2!L56</f>
        <v>2.1642000000000002E-2</v>
      </c>
    </row>
    <row r="58" spans="1:24" x14ac:dyDescent="0.2">
      <c r="A58" s="12">
        <v>55</v>
      </c>
      <c r="B58">
        <f>[15]gpt4omini_single_100!L57</f>
        <v>1.7069999999999998E-2</v>
      </c>
      <c r="C58">
        <f>[16]gpt4omini_single_100!L57</f>
        <v>0.31403799999999998</v>
      </c>
      <c r="D58">
        <f>[17]gpt4omini_single_100!L57</f>
        <v>0.69401599999999997</v>
      </c>
      <c r="E58" s="24"/>
      <c r="F58" s="11">
        <f>[18]gpt4omini_single_100!L57</f>
        <v>0.28382000000000002</v>
      </c>
      <c r="G58">
        <v>55</v>
      </c>
      <c r="H58">
        <f>[15]gpt4omini_single_60!L57</f>
        <v>9.2376E-2</v>
      </c>
      <c r="I58">
        <f>[16]gpt4omini_single_60!L57</f>
        <v>0.39822999999999997</v>
      </c>
      <c r="J58">
        <f>[17]gpt4omini_single_60!L57</f>
        <v>0.59224600000000005</v>
      </c>
      <c r="K58" s="24"/>
      <c r="L58">
        <f>[18]gpt4omini_single_60!L57</f>
        <v>0.37239299999999997</v>
      </c>
      <c r="M58" s="12">
        <v>55</v>
      </c>
      <c r="N58">
        <f>[15]gpt4omini_single_100_2!L57</f>
        <v>-0.36921700000000002</v>
      </c>
      <c r="O58">
        <f>[16]gpt4omini_single_100_2!L57</f>
        <v>-0.115412</v>
      </c>
      <c r="P58">
        <f>[17]gpt4omini_single_100_2!L57</f>
        <v>0.23674500000000001</v>
      </c>
      <c r="Q58" s="24"/>
      <c r="R58" s="11">
        <f>[18]gpt4omini_single_100_2!L57</f>
        <v>-4.4967E-2</v>
      </c>
      <c r="S58">
        <v>55</v>
      </c>
      <c r="T58">
        <f>[15]gpt4omini_single_60_2!L57</f>
        <v>-0.170852</v>
      </c>
      <c r="U58">
        <f>[16]gpt4omini_single_60_2!L57</f>
        <v>0.22333700000000001</v>
      </c>
      <c r="V58">
        <f>[17]gpt4omini_single_60_2!L57</f>
        <v>0.33123900000000001</v>
      </c>
      <c r="W58" s="24"/>
      <c r="X58">
        <f>[18]gpt4omini_single_60_2!L57</f>
        <v>1.9401000000000002E-2</v>
      </c>
    </row>
    <row r="59" spans="1:24" x14ac:dyDescent="0.2">
      <c r="A59" s="12">
        <v>56</v>
      </c>
      <c r="B59">
        <f>[15]gpt4omini_single_100!L58</f>
        <v>1.5061E-2</v>
      </c>
      <c r="C59">
        <f>[16]gpt4omini_single_100!L58</f>
        <v>0.32128899999999999</v>
      </c>
      <c r="D59">
        <f>[17]gpt4omini_single_100!L58</f>
        <v>0.76440699999999995</v>
      </c>
      <c r="E59" s="24"/>
      <c r="F59" s="11">
        <f>[18]gpt4omini_single_100!L58</f>
        <v>0.28575699999999998</v>
      </c>
      <c r="G59">
        <v>56</v>
      </c>
      <c r="H59">
        <f>[15]gpt4omini_single_60!L58</f>
        <v>9.2766000000000001E-2</v>
      </c>
      <c r="I59">
        <f>[16]gpt4omini_single_60!L58</f>
        <v>0.40564499999999998</v>
      </c>
      <c r="J59">
        <f>[17]gpt4omini_single_60!L58</f>
        <v>0.59868299999999997</v>
      </c>
      <c r="K59" s="24"/>
      <c r="L59">
        <f>[18]gpt4omini_single_60!L58</f>
        <v>0.37940800000000002</v>
      </c>
      <c r="M59" s="12">
        <v>56</v>
      </c>
      <c r="N59">
        <f>[15]gpt4omini_single_100_2!L58</f>
        <v>-0.371166</v>
      </c>
      <c r="O59">
        <f>[16]gpt4omini_single_100_2!L58</f>
        <v>-0.117686</v>
      </c>
      <c r="P59">
        <f>[17]gpt4omini_single_100_2!L58</f>
        <v>0.24781</v>
      </c>
      <c r="Q59" s="24"/>
      <c r="R59" s="11">
        <f>[18]gpt4omini_single_100_2!L58</f>
        <v>-4.7301000000000003E-2</v>
      </c>
      <c r="S59">
        <v>56</v>
      </c>
      <c r="T59">
        <f>[15]gpt4omini_single_60_2!L58</f>
        <v>-0.1729</v>
      </c>
      <c r="U59">
        <f>[16]gpt4omini_single_60_2!L58</f>
        <v>0.221831</v>
      </c>
      <c r="V59">
        <f>[17]gpt4omini_single_60_2!L58</f>
        <v>0.33818199999999998</v>
      </c>
      <c r="W59" s="24"/>
      <c r="X59">
        <f>[18]gpt4omini_single_60_2!L58</f>
        <v>2.2114000000000002E-2</v>
      </c>
    </row>
    <row r="60" spans="1:24" x14ac:dyDescent="0.2">
      <c r="A60" s="12">
        <v>57</v>
      </c>
      <c r="B60">
        <f>[15]gpt4omini_single_100!L59</f>
        <v>4.2895999999999997E-2</v>
      </c>
      <c r="C60">
        <f>[16]gpt4omini_single_100!L59</f>
        <v>0.32102700000000001</v>
      </c>
      <c r="D60">
        <f>[17]gpt4omini_single_100!L59</f>
        <v>0.75295800000000002</v>
      </c>
      <c r="E60" s="24"/>
      <c r="F60" s="11">
        <f>[18]gpt4omini_single_100!L59</f>
        <v>0.288275</v>
      </c>
      <c r="G60">
        <v>57</v>
      </c>
      <c r="H60">
        <f>[15]gpt4omini_single_60!L59</f>
        <v>8.7731000000000003E-2</v>
      </c>
      <c r="I60">
        <f>[16]gpt4omini_single_60!L59</f>
        <v>0.40190100000000001</v>
      </c>
      <c r="J60">
        <f>[17]gpt4omini_single_60!L59</f>
        <v>0.60612500000000002</v>
      </c>
      <c r="K60" s="24"/>
      <c r="L60">
        <f>[18]gpt4omini_single_60!L59</f>
        <v>0.41684599999999999</v>
      </c>
      <c r="M60" s="12">
        <v>57</v>
      </c>
      <c r="N60">
        <f>[15]gpt4omini_single_100_2!L59</f>
        <v>-0.35242000000000001</v>
      </c>
      <c r="O60">
        <f>[16]gpt4omini_single_100_2!L59</f>
        <v>-0.107598</v>
      </c>
      <c r="P60">
        <f>[17]gpt4omini_single_100_2!L59</f>
        <v>0.211752</v>
      </c>
      <c r="Q60" s="24"/>
      <c r="R60" s="11">
        <f>[18]gpt4omini_single_100_2!L59</f>
        <v>-4.6466E-2</v>
      </c>
      <c r="S60">
        <v>57</v>
      </c>
      <c r="T60">
        <f>[15]gpt4omini_single_60_2!L59</f>
        <v>-0.171263</v>
      </c>
      <c r="U60">
        <f>[16]gpt4omini_single_60_2!L59</f>
        <v>0.22576299999999999</v>
      </c>
      <c r="V60">
        <f>[17]gpt4omini_single_60_2!L59</f>
        <v>0.29375499999999999</v>
      </c>
      <c r="W60" s="24"/>
      <c r="X60">
        <f>[18]gpt4omini_single_60_2!L59</f>
        <v>2.7276000000000002E-2</v>
      </c>
    </row>
    <row r="61" spans="1:24" x14ac:dyDescent="0.2">
      <c r="A61" s="12">
        <v>58</v>
      </c>
      <c r="B61">
        <f>[15]gpt4omini_single_100!L60</f>
        <v>4.9503999999999999E-2</v>
      </c>
      <c r="C61">
        <f>[16]gpt4omini_single_100!L60</f>
        <v>0.330374</v>
      </c>
      <c r="D61">
        <f>[17]gpt4omini_single_100!L60</f>
        <v>0.792076</v>
      </c>
      <c r="E61" s="24"/>
      <c r="F61" s="11">
        <f>[18]gpt4omini_single_100!L60</f>
        <v>0.29536400000000002</v>
      </c>
      <c r="G61">
        <v>58</v>
      </c>
      <c r="H61">
        <f>[15]gpt4omini_single_60!L60</f>
        <v>9.5506999999999995E-2</v>
      </c>
      <c r="I61">
        <f>[16]gpt4omini_single_60!L60</f>
        <v>0.40599499999999999</v>
      </c>
      <c r="J61">
        <f>[17]gpt4omini_single_60!L60</f>
        <v>0.59301800000000005</v>
      </c>
      <c r="K61" s="24"/>
      <c r="L61">
        <f>[18]gpt4omini_single_60!L60</f>
        <v>0.42923899999999998</v>
      </c>
      <c r="M61" s="12">
        <v>58</v>
      </c>
      <c r="N61">
        <f>[15]gpt4omini_single_100_2!L60</f>
        <v>-0.36480899999999999</v>
      </c>
      <c r="O61">
        <f>[16]gpt4omini_single_100_2!L60</f>
        <v>-0.106504</v>
      </c>
      <c r="P61">
        <f>[17]gpt4omini_single_100_2!L60</f>
        <v>0.22250300000000001</v>
      </c>
      <c r="Q61" s="24"/>
      <c r="R61" s="11">
        <f>[18]gpt4omini_single_100_2!L60</f>
        <v>-3.4351E-2</v>
      </c>
      <c r="S61">
        <v>58</v>
      </c>
      <c r="T61">
        <f>[15]gpt4omini_single_60_2!L60</f>
        <v>-0.17676</v>
      </c>
      <c r="U61">
        <f>[16]gpt4omini_single_60_2!L60</f>
        <v>0.21896499999999999</v>
      </c>
      <c r="V61">
        <f>[17]gpt4omini_single_60_2!L60</f>
        <v>0.32080199999999998</v>
      </c>
      <c r="W61" s="24"/>
      <c r="X61">
        <f>[18]gpt4omini_single_60_2!L60</f>
        <v>3.0232999999999999E-2</v>
      </c>
    </row>
    <row r="62" spans="1:24" x14ac:dyDescent="0.2">
      <c r="A62" s="12">
        <v>59</v>
      </c>
      <c r="B62">
        <f>[15]gpt4omini_single_100!L61</f>
        <v>5.1455000000000001E-2</v>
      </c>
      <c r="C62">
        <f>[16]gpt4omini_single_100!L61</f>
        <v>0.34197100000000002</v>
      </c>
      <c r="D62">
        <f>[17]gpt4omini_single_100!L61</f>
        <v>0.77905000000000002</v>
      </c>
      <c r="E62" s="24"/>
      <c r="F62" s="11">
        <f>[18]gpt4omini_single_100!L61</f>
        <v>0.30863000000000002</v>
      </c>
      <c r="G62">
        <v>59</v>
      </c>
      <c r="H62">
        <f>[15]gpt4omini_single_60!L61</f>
        <v>9.6909999999999996E-2</v>
      </c>
      <c r="I62">
        <f>[16]gpt4omini_single_60!L61</f>
        <v>0.415765</v>
      </c>
      <c r="J62">
        <f>[17]gpt4omini_single_60!L61</f>
        <v>0.516293</v>
      </c>
      <c r="K62" s="24"/>
      <c r="L62">
        <f>[18]gpt4omini_single_60!L61</f>
        <v>0.42985299999999999</v>
      </c>
      <c r="M62" s="12">
        <v>59</v>
      </c>
      <c r="N62">
        <f>[15]gpt4omini_single_100_2!L61</f>
        <v>-0.35788700000000001</v>
      </c>
      <c r="O62">
        <f>[16]gpt4omini_single_100_2!L61</f>
        <v>-9.2794000000000001E-2</v>
      </c>
      <c r="P62">
        <f>[17]gpt4omini_single_100_2!L61</f>
        <v>0.22415599999999999</v>
      </c>
      <c r="Q62" s="24"/>
      <c r="R62" s="11">
        <f>[18]gpt4omini_single_100_2!L61</f>
        <v>-1.0470999999999999E-2</v>
      </c>
      <c r="S62">
        <v>59</v>
      </c>
      <c r="T62">
        <f>[15]gpt4omini_single_60_2!L61</f>
        <v>-0.17849899999999999</v>
      </c>
      <c r="U62">
        <f>[16]gpt4omini_single_60_2!L61</f>
        <v>0.205315</v>
      </c>
      <c r="V62">
        <f>[17]gpt4omini_single_60_2!L61</f>
        <v>0.31722800000000001</v>
      </c>
      <c r="W62" s="24"/>
      <c r="X62">
        <f>[18]gpt4omini_single_60_2!L61</f>
        <v>4.1410000000000002E-2</v>
      </c>
    </row>
    <row r="63" spans="1:24" x14ac:dyDescent="0.2">
      <c r="A63" s="12">
        <v>60</v>
      </c>
      <c r="B63">
        <f>[15]gpt4omini_single_100!L62</f>
        <v>5.8935000000000001E-2</v>
      </c>
      <c r="C63">
        <f>[16]gpt4omini_single_100!L62</f>
        <v>0.3468</v>
      </c>
      <c r="D63">
        <f>[17]gpt4omini_single_100!L62</f>
        <v>0.79566000000000003</v>
      </c>
      <c r="E63" s="24"/>
      <c r="F63" s="11">
        <f>[18]gpt4omini_single_100!L62</f>
        <v>0.32169900000000001</v>
      </c>
      <c r="G63">
        <v>60</v>
      </c>
      <c r="H63">
        <f>[15]gpt4omini_single_60!L62</f>
        <v>9.6419000000000005E-2</v>
      </c>
      <c r="I63">
        <f>[16]gpt4omini_single_60!L62</f>
        <v>0.42116999999999999</v>
      </c>
      <c r="J63">
        <f>[17]gpt4omini_single_60!L62</f>
        <v>0.60755499999999996</v>
      </c>
      <c r="K63" s="24"/>
      <c r="L63">
        <f>[18]gpt4omini_single_60!L62</f>
        <v>0.44041599999999997</v>
      </c>
      <c r="M63" s="12">
        <v>60</v>
      </c>
      <c r="N63">
        <f>[15]gpt4omini_single_100_2!L62</f>
        <v>-0.36755199999999999</v>
      </c>
      <c r="O63">
        <f>[16]gpt4omini_single_100_2!L62</f>
        <v>-6.5976000000000007E-2</v>
      </c>
      <c r="P63">
        <f>[17]gpt4omini_single_100_2!L62</f>
        <v>0.22976199999999999</v>
      </c>
      <c r="Q63" s="24"/>
      <c r="R63" s="11">
        <f>[18]gpt4omini_single_100_2!L62</f>
        <v>-8.2780000000000006E-3</v>
      </c>
      <c r="S63">
        <v>60</v>
      </c>
      <c r="T63">
        <f>[15]gpt4omini_single_60_2!L62</f>
        <v>-0.17890400000000001</v>
      </c>
      <c r="U63">
        <f>[16]gpt4omini_single_60_2!L62</f>
        <v>0.215975</v>
      </c>
      <c r="V63">
        <f>[17]gpt4omini_single_60_2!L62</f>
        <v>0.33307300000000001</v>
      </c>
      <c r="W63" s="24"/>
      <c r="X63">
        <f>[18]gpt4omini_single_60_2!L62</f>
        <v>4.7010999999999997E-2</v>
      </c>
    </row>
    <row r="64" spans="1:24" x14ac:dyDescent="0.2">
      <c r="A64" s="12">
        <v>61</v>
      </c>
      <c r="B64">
        <f>[15]gpt4omini_single_100!L63</f>
        <v>6.0699000000000003E-2</v>
      </c>
      <c r="C64">
        <f>[16]gpt4omini_single_100!L63</f>
        <v>0.36074800000000001</v>
      </c>
      <c r="D64">
        <f>[17]gpt4omini_single_100!L63</f>
        <v>0.83451600000000004</v>
      </c>
      <c r="E64" s="24"/>
      <c r="F64" s="11">
        <f>[18]gpt4omini_single_100!L63</f>
        <v>0.33740599999999998</v>
      </c>
      <c r="M64" s="12">
        <v>61</v>
      </c>
      <c r="N64">
        <f>[15]gpt4omini_single_100_2!L63</f>
        <v>-0.370091</v>
      </c>
      <c r="O64">
        <f>[16]gpt4omini_single_100_2!L63</f>
        <v>-5.2629000000000002E-2</v>
      </c>
      <c r="P64">
        <f>[17]gpt4omini_single_100_2!L63</f>
        <v>0.26876100000000003</v>
      </c>
      <c r="Q64" s="24"/>
      <c r="R64" s="11">
        <f>[18]gpt4omini_single_100_2!L63</f>
        <v>6.5032000000000006E-2</v>
      </c>
    </row>
    <row r="65" spans="1:18" x14ac:dyDescent="0.2">
      <c r="A65" s="12">
        <v>62</v>
      </c>
      <c r="B65">
        <f>[15]gpt4omini_single_100!L64</f>
        <v>6.1060000000000003E-2</v>
      </c>
      <c r="C65">
        <f>[16]gpt4omini_single_100!L64</f>
        <v>0.36591699999999999</v>
      </c>
      <c r="D65">
        <f>[17]gpt4omini_single_100!L64</f>
        <v>0.80309399999999997</v>
      </c>
      <c r="E65" s="24"/>
      <c r="F65" s="11">
        <f>[18]gpt4omini_single_100!L64</f>
        <v>0.34989399999999998</v>
      </c>
      <c r="M65" s="12">
        <v>62</v>
      </c>
      <c r="N65">
        <f>[15]gpt4omini_single_100_2!L64</f>
        <v>-0.37435400000000002</v>
      </c>
      <c r="O65">
        <f>[16]gpt4omini_single_100_2!L64</f>
        <v>-6.0479999999999999E-2</v>
      </c>
      <c r="P65">
        <f>[17]gpt4omini_single_100_2!L64</f>
        <v>0.25625999999999999</v>
      </c>
      <c r="Q65" s="24"/>
      <c r="R65" s="11">
        <f>[18]gpt4omini_single_100_2!L64</f>
        <v>9.0007000000000004E-2</v>
      </c>
    </row>
    <row r="66" spans="1:18" x14ac:dyDescent="0.2">
      <c r="A66" s="12">
        <v>63</v>
      </c>
      <c r="B66">
        <f>[15]gpt4omini_single_100!L65</f>
        <v>6.2562000000000006E-2</v>
      </c>
      <c r="C66">
        <f>[16]gpt4omini_single_100!L65</f>
        <v>0.37637999999999999</v>
      </c>
      <c r="D66">
        <f>[17]gpt4omini_single_100!L65</f>
        <v>0.85183900000000001</v>
      </c>
      <c r="E66" s="24"/>
      <c r="F66" s="11">
        <f>[18]gpt4omini_single_100!L65</f>
        <v>0.35413299999999998</v>
      </c>
      <c r="M66" s="12">
        <v>63</v>
      </c>
      <c r="N66">
        <f>[15]gpt4omini_single_100_2!L65</f>
        <v>-0.39008999999999999</v>
      </c>
      <c r="O66">
        <f>[16]gpt4omini_single_100_2!L65</f>
        <v>-6.2746999999999997E-2</v>
      </c>
      <c r="P66">
        <f>[17]gpt4omini_single_100_2!L65</f>
        <v>0.26375199999999999</v>
      </c>
      <c r="Q66" s="24"/>
      <c r="R66" s="11">
        <f>[18]gpt4omini_single_100_2!L65</f>
        <v>9.7342999999999999E-2</v>
      </c>
    </row>
    <row r="67" spans="1:18" x14ac:dyDescent="0.2">
      <c r="A67" s="12">
        <v>64</v>
      </c>
      <c r="B67">
        <f>[15]gpt4omini_single_100!L66</f>
        <v>5.9361999999999998E-2</v>
      </c>
      <c r="C67">
        <f>[16]gpt4omini_single_100!L66</f>
        <v>0.37632500000000002</v>
      </c>
      <c r="D67">
        <f>[17]gpt4omini_single_100!L66</f>
        <v>0.83539200000000002</v>
      </c>
      <c r="E67" s="24"/>
      <c r="F67" s="11">
        <f>[18]gpt4omini_single_100!L66</f>
        <v>0.35792200000000002</v>
      </c>
      <c r="M67" s="12">
        <v>64</v>
      </c>
      <c r="N67">
        <f>[15]gpt4omini_single_100_2!L66</f>
        <v>-0.39465800000000001</v>
      </c>
      <c r="O67">
        <f>[16]gpt4omini_single_100_2!L66</f>
        <v>-7.8989000000000004E-2</v>
      </c>
      <c r="P67">
        <f>[17]gpt4omini_single_100_2!L66</f>
        <v>0.26654299999999997</v>
      </c>
      <c r="Q67" s="24"/>
      <c r="R67" s="11">
        <f>[18]gpt4omini_single_100_2!L66</f>
        <v>9.9298999999999998E-2</v>
      </c>
    </row>
    <row r="68" spans="1:18" x14ac:dyDescent="0.2">
      <c r="A68" s="12">
        <v>65</v>
      </c>
      <c r="B68">
        <f>[15]gpt4omini_single_100!L67</f>
        <v>6.0379000000000002E-2</v>
      </c>
      <c r="C68">
        <f>[16]gpt4omini_single_100!L67</f>
        <v>0.38875399999999999</v>
      </c>
      <c r="D68">
        <f>[17]gpt4omini_single_100!L67</f>
        <v>0.83699699999999999</v>
      </c>
      <c r="E68" s="24"/>
      <c r="F68" s="11">
        <f>[18]gpt4omini_single_100!L67</f>
        <v>0.36774600000000002</v>
      </c>
      <c r="M68" s="12">
        <v>65</v>
      </c>
      <c r="N68">
        <f>[15]gpt4omini_single_100_2!L67</f>
        <v>-0.39640599999999998</v>
      </c>
      <c r="O68">
        <f>[16]gpt4omini_single_100_2!L67</f>
        <v>-7.6716000000000006E-2</v>
      </c>
      <c r="P68">
        <f>[17]gpt4omini_single_100_2!L67</f>
        <v>0.28671799999999997</v>
      </c>
      <c r="Q68" s="24"/>
      <c r="R68" s="11">
        <f>[18]gpt4omini_single_100_2!L67</f>
        <v>0.103052</v>
      </c>
    </row>
    <row r="69" spans="1:18" x14ac:dyDescent="0.2">
      <c r="A69" s="12">
        <v>66</v>
      </c>
      <c r="B69">
        <f>[15]gpt4omini_single_100!L68</f>
        <v>5.5715000000000001E-2</v>
      </c>
      <c r="C69">
        <f>[16]gpt4omini_single_100!L68</f>
        <v>0.37870900000000002</v>
      </c>
      <c r="D69">
        <f>[17]gpt4omini_single_100!L68</f>
        <v>0.85359700000000005</v>
      </c>
      <c r="E69" s="24"/>
      <c r="F69" s="11">
        <f>[18]gpt4omini_single_100!L68</f>
        <v>0.36287900000000001</v>
      </c>
      <c r="M69" s="12">
        <v>66</v>
      </c>
      <c r="N69">
        <f>[15]gpt4omini_single_100_2!L68</f>
        <v>-0.40073700000000001</v>
      </c>
      <c r="O69">
        <f>[16]gpt4omini_single_100_2!L68</f>
        <v>-7.2704000000000005E-2</v>
      </c>
      <c r="P69">
        <f>[17]gpt4omini_single_100_2!L68</f>
        <v>0.28758400000000001</v>
      </c>
      <c r="Q69" s="24"/>
      <c r="R69" s="11">
        <f>[18]gpt4omini_single_100_2!L68</f>
        <v>0.101243</v>
      </c>
    </row>
    <row r="70" spans="1:18" x14ac:dyDescent="0.2">
      <c r="A70" s="12">
        <v>67</v>
      </c>
      <c r="B70">
        <f>[15]gpt4omini_single_100!L69</f>
        <v>5.4317999999999998E-2</v>
      </c>
      <c r="C70">
        <f>[16]gpt4omini_single_100!L69</f>
        <v>0.40211599999999997</v>
      </c>
      <c r="D70">
        <f>[17]gpt4omini_single_100!L69</f>
        <v>0.77638200000000002</v>
      </c>
      <c r="E70" s="24"/>
      <c r="F70" s="11">
        <f>[18]gpt4omini_single_100!L69</f>
        <v>0.34908400000000001</v>
      </c>
      <c r="M70" s="12">
        <v>67</v>
      </c>
      <c r="N70">
        <f>[15]gpt4omini_single_100_2!L69</f>
        <v>-0.40597899999999998</v>
      </c>
      <c r="O70">
        <f>[16]gpt4omini_single_100_2!L69</f>
        <v>-7.5568999999999997E-2</v>
      </c>
      <c r="P70">
        <f>[17]gpt4omini_single_100_2!L69</f>
        <v>0.26672699999999999</v>
      </c>
      <c r="Q70" s="24"/>
      <c r="R70" s="11">
        <f>[18]gpt4omini_single_100_2!L69</f>
        <v>0.164497</v>
      </c>
    </row>
    <row r="71" spans="1:18" x14ac:dyDescent="0.2">
      <c r="A71" s="12">
        <v>68</v>
      </c>
      <c r="B71">
        <f>[15]gpt4omini_single_100!L70</f>
        <v>4.7593000000000003E-2</v>
      </c>
      <c r="C71">
        <f>[16]gpt4omini_single_100!L70</f>
        <v>0.40451700000000002</v>
      </c>
      <c r="D71">
        <f>[17]gpt4omini_single_100!L70</f>
        <v>0.84915099999999999</v>
      </c>
      <c r="E71" s="24"/>
      <c r="F71" s="11">
        <f>[18]gpt4omini_single_100!L70</f>
        <v>0.39050400000000002</v>
      </c>
      <c r="M71" s="12">
        <v>68</v>
      </c>
      <c r="N71">
        <f>[15]gpt4omini_single_100_2!L70</f>
        <v>-0.40537000000000001</v>
      </c>
      <c r="O71">
        <f>[16]gpt4omini_single_100_2!L70</f>
        <v>-5.7995999999999999E-2</v>
      </c>
      <c r="P71">
        <f>[17]gpt4omini_single_100_2!L70</f>
        <v>0.302259</v>
      </c>
      <c r="Q71" s="24"/>
      <c r="R71" s="11">
        <f>[18]gpt4omini_single_100_2!L70</f>
        <v>0.20089299999999999</v>
      </c>
    </row>
    <row r="72" spans="1:18" x14ac:dyDescent="0.2">
      <c r="A72" s="12">
        <v>69</v>
      </c>
      <c r="B72">
        <f>[15]gpt4omini_single_100!L71</f>
        <v>5.5515000000000002E-2</v>
      </c>
      <c r="C72">
        <f>[16]gpt4omini_single_100!L71</f>
        <v>0.416018</v>
      </c>
      <c r="D72">
        <f>[17]gpt4omini_single_100!L71</f>
        <v>0.86057700000000004</v>
      </c>
      <c r="E72" s="24"/>
      <c r="F72" s="11">
        <f>[18]gpt4omini_single_100!L71</f>
        <v>0.39076300000000003</v>
      </c>
      <c r="M72" s="12">
        <v>69</v>
      </c>
      <c r="N72">
        <f>[15]gpt4omini_single_100_2!L71</f>
        <v>-0.41119800000000001</v>
      </c>
      <c r="O72">
        <f>[16]gpt4omini_single_100_2!L71</f>
        <v>-6.0617999999999998E-2</v>
      </c>
      <c r="P72">
        <f>[17]gpt4omini_single_100_2!L71</f>
        <v>0.31739000000000001</v>
      </c>
      <c r="Q72" s="24"/>
      <c r="R72" s="11">
        <f>[18]gpt4omini_single_100_2!L71</f>
        <v>0.18611</v>
      </c>
    </row>
    <row r="73" spans="1:18" x14ac:dyDescent="0.2">
      <c r="A73" s="12">
        <v>70</v>
      </c>
      <c r="B73">
        <f>[15]gpt4omini_single_100!L72</f>
        <v>6.1539000000000003E-2</v>
      </c>
      <c r="C73">
        <f>[16]gpt4omini_single_100!L72</f>
        <v>0.42566500000000002</v>
      </c>
      <c r="D73">
        <f>[17]gpt4omini_single_100!L72</f>
        <v>0.88351100000000005</v>
      </c>
      <c r="E73" s="24"/>
      <c r="F73" s="11">
        <f>[18]gpt4omini_single_100!L72</f>
        <v>0.39830100000000002</v>
      </c>
      <c r="M73" s="12">
        <v>70</v>
      </c>
      <c r="N73">
        <f>[15]gpt4omini_single_100_2!L72</f>
        <v>-0.40496799999999999</v>
      </c>
      <c r="O73">
        <f>[16]gpt4omini_single_100_2!L72</f>
        <v>-5.9741000000000002E-2</v>
      </c>
      <c r="P73">
        <f>[17]gpt4omini_single_100_2!L72</f>
        <v>0.33816499999999999</v>
      </c>
      <c r="Q73" s="24"/>
      <c r="R73" s="11">
        <f>[18]gpt4omini_single_100_2!L72</f>
        <v>0.193436</v>
      </c>
    </row>
    <row r="74" spans="1:18" x14ac:dyDescent="0.2">
      <c r="A74" s="12">
        <v>71</v>
      </c>
      <c r="B74">
        <f>[15]gpt4omini_single_100!L73</f>
        <v>7.4592000000000006E-2</v>
      </c>
      <c r="C74">
        <f>[16]gpt4omini_single_100!L73</f>
        <v>0.42970199999999997</v>
      </c>
      <c r="D74">
        <f>[17]gpt4omini_single_100!L73</f>
        <v>0.84964399999999995</v>
      </c>
      <c r="E74" s="24"/>
      <c r="F74" s="11">
        <f>[18]gpt4omini_single_100!L73</f>
        <v>0.39166099999999998</v>
      </c>
      <c r="M74" s="12">
        <v>71</v>
      </c>
      <c r="N74">
        <f>[15]gpt4omini_single_100_2!L73</f>
        <v>-0.406694</v>
      </c>
      <c r="O74">
        <f>[16]gpt4omini_single_100_2!L73</f>
        <v>-4.3645000000000003E-2</v>
      </c>
      <c r="P74">
        <f>[17]gpt4omini_single_100_2!L73</f>
        <v>0.38055899999999998</v>
      </c>
      <c r="Q74" s="24"/>
      <c r="R74" s="11">
        <f>[18]gpt4omini_single_100_2!L73</f>
        <v>0.196163</v>
      </c>
    </row>
    <row r="75" spans="1:18" x14ac:dyDescent="0.2">
      <c r="A75" s="12">
        <v>72</v>
      </c>
      <c r="B75">
        <f>[15]gpt4omini_single_100!L74</f>
        <v>7.5323000000000001E-2</v>
      </c>
      <c r="C75">
        <f>[16]gpt4omini_single_100!L74</f>
        <v>0.44411499999999998</v>
      </c>
      <c r="D75">
        <f>[17]gpt4omini_single_100!L74</f>
        <v>0.86213700000000004</v>
      </c>
      <c r="E75" s="24"/>
      <c r="F75" s="11">
        <f>[18]gpt4omini_single_100!L74</f>
        <v>0.39939599999999997</v>
      </c>
      <c r="M75" s="12">
        <v>72</v>
      </c>
      <c r="N75">
        <f>[15]gpt4omini_single_100_2!L74</f>
        <v>-0.40088800000000002</v>
      </c>
      <c r="O75">
        <f>[16]gpt4omini_single_100_2!L74</f>
        <v>-4.1007000000000002E-2</v>
      </c>
      <c r="P75">
        <f>[17]gpt4omini_single_100_2!L74</f>
        <v>0.393405</v>
      </c>
      <c r="Q75" s="24"/>
      <c r="R75" s="11">
        <f>[18]gpt4omini_single_100_2!L74</f>
        <v>0.19935</v>
      </c>
    </row>
    <row r="76" spans="1:18" x14ac:dyDescent="0.2">
      <c r="A76" s="12">
        <v>73</v>
      </c>
      <c r="B76">
        <f>[15]gpt4omini_single_100!L75</f>
        <v>7.6046000000000002E-2</v>
      </c>
      <c r="C76">
        <f>[16]gpt4omini_single_100!L75</f>
        <v>0.44234299999999999</v>
      </c>
      <c r="D76">
        <f>[17]gpt4omini_single_100!L75</f>
        <v>0.84266300000000005</v>
      </c>
      <c r="E76" s="24"/>
      <c r="F76" s="11">
        <f>[18]gpt4omini_single_100!L75</f>
        <v>0.44464100000000001</v>
      </c>
      <c r="M76" s="12">
        <v>73</v>
      </c>
      <c r="N76">
        <f>[15]gpt4omini_single_100_2!L75</f>
        <v>-0.416018</v>
      </c>
      <c r="O76">
        <f>[16]gpt4omini_single_100_2!L75</f>
        <v>-4.2762000000000001E-2</v>
      </c>
      <c r="P76">
        <f>[17]gpt4omini_single_100_2!L75</f>
        <v>0.40965000000000001</v>
      </c>
      <c r="Q76" s="24"/>
      <c r="R76" s="11">
        <f>[18]gpt4omini_single_100_2!L75</f>
        <v>0.20510900000000001</v>
      </c>
    </row>
    <row r="77" spans="1:18" x14ac:dyDescent="0.2">
      <c r="A77" s="12">
        <v>74</v>
      </c>
      <c r="B77">
        <f>[15]gpt4omini_single_100!L76</f>
        <v>0.111319</v>
      </c>
      <c r="C77">
        <f>[16]gpt4omini_single_100!L76</f>
        <v>0.49212099999999998</v>
      </c>
      <c r="D77">
        <f>[17]gpt4omini_single_100!L76</f>
        <v>0.82652199999999998</v>
      </c>
      <c r="E77" s="24"/>
      <c r="F77" s="11">
        <f>[18]gpt4omini_single_100!L76</f>
        <v>0.44639699999999999</v>
      </c>
      <c r="M77" s="12">
        <v>74</v>
      </c>
      <c r="N77">
        <f>[15]gpt4omini_single_100_2!L76</f>
        <v>-0.43066599999999999</v>
      </c>
      <c r="O77">
        <f>[16]gpt4omini_single_100_2!L76</f>
        <v>-4.4399000000000001E-2</v>
      </c>
      <c r="P77">
        <f>[17]gpt4omini_single_100_2!L76</f>
        <v>0.43297099999999999</v>
      </c>
      <c r="Q77" s="24"/>
      <c r="R77" s="11">
        <f>[18]gpt4omini_single_100_2!L76</f>
        <v>0.207258</v>
      </c>
    </row>
    <row r="78" spans="1:18" x14ac:dyDescent="0.2">
      <c r="A78" s="12">
        <v>75</v>
      </c>
      <c r="B78">
        <f>[15]gpt4omini_single_100!L77</f>
        <v>9.5822000000000004E-2</v>
      </c>
      <c r="C78">
        <f>[16]gpt4omini_single_100!L77</f>
        <v>0.47420699999999999</v>
      </c>
      <c r="D78">
        <f>[17]gpt4omini_single_100!L77</f>
        <v>0.86860800000000005</v>
      </c>
      <c r="E78" s="24"/>
      <c r="F78" s="11">
        <f>[18]gpt4omini_single_100!L77</f>
        <v>0.49859999999999999</v>
      </c>
      <c r="M78" s="12">
        <v>75</v>
      </c>
      <c r="N78">
        <f>[15]gpt4omini_single_100_2!L77</f>
        <v>-0.44941500000000001</v>
      </c>
      <c r="O78">
        <f>[16]gpt4omini_single_100_2!L77</f>
        <v>-3.3730999999999997E-2</v>
      </c>
      <c r="P78">
        <f>[17]gpt4omini_single_100_2!L77</f>
        <v>0.39329199999999997</v>
      </c>
      <c r="Q78" s="24"/>
      <c r="R78" s="11">
        <f>[18]gpt4omini_single_100_2!L77</f>
        <v>0.19087299999999999</v>
      </c>
    </row>
    <row r="79" spans="1:18" x14ac:dyDescent="0.2">
      <c r="A79" s="12">
        <v>76</v>
      </c>
      <c r="B79">
        <f>[15]gpt4omini_single_100!L78</f>
        <v>9.8323999999999995E-2</v>
      </c>
      <c r="C79">
        <f>[16]gpt4omini_single_100!L78</f>
        <v>0.50737100000000002</v>
      </c>
      <c r="D79">
        <f>[17]gpt4omini_single_100!L78</f>
        <v>0.91643600000000003</v>
      </c>
      <c r="E79" s="24"/>
      <c r="F79" s="11">
        <f>[18]gpt4omini_single_100!L78</f>
        <v>0.52243099999999998</v>
      </c>
      <c r="M79" s="12">
        <v>76</v>
      </c>
      <c r="N79">
        <f>[15]gpt4omini_single_100_2!L78</f>
        <v>-0.45130700000000001</v>
      </c>
      <c r="O79">
        <f>[16]gpt4omini_single_100_2!L78</f>
        <v>-3.2643999999999999E-2</v>
      </c>
      <c r="P79">
        <f>[17]gpt4omini_single_100_2!L78</f>
        <v>0.40436499999999997</v>
      </c>
      <c r="Q79" s="24"/>
      <c r="R79" s="11">
        <f>[18]gpt4omini_single_100_2!L78</f>
        <v>0.21364900000000001</v>
      </c>
    </row>
    <row r="80" spans="1:18" x14ac:dyDescent="0.2">
      <c r="A80" s="12">
        <v>77</v>
      </c>
      <c r="B80">
        <f>[15]gpt4omini_single_100!L79</f>
        <v>9.3106999999999995E-2</v>
      </c>
      <c r="C80">
        <f>[16]gpt4omini_single_100!L79</f>
        <v>0.48810199999999998</v>
      </c>
      <c r="D80">
        <f>[17]gpt4omini_single_100!L79</f>
        <v>0.90746400000000005</v>
      </c>
      <c r="E80" s="24"/>
      <c r="F80" s="11">
        <f>[18]gpt4omini_single_100!L79</f>
        <v>0.51239800000000002</v>
      </c>
      <c r="M80" s="12">
        <v>77</v>
      </c>
      <c r="N80">
        <f>[15]gpt4omini_single_100_2!L79</f>
        <v>-0.46677800000000003</v>
      </c>
      <c r="O80">
        <f>[16]gpt4omini_single_100_2!L79</f>
        <v>-4.5187999999999999E-2</v>
      </c>
      <c r="P80">
        <f>[17]gpt4omini_single_100_2!L79</f>
        <v>0.390125</v>
      </c>
      <c r="Q80" s="24"/>
      <c r="R80" s="11">
        <f>[18]gpt4omini_single_100_2!L79</f>
        <v>0.18204999999999999</v>
      </c>
    </row>
    <row r="81" spans="1:18" x14ac:dyDescent="0.2">
      <c r="A81" s="12">
        <v>78</v>
      </c>
      <c r="B81">
        <f>[15]gpt4omini_single_100!L80</f>
        <v>8.8272000000000003E-2</v>
      </c>
      <c r="C81">
        <f>[16]gpt4omini_single_100!L80</f>
        <v>0.49603999999999998</v>
      </c>
      <c r="D81">
        <f>[17]gpt4omini_single_100!L80</f>
        <v>0.91834300000000002</v>
      </c>
      <c r="E81" s="24"/>
      <c r="F81" s="11">
        <f>[18]gpt4omini_single_100!L80</f>
        <v>0.510884</v>
      </c>
      <c r="M81" s="12">
        <v>78</v>
      </c>
      <c r="N81">
        <f>[15]gpt4omini_single_100_2!L80</f>
        <v>-0.473715</v>
      </c>
      <c r="O81">
        <f>[16]gpt4omini_single_100_2!L80</f>
        <v>6.6904000000000005E-2</v>
      </c>
      <c r="P81">
        <f>[17]gpt4omini_single_100_2!L80</f>
        <v>0.44877299999999998</v>
      </c>
      <c r="Q81" s="24"/>
      <c r="R81" s="11">
        <f>[18]gpt4omini_single_100_2!L80</f>
        <v>0.17768700000000001</v>
      </c>
    </row>
    <row r="82" spans="1:18" x14ac:dyDescent="0.2">
      <c r="A82" s="12">
        <v>79</v>
      </c>
      <c r="B82">
        <f>[15]gpt4omini_single_100!L81</f>
        <v>8.9530999999999999E-2</v>
      </c>
      <c r="C82">
        <f>[16]gpt4omini_single_100!L81</f>
        <v>0.53128600000000004</v>
      </c>
      <c r="D82">
        <f>[17]gpt4omini_single_100!L81</f>
        <v>0.96022799999999997</v>
      </c>
      <c r="E82" s="24"/>
      <c r="F82" s="11">
        <f>[18]gpt4omini_single_100!L81</f>
        <v>0.57789800000000002</v>
      </c>
      <c r="M82" s="12">
        <v>79</v>
      </c>
      <c r="N82">
        <f>[15]gpt4omini_single_100_2!L81</f>
        <v>-0.48229499999999997</v>
      </c>
      <c r="O82">
        <f>[16]gpt4omini_single_100_2!L81</f>
        <v>7.4081999999999995E-2</v>
      </c>
      <c r="P82">
        <f>[17]gpt4omini_single_100_2!L81</f>
        <v>0.400061</v>
      </c>
      <c r="Q82" s="24"/>
      <c r="R82" s="11">
        <f>[18]gpt4omini_single_100_2!L81</f>
        <v>0.183973</v>
      </c>
    </row>
    <row r="83" spans="1:18" x14ac:dyDescent="0.2">
      <c r="A83" s="12">
        <v>80</v>
      </c>
      <c r="B83">
        <f>[15]gpt4omini_single_100!L82</f>
        <v>0.10573399999999999</v>
      </c>
      <c r="C83">
        <f>[16]gpt4omini_single_100!L82</f>
        <v>0.54409399999999997</v>
      </c>
      <c r="D83">
        <f>[17]gpt4omini_single_100!L82</f>
        <v>0.87646500000000005</v>
      </c>
      <c r="E83" s="24"/>
      <c r="F83" s="11">
        <f>[18]gpt4omini_single_100!L82</f>
        <v>0.61836000000000002</v>
      </c>
      <c r="M83" s="12">
        <v>80</v>
      </c>
      <c r="N83">
        <f>[15]gpt4omini_single_100_2!L82</f>
        <v>-0.41634100000000002</v>
      </c>
      <c r="O83">
        <f>[16]gpt4omini_single_100_2!L82</f>
        <v>9.2656000000000002E-2</v>
      </c>
      <c r="P83">
        <f>[17]gpt4omini_single_100_2!L82</f>
        <v>0.40539199999999997</v>
      </c>
      <c r="Q83" s="24"/>
      <c r="R83" s="11">
        <f>[18]gpt4omini_single_100_2!L82</f>
        <v>0.22403000000000001</v>
      </c>
    </row>
    <row r="84" spans="1:18" x14ac:dyDescent="0.2">
      <c r="A84" s="12">
        <v>81</v>
      </c>
      <c r="B84">
        <f>[15]gpt4omini_single_100!L83</f>
        <v>0.109475</v>
      </c>
      <c r="C84">
        <f>[16]gpt4omini_single_100!L83</f>
        <v>0.54697300000000004</v>
      </c>
      <c r="D84">
        <f>[17]gpt4omini_single_100!L83</f>
        <v>0.96570500000000004</v>
      </c>
      <c r="E84" s="24"/>
      <c r="F84" s="11">
        <f>[18]gpt4omini_single_100!L83</f>
        <v>0.61916300000000002</v>
      </c>
      <c r="M84" s="12">
        <v>81</v>
      </c>
      <c r="N84">
        <f>[15]gpt4omini_single_100_2!L83</f>
        <v>-0.42707200000000001</v>
      </c>
      <c r="O84">
        <f>[16]gpt4omini_single_100_2!L83</f>
        <v>9.8668000000000006E-2</v>
      </c>
      <c r="P84">
        <f>[17]gpt4omini_single_100_2!L83</f>
        <v>0.44343300000000002</v>
      </c>
      <c r="Q84" s="24"/>
      <c r="R84" s="11">
        <f>[18]gpt4omini_single_100_2!L83</f>
        <v>0.21940100000000001</v>
      </c>
    </row>
    <row r="85" spans="1:18" x14ac:dyDescent="0.2">
      <c r="A85" s="12">
        <v>82</v>
      </c>
      <c r="B85">
        <f>[15]gpt4omini_single_100!L84</f>
        <v>9.9884000000000001E-2</v>
      </c>
      <c r="C85">
        <f>[16]gpt4omini_single_100!L84</f>
        <v>0.544516</v>
      </c>
      <c r="D85">
        <f>[17]gpt4omini_single_100!L84</f>
        <v>0.97822100000000001</v>
      </c>
      <c r="E85" s="24"/>
      <c r="F85" s="11">
        <f>[18]gpt4omini_single_100!L84</f>
        <v>0.61399499999999996</v>
      </c>
      <c r="M85" s="12">
        <v>82</v>
      </c>
      <c r="N85">
        <f>[15]gpt4omini_single_100_2!L84</f>
        <v>-0.44168499999999999</v>
      </c>
      <c r="O85">
        <f>[16]gpt4omini_single_100_2!L84</f>
        <v>8.1077999999999997E-2</v>
      </c>
      <c r="P85">
        <f>[17]gpt4omini_single_100_2!L84</f>
        <v>0.432869</v>
      </c>
      <c r="Q85" s="24"/>
      <c r="R85" s="11">
        <f>[18]gpt4omini_single_100_2!L84</f>
        <v>0.18787799999999999</v>
      </c>
    </row>
    <row r="86" spans="1:18" x14ac:dyDescent="0.2">
      <c r="A86" s="12">
        <v>83</v>
      </c>
      <c r="B86">
        <f>[15]gpt4omini_single_100!L85</f>
        <v>9.7781999999999994E-2</v>
      </c>
      <c r="C86">
        <f>[16]gpt4omini_single_100!L85</f>
        <v>0.55118400000000001</v>
      </c>
      <c r="D86">
        <f>[17]gpt4omini_single_100!L85</f>
        <v>0.98761299999999996</v>
      </c>
      <c r="E86" s="24"/>
      <c r="F86" s="11">
        <f>[18]gpt4omini_single_100!L85</f>
        <v>0.63664200000000004</v>
      </c>
      <c r="M86" s="12">
        <v>83</v>
      </c>
      <c r="N86">
        <f>[15]gpt4omini_single_100_2!L85</f>
        <v>-0.44497799999999998</v>
      </c>
      <c r="O86">
        <f>[16]gpt4omini_single_100_2!L85</f>
        <v>8.2649E-2</v>
      </c>
      <c r="P86">
        <f>[17]gpt4omini_single_100_2!L85</f>
        <v>0.436527</v>
      </c>
      <c r="Q86" s="24"/>
      <c r="R86" s="11">
        <f>[18]gpt4omini_single_100_2!L85</f>
        <v>0.21697900000000001</v>
      </c>
    </row>
    <row r="87" spans="1:18" x14ac:dyDescent="0.2">
      <c r="A87" s="12">
        <v>84</v>
      </c>
      <c r="B87">
        <f>[15]gpt4omini_single_100!L86</f>
        <v>0.106085</v>
      </c>
      <c r="C87">
        <f>[16]gpt4omini_single_100!L86</f>
        <v>0.55884400000000001</v>
      </c>
      <c r="D87">
        <f>[17]gpt4omini_single_100!L86</f>
        <v>0.96814299999999998</v>
      </c>
      <c r="E87" s="24"/>
      <c r="F87" s="11">
        <f>[18]gpt4omini_single_100!L86</f>
        <v>0.65121099999999998</v>
      </c>
      <c r="M87" s="12">
        <v>84</v>
      </c>
      <c r="N87">
        <f>[15]gpt4omini_single_100_2!L86</f>
        <v>-0.4531</v>
      </c>
      <c r="O87">
        <f>[16]gpt4omini_single_100_2!L86</f>
        <v>8.1383999999999998E-2</v>
      </c>
      <c r="P87">
        <f>[17]gpt4omini_single_100_2!L86</f>
        <v>0.43865599999999999</v>
      </c>
      <c r="Q87" s="24"/>
      <c r="R87" s="11">
        <f>[18]gpt4omini_single_100_2!L86</f>
        <v>0.22414799999999999</v>
      </c>
    </row>
    <row r="88" spans="1:18" x14ac:dyDescent="0.2">
      <c r="A88" s="12">
        <v>85</v>
      </c>
      <c r="B88">
        <f>[15]gpt4omini_single_100!L87</f>
        <v>0.104334</v>
      </c>
      <c r="C88">
        <f>[16]gpt4omini_single_100!L87</f>
        <v>0.55345999999999995</v>
      </c>
      <c r="D88">
        <f>[17]gpt4omini_single_100!L87</f>
        <v>0.98411499999999996</v>
      </c>
      <c r="E88" s="24"/>
      <c r="F88" s="11">
        <f>[18]gpt4omini_single_100!L87</f>
        <v>0.65140500000000001</v>
      </c>
      <c r="M88" s="12">
        <v>85</v>
      </c>
      <c r="N88">
        <f>[15]gpt4omini_single_100_2!L87</f>
        <v>-0.457565</v>
      </c>
      <c r="O88">
        <f>[16]gpt4omini_single_100_2!L87</f>
        <v>6.7173999999999998E-2</v>
      </c>
      <c r="P88">
        <f>[17]gpt4omini_single_100_2!L87</f>
        <v>0.44558700000000001</v>
      </c>
      <c r="Q88" s="24"/>
      <c r="R88" s="11">
        <f>[18]gpt4omini_single_100_2!L87</f>
        <v>0.21415400000000001</v>
      </c>
    </row>
    <row r="89" spans="1:18" x14ac:dyDescent="0.2">
      <c r="A89" s="12">
        <v>86</v>
      </c>
      <c r="B89">
        <f>[15]gpt4omini_single_100!L88</f>
        <v>0.107295</v>
      </c>
      <c r="C89">
        <f>[16]gpt4omini_single_100!L88</f>
        <v>0.56017700000000004</v>
      </c>
      <c r="D89">
        <f>[17]gpt4omini_single_100!L88</f>
        <v>1.036805</v>
      </c>
      <c r="E89" s="24"/>
      <c r="F89" s="11">
        <f>[18]gpt4omini_single_100!L88</f>
        <v>0.661493</v>
      </c>
      <c r="M89" s="12">
        <v>86</v>
      </c>
      <c r="N89">
        <f>[15]gpt4omini_single_100_2!L88</f>
        <v>-0.44041599999999997</v>
      </c>
      <c r="O89">
        <f>[16]gpt4omini_single_100_2!L88</f>
        <v>6.7695000000000005E-2</v>
      </c>
      <c r="P89">
        <f>[17]gpt4omini_single_100_2!L88</f>
        <v>0.471773</v>
      </c>
      <c r="Q89" s="24"/>
      <c r="R89" s="11">
        <f>[18]gpt4omini_single_100_2!L88</f>
        <v>0.221861</v>
      </c>
    </row>
    <row r="90" spans="1:18" x14ac:dyDescent="0.2">
      <c r="A90" s="12">
        <v>87</v>
      </c>
      <c r="B90">
        <f>[15]gpt4omini_single_100!L89</f>
        <v>0.111553</v>
      </c>
      <c r="C90">
        <f>[16]gpt4omini_single_100!L89</f>
        <v>0.568025</v>
      </c>
      <c r="D90">
        <f>[17]gpt4omini_single_100!L89</f>
        <v>1.0459830000000001</v>
      </c>
      <c r="E90" s="24"/>
      <c r="F90" s="11">
        <f>[18]gpt4omini_single_100!L89</f>
        <v>0.66907300000000003</v>
      </c>
      <c r="M90" s="12">
        <v>87</v>
      </c>
      <c r="N90">
        <f>[15]gpt4omini_single_100_2!L89</f>
        <v>-0.43694699999999997</v>
      </c>
      <c r="O90">
        <f>[16]gpt4omini_single_100_2!L89</f>
        <v>6.9697999999999996E-2</v>
      </c>
      <c r="P90">
        <f>[17]gpt4omini_single_100_2!L89</f>
        <v>0.47105000000000002</v>
      </c>
      <c r="Q90" s="24"/>
      <c r="R90" s="11">
        <f>[18]gpt4omini_single_100_2!L89</f>
        <v>0.217284</v>
      </c>
    </row>
    <row r="91" spans="1:18" x14ac:dyDescent="0.2">
      <c r="A91" s="12">
        <v>88</v>
      </c>
      <c r="B91">
        <f>[15]gpt4omini_single_100!L90</f>
        <v>0.103343</v>
      </c>
      <c r="C91">
        <f>[16]gpt4omini_single_100!L90</f>
        <v>0.57296899999999995</v>
      </c>
      <c r="D91">
        <f>[17]gpt4omini_single_100!L90</f>
        <v>1.0277620000000001</v>
      </c>
      <c r="E91" s="24"/>
      <c r="F91" s="11">
        <f>[18]gpt4omini_single_100!L90</f>
        <v>0.67425800000000002</v>
      </c>
      <c r="M91" s="12">
        <v>88</v>
      </c>
      <c r="N91">
        <f>[15]gpt4omini_single_100_2!L90</f>
        <v>-0.426425</v>
      </c>
      <c r="O91">
        <f>[16]gpt4omini_single_100_2!L90</f>
        <v>7.8076000000000007E-2</v>
      </c>
      <c r="P91">
        <f>[17]gpt4omini_single_100_2!L90</f>
        <v>0.46653800000000001</v>
      </c>
      <c r="Q91" s="24"/>
      <c r="R91" s="11">
        <f>[18]gpt4omini_single_100_2!L90</f>
        <v>0.21767400000000001</v>
      </c>
    </row>
    <row r="92" spans="1:18" x14ac:dyDescent="0.2">
      <c r="A92" s="12">
        <v>89</v>
      </c>
      <c r="B92">
        <f>[15]gpt4omini_single_100!L91</f>
        <v>0.122047</v>
      </c>
      <c r="C92">
        <f>[16]gpt4omini_single_100!L91</f>
        <v>0.58307299999999995</v>
      </c>
      <c r="D92">
        <f>[17]gpt4omini_single_100!L91</f>
        <v>1.0671550000000001</v>
      </c>
      <c r="E92" s="24"/>
      <c r="F92" s="11">
        <f>[18]gpt4omini_single_100!L91</f>
        <v>0.69931900000000002</v>
      </c>
      <c r="M92" s="12">
        <v>89</v>
      </c>
      <c r="N92">
        <f>[15]gpt4omini_single_100_2!L91</f>
        <v>-0.430309</v>
      </c>
      <c r="O92">
        <f>[16]gpt4omini_single_100_2!L91</f>
        <v>8.0380999999999994E-2</v>
      </c>
      <c r="P92">
        <f>[17]gpt4omini_single_100_2!L91</f>
        <v>0.49166199999999999</v>
      </c>
      <c r="Q92" s="24"/>
      <c r="R92" s="11">
        <f>[18]gpt4omini_single_100_2!L91</f>
        <v>0.217806</v>
      </c>
    </row>
    <row r="93" spans="1:18" x14ac:dyDescent="0.2">
      <c r="A93" s="12">
        <v>90</v>
      </c>
      <c r="B93">
        <f>[15]gpt4omini_single_100!L92</f>
        <v>0.125917</v>
      </c>
      <c r="C93">
        <f>[16]gpt4omini_single_100!L92</f>
        <v>0.59253900000000004</v>
      </c>
      <c r="D93">
        <f>[17]gpt4omini_single_100!L92</f>
        <v>1.102125</v>
      </c>
      <c r="E93" s="24"/>
      <c r="F93" s="11">
        <f>[18]gpt4omini_single_100!L92</f>
        <v>0.70560599999999996</v>
      </c>
      <c r="M93" s="12">
        <v>90</v>
      </c>
      <c r="N93">
        <f>[15]gpt4omini_single_100_2!L92</f>
        <v>-0.43513099999999999</v>
      </c>
      <c r="O93">
        <f>[16]gpt4omini_single_100_2!L92</f>
        <v>6.1731000000000001E-2</v>
      </c>
      <c r="P93">
        <f>[17]gpt4omini_single_100_2!L92</f>
        <v>0.48333999999999999</v>
      </c>
      <c r="Q93" s="24"/>
      <c r="R93" s="11">
        <f>[18]gpt4omini_single_100_2!L92</f>
        <v>0.21881400000000001</v>
      </c>
    </row>
    <row r="94" spans="1:18" x14ac:dyDescent="0.2">
      <c r="A94" s="12">
        <v>91</v>
      </c>
      <c r="B94">
        <f>[15]gpt4omini_single_100!L93</f>
        <v>0.122428</v>
      </c>
      <c r="C94">
        <f>[16]gpt4omini_single_100!L93</f>
        <v>0.59165100000000004</v>
      </c>
      <c r="D94">
        <f>[17]gpt4omini_single_100!L93</f>
        <v>1.09918</v>
      </c>
      <c r="E94" s="24"/>
      <c r="F94" s="11">
        <f>[18]gpt4omini_single_100!L93</f>
        <v>0.71435599999999999</v>
      </c>
      <c r="M94" s="12">
        <v>91</v>
      </c>
      <c r="N94">
        <f>[15]gpt4omini_single_100_2!L93</f>
        <v>-0.42313800000000001</v>
      </c>
      <c r="O94">
        <f>[16]gpt4omini_single_100_2!L93</f>
        <v>5.5640000000000002E-2</v>
      </c>
      <c r="P94">
        <f>[17]gpt4omini_single_100_2!L93</f>
        <v>0.48881799999999997</v>
      </c>
      <c r="Q94" s="24"/>
      <c r="R94" s="11">
        <f>[18]gpt4omini_single_100_2!L93</f>
        <v>0.22538</v>
      </c>
    </row>
    <row r="95" spans="1:18" x14ac:dyDescent="0.2">
      <c r="A95" s="12">
        <v>92</v>
      </c>
      <c r="B95">
        <f>[15]gpt4omini_single_100!L94</f>
        <v>0.128557</v>
      </c>
      <c r="C95">
        <f>[16]gpt4omini_single_100!L94</f>
        <v>0.60252499999999998</v>
      </c>
      <c r="D95">
        <f>[17]gpt4omini_single_100!L94</f>
        <v>1.113081</v>
      </c>
      <c r="E95" s="24"/>
      <c r="F95" s="11">
        <f>[18]gpt4omini_single_100!L94</f>
        <v>0.725051</v>
      </c>
      <c r="M95" s="12">
        <v>92</v>
      </c>
      <c r="N95">
        <f>[15]gpt4omini_single_100_2!L94</f>
        <v>-0.42731400000000003</v>
      </c>
      <c r="O95">
        <f>[16]gpt4omini_single_100_2!L94</f>
        <v>5.3870000000000001E-2</v>
      </c>
      <c r="P95">
        <f>[17]gpt4omini_single_100_2!L94</f>
        <v>0.494002</v>
      </c>
      <c r="Q95" s="24"/>
      <c r="R95" s="11">
        <f>[18]gpt4omini_single_100_2!L94</f>
        <v>0.24141099999999999</v>
      </c>
    </row>
    <row r="96" spans="1:18" x14ac:dyDescent="0.2">
      <c r="A96" s="12">
        <v>93</v>
      </c>
      <c r="B96">
        <f>[15]gpt4omini_single_100!L95</f>
        <v>0.13376399999999999</v>
      </c>
      <c r="C96">
        <f>[16]gpt4omini_single_100!L95</f>
        <v>0.60724100000000003</v>
      </c>
      <c r="D96">
        <f>[17]gpt4omini_single_100!L95</f>
        <v>1.1096710000000001</v>
      </c>
      <c r="E96" s="24"/>
      <c r="F96" s="11">
        <f>[18]gpt4omini_single_100!L95</f>
        <v>0.73461799999999999</v>
      </c>
      <c r="M96" s="12">
        <v>93</v>
      </c>
      <c r="N96">
        <f>[15]gpt4omini_single_100_2!L95</f>
        <v>-0.42382900000000001</v>
      </c>
      <c r="O96">
        <f>[16]gpt4omini_single_100_2!L95</f>
        <v>7.0969000000000004E-2</v>
      </c>
      <c r="P96">
        <f>[17]gpt4omini_single_100_2!L95</f>
        <v>0.50376699999999996</v>
      </c>
      <c r="Q96" s="24"/>
      <c r="R96" s="11">
        <f>[18]gpt4omini_single_100_2!L95</f>
        <v>0.26128699999999999</v>
      </c>
    </row>
    <row r="97" spans="1:18" x14ac:dyDescent="0.2">
      <c r="A97" s="12">
        <v>94</v>
      </c>
      <c r="B97">
        <f>[15]gpt4omini_single_100!L96</f>
        <v>0.137429</v>
      </c>
      <c r="C97">
        <f>[16]gpt4omini_single_100!L96</f>
        <v>0.62207400000000002</v>
      </c>
      <c r="D97">
        <f>[17]gpt4omini_single_100!L96</f>
        <v>1.1525879999999999</v>
      </c>
      <c r="E97" s="24"/>
      <c r="F97" s="11">
        <f>[18]gpt4omini_single_100!L96</f>
        <v>0.74655499999999997</v>
      </c>
      <c r="M97" s="12">
        <v>94</v>
      </c>
      <c r="N97">
        <f>[15]gpt4omini_single_100_2!L96</f>
        <v>-0.43321700000000002</v>
      </c>
      <c r="O97">
        <f>[16]gpt4omini_single_100_2!L96</f>
        <v>7.2206999999999993E-2</v>
      </c>
      <c r="P97">
        <f>[17]gpt4omini_single_100_2!L96</f>
        <v>0.51885899999999996</v>
      </c>
      <c r="Q97" s="24"/>
      <c r="R97" s="11">
        <f>[18]gpt4omini_single_100_2!L96</f>
        <v>0.267071</v>
      </c>
    </row>
    <row r="98" spans="1:18" x14ac:dyDescent="0.2">
      <c r="A98" s="12">
        <v>95</v>
      </c>
      <c r="B98">
        <f>[15]gpt4omini_single_100!L97</f>
        <v>0.141043</v>
      </c>
      <c r="C98">
        <f>[16]gpt4omini_single_100!L97</f>
        <v>0.63089300000000004</v>
      </c>
      <c r="D98">
        <f>[17]gpt4omini_single_100!L97</f>
        <v>1.1414569999999999</v>
      </c>
      <c r="E98" s="24"/>
      <c r="F98" s="11">
        <f>[18]gpt4omini_single_100!L97</f>
        <v>0.74600699999999998</v>
      </c>
      <c r="M98" s="12">
        <v>95</v>
      </c>
      <c r="N98">
        <f>[15]gpt4omini_single_100_2!L97</f>
        <v>-0.43373299999999998</v>
      </c>
      <c r="O98">
        <f>[16]gpt4omini_single_100_2!L97</f>
        <v>6.7349000000000006E-2</v>
      </c>
      <c r="P98">
        <f>[17]gpt4omini_single_100_2!L97</f>
        <v>0.50477300000000003</v>
      </c>
      <c r="Q98" s="24"/>
      <c r="R98" s="11">
        <f>[18]gpt4omini_single_100_2!L97</f>
        <v>0.266515</v>
      </c>
    </row>
    <row r="99" spans="1:18" x14ac:dyDescent="0.2">
      <c r="A99" s="12">
        <v>96</v>
      </c>
      <c r="B99">
        <f>[15]gpt4omini_single_100!L98</f>
        <v>0.144069</v>
      </c>
      <c r="C99">
        <f>[16]gpt4omini_single_100!L98</f>
        <v>0.63802499999999995</v>
      </c>
      <c r="D99">
        <f>[17]gpt4omini_single_100!L98</f>
        <v>1.154752</v>
      </c>
      <c r="E99" s="24"/>
      <c r="F99" s="11">
        <f>[18]gpt4omini_single_100!L98</f>
        <v>0.76738600000000001</v>
      </c>
      <c r="M99" s="12">
        <v>96</v>
      </c>
      <c r="N99">
        <f>[15]gpt4omini_single_100_2!L98</f>
        <v>-0.43235600000000002</v>
      </c>
      <c r="O99">
        <f>[16]gpt4omini_single_100_2!L98</f>
        <v>6.6743999999999998E-2</v>
      </c>
      <c r="P99">
        <f>[17]gpt4omini_single_100_2!L98</f>
        <v>0.511243</v>
      </c>
      <c r="Q99" s="24"/>
      <c r="R99" s="11">
        <f>[18]gpt4omini_single_100_2!L98</f>
        <v>0.256413</v>
      </c>
    </row>
    <row r="100" spans="1:18" x14ac:dyDescent="0.2">
      <c r="A100" s="12">
        <v>97</v>
      </c>
      <c r="B100">
        <f>[15]gpt4omini_single_100!L99</f>
        <v>0.14454700000000001</v>
      </c>
      <c r="C100">
        <f>[16]gpt4omini_single_100!L99</f>
        <v>0.63839599999999996</v>
      </c>
      <c r="D100">
        <f>[17]gpt4omini_single_100!L99</f>
        <v>1.1572480000000001</v>
      </c>
      <c r="E100" s="24"/>
      <c r="F100" s="11">
        <f>[18]gpt4omini_single_100!L99</f>
        <v>0.80338399999999999</v>
      </c>
      <c r="M100" s="12">
        <v>97</v>
      </c>
      <c r="N100">
        <f>[15]gpt4omini_single_100_2!L99</f>
        <v>-0.43615799999999999</v>
      </c>
      <c r="O100">
        <f>[16]gpt4omini_single_100_2!L99</f>
        <v>7.3735999999999996E-2</v>
      </c>
      <c r="P100">
        <f>[17]gpt4omini_single_100_2!L99</f>
        <v>0.51937199999999994</v>
      </c>
      <c r="Q100" s="24"/>
      <c r="R100" s="11">
        <f>[18]gpt4omini_single_100_2!L99</f>
        <v>0.26529700000000001</v>
      </c>
    </row>
    <row r="101" spans="1:18" x14ac:dyDescent="0.2">
      <c r="A101" s="12">
        <v>98</v>
      </c>
      <c r="B101">
        <f>[15]gpt4omini_single_100!L100</f>
        <v>0.14119399999999999</v>
      </c>
      <c r="C101">
        <f>[16]gpt4omini_single_100!L100</f>
        <v>0.63594600000000001</v>
      </c>
      <c r="D101">
        <f>[17]gpt4omini_single_100!L100</f>
        <v>1.146768</v>
      </c>
      <c r="E101" s="24"/>
      <c r="F101" s="11">
        <f>[18]gpt4omini_single_100!L100</f>
        <v>0.80463200000000001</v>
      </c>
      <c r="M101" s="12">
        <v>98</v>
      </c>
      <c r="N101">
        <f>[15]gpt4omini_single_100_2!L100</f>
        <v>-0.42712299999999997</v>
      </c>
      <c r="O101">
        <f>[16]gpt4omini_single_100_2!L100</f>
        <v>7.7481999999999995E-2</v>
      </c>
      <c r="P101">
        <f>[17]gpt4omini_single_100_2!L100</f>
        <v>0.50888100000000003</v>
      </c>
      <c r="Q101" s="24"/>
      <c r="R101" s="11">
        <f>[18]gpt4omini_single_100_2!L100</f>
        <v>0.26300000000000001</v>
      </c>
    </row>
    <row r="102" spans="1:18" x14ac:dyDescent="0.2">
      <c r="A102" s="12">
        <v>99</v>
      </c>
      <c r="B102">
        <f>[15]gpt4omini_single_100!L101</f>
        <v>0.16031799999999999</v>
      </c>
      <c r="C102">
        <f>[16]gpt4omini_single_100!L101</f>
        <v>0.64354900000000004</v>
      </c>
      <c r="D102">
        <f>[17]gpt4omini_single_100!L101</f>
        <v>1.146579</v>
      </c>
      <c r="E102" s="24"/>
      <c r="F102" s="11">
        <f>[18]gpt4omini_single_100!L101</f>
        <v>0.82572800000000002</v>
      </c>
      <c r="M102" s="12">
        <v>99</v>
      </c>
      <c r="N102">
        <f>[15]gpt4omini_single_100_2!L101</f>
        <v>-0.43299100000000001</v>
      </c>
      <c r="O102">
        <f>[16]gpt4omini_single_100_2!L101</f>
        <v>7.4167999999999998E-2</v>
      </c>
      <c r="P102">
        <f>[17]gpt4omini_single_100_2!L101</f>
        <v>0.51676999999999995</v>
      </c>
      <c r="Q102" s="24"/>
      <c r="R102" s="11">
        <f>[18]gpt4omini_single_100_2!L101</f>
        <v>0.27002900000000002</v>
      </c>
    </row>
    <row r="103" spans="1:18" x14ac:dyDescent="0.2">
      <c r="A103" s="12">
        <v>100</v>
      </c>
      <c r="B103">
        <f>[15]gpt4omini_single_100!L102</f>
        <v>0.162436</v>
      </c>
      <c r="C103">
        <f>[16]gpt4omini_single_100!L102</f>
        <v>0.63500100000000004</v>
      </c>
      <c r="D103">
        <f>[17]gpt4omini_single_100!L102</f>
        <v>1.184159</v>
      </c>
      <c r="E103" s="24"/>
      <c r="F103" s="11">
        <f>[18]gpt4omini_single_100!L102</f>
        <v>0.82058500000000001</v>
      </c>
      <c r="M103" s="12">
        <v>100</v>
      </c>
      <c r="N103">
        <f>[15]gpt4omini_single_100_2!L102</f>
        <v>-0.44068400000000002</v>
      </c>
      <c r="O103">
        <f>[16]gpt4omini_single_100_2!L102</f>
        <v>6.9775000000000004E-2</v>
      </c>
      <c r="P103">
        <f>[17]gpt4omini_single_100_2!L102</f>
        <v>0.52893100000000004</v>
      </c>
      <c r="Q103" s="24"/>
      <c r="R103" s="11">
        <f>[18]gpt4omini_single_100_2!L102</f>
        <v>0.25089499999999998</v>
      </c>
    </row>
  </sheetData>
  <mergeCells count="4">
    <mergeCell ref="A1:F1"/>
    <mergeCell ref="G1:L1"/>
    <mergeCell ref="M1:R1"/>
    <mergeCell ref="S1:X1"/>
  </mergeCells>
  <pageMargins left="0.75" right="0.75" top="1" bottom="1" header="0.5" footer="0.5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D620-946F-4E44-A354-F09A4F5941E2}">
  <dimension ref="A1:N39"/>
  <sheetViews>
    <sheetView topLeftCell="A5" zoomScale="125" workbookViewId="0">
      <selection activeCell="I23" sqref="I23"/>
    </sheetView>
  </sheetViews>
  <sheetFormatPr baseColWidth="10" defaultColWidth="8.83203125" defaultRowHeight="15" x14ac:dyDescent="0.2"/>
  <cols>
    <col min="1" max="1" width="25" customWidth="1"/>
    <col min="2" max="8" width="12" customWidth="1"/>
    <col min="9" max="9" width="18" bestFit="1" customWidth="1"/>
    <col min="12" max="12" width="8.83203125" customWidth="1"/>
    <col min="13" max="16" width="9.6640625" bestFit="1" customWidth="1"/>
  </cols>
  <sheetData>
    <row r="1" spans="1:12" ht="30" x14ac:dyDescent="0.2">
      <c r="A1" s="1"/>
      <c r="B1" s="1" t="s">
        <v>24</v>
      </c>
      <c r="C1" s="1" t="s">
        <v>19</v>
      </c>
      <c r="D1" s="1" t="s">
        <v>20</v>
      </c>
      <c r="E1" s="1" t="s">
        <v>18</v>
      </c>
      <c r="F1" s="1" t="s">
        <v>21</v>
      </c>
      <c r="G1" s="1" t="s">
        <v>22</v>
      </c>
      <c r="H1" s="1" t="s">
        <v>23</v>
      </c>
    </row>
    <row r="2" spans="1:12" x14ac:dyDescent="0.2">
      <c r="A2" s="26" t="s">
        <v>4</v>
      </c>
      <c r="B2" s="3" t="s">
        <v>0</v>
      </c>
      <c r="C2" s="5">
        <f>[1]gpt4omini_single_100!O5</f>
        <v>0</v>
      </c>
      <c r="D2" s="3">
        <f>[1]gpt4omini_single_100!O4</f>
        <v>100</v>
      </c>
      <c r="E2" s="17">
        <f>[1]gpt4omini_single_100!O6</f>
        <v>1.0812029999999999</v>
      </c>
      <c r="F2" s="6">
        <f>[1]gpt4omini_shuffle_100!AA4</f>
        <v>1.6E-2</v>
      </c>
      <c r="G2" s="6">
        <f>[1]gpt4omini_shuffle_100!AA2</f>
        <v>0.09</v>
      </c>
      <c r="H2" s="6">
        <f>[1]gpt4omini_shuffle_100!AA3</f>
        <v>0</v>
      </c>
    </row>
    <row r="3" spans="1:12" x14ac:dyDescent="0.2">
      <c r="A3" s="26"/>
      <c r="B3" s="3" t="s">
        <v>15</v>
      </c>
      <c r="C3" s="5">
        <f>[2]gpt4omini_single_100!O5</f>
        <v>0.02</v>
      </c>
      <c r="D3" s="3">
        <f>[2]gpt4omini_single_100!O4</f>
        <v>98</v>
      </c>
      <c r="E3" s="17">
        <f>[2]gpt4omini_single_100!O6</f>
        <v>1.2033579999999999</v>
      </c>
      <c r="F3" s="6">
        <f>[2]gpt4omini_shuffle_100!AA4</f>
        <v>1.4333E-2</v>
      </c>
      <c r="G3" s="6">
        <f>[2]gpt4omini_shuffle_100!AA2</f>
        <v>0.05</v>
      </c>
      <c r="H3" s="6">
        <f>[2]gpt4omini_shuffle_100!AA3</f>
        <v>0</v>
      </c>
    </row>
    <row r="4" spans="1:12" x14ac:dyDescent="0.2">
      <c r="A4" s="26"/>
      <c r="B4" s="3" t="s">
        <v>1</v>
      </c>
      <c r="C4" s="5">
        <f>[3]gpt4omini_single_100!O5</f>
        <v>0</v>
      </c>
      <c r="D4" s="3">
        <f>[3]gpt4omini_single_100!O4</f>
        <v>100</v>
      </c>
      <c r="E4" s="17">
        <f>[3]gpt4omini_single_100!O6</f>
        <v>1.3069539999999999</v>
      </c>
      <c r="F4" s="6">
        <f>[3]gpt4omini_shuffle_100!AA4</f>
        <v>1.1332999999999999E-2</v>
      </c>
      <c r="G4" s="6">
        <f>[3]gpt4omini_shuffle_100!AA2</f>
        <v>0.05</v>
      </c>
      <c r="H4" s="6">
        <f>[3]gpt4omini_shuffle_100!AA3</f>
        <v>0</v>
      </c>
    </row>
    <row r="5" spans="1:12" x14ac:dyDescent="0.2">
      <c r="A5" s="26"/>
      <c r="B5" s="3" t="s">
        <v>2</v>
      </c>
      <c r="C5" s="20"/>
      <c r="D5" s="21"/>
      <c r="E5" s="22"/>
      <c r="F5" s="23"/>
      <c r="G5" s="23"/>
      <c r="H5" s="23"/>
    </row>
    <row r="6" spans="1:12" x14ac:dyDescent="0.2">
      <c r="A6" s="27"/>
      <c r="B6" s="7" t="s">
        <v>3</v>
      </c>
      <c r="C6" s="8">
        <f>[4]gpt4omini_single_100!O5</f>
        <v>0.01</v>
      </c>
      <c r="D6" s="7">
        <f>[4]gpt4omini_single_100!O4</f>
        <v>99</v>
      </c>
      <c r="E6" s="18">
        <f>[4]gpt4omini_single_100!O6</f>
        <v>1.1247419999999999</v>
      </c>
      <c r="F6" s="9">
        <f>[4]gpt4omini_shuffle_100!AA4</f>
        <v>6.3330000000000001E-3</v>
      </c>
      <c r="G6" s="9">
        <f>[4]gpt4omini_shuffle_100!AA2</f>
        <v>0.03</v>
      </c>
      <c r="H6" s="9">
        <f>[4]gpt4omini_shuffle_100!AA3</f>
        <v>0</v>
      </c>
      <c r="L6" s="2"/>
    </row>
    <row r="7" spans="1:12" x14ac:dyDescent="0.2">
      <c r="A7" s="28" t="s">
        <v>9</v>
      </c>
      <c r="B7" s="3" t="s">
        <v>0</v>
      </c>
      <c r="C7" s="5">
        <f>[1]gpt4omini_single_60!O5</f>
        <v>0.15</v>
      </c>
      <c r="D7" s="3">
        <f>[1]gpt4omini_single_60!O4</f>
        <v>51</v>
      </c>
      <c r="E7" s="17">
        <f>[1]gpt4omini_single_60!O6</f>
        <v>1.3165</v>
      </c>
      <c r="F7" s="6">
        <f>[1]gpt4omini_shuffle_60!AA4</f>
        <v>1.9167E-2</v>
      </c>
      <c r="G7" s="6">
        <f>[1]gpt4omini_shuffle_60!AA2</f>
        <v>0.16666700000000001</v>
      </c>
      <c r="H7" s="6">
        <f>[1]gpt4omini_shuffle_60!AA3</f>
        <v>0</v>
      </c>
    </row>
    <row r="8" spans="1:12" x14ac:dyDescent="0.2">
      <c r="A8" s="26"/>
      <c r="B8" s="3" t="s">
        <v>14</v>
      </c>
      <c r="C8" s="5">
        <f>[2]gpt4omini_single_60!O5</f>
        <v>8.3333000000000004E-2</v>
      </c>
      <c r="D8" s="3">
        <f>[2]gpt4omini_single_60!O4</f>
        <v>55</v>
      </c>
      <c r="E8" s="17">
        <f>[2]gpt4omini_single_60!O6</f>
        <v>0.71219900000000003</v>
      </c>
      <c r="F8" s="6">
        <f>[2]gpt4omini_shuffle_60!AA4</f>
        <v>8.1667000000000003E-2</v>
      </c>
      <c r="G8" s="6">
        <f>[2]gpt4omini_shuffle_60!AA2</f>
        <v>0.35</v>
      </c>
      <c r="H8" s="6">
        <f>[2]gpt4omini_shuffle_60!AA3</f>
        <v>0</v>
      </c>
    </row>
    <row r="9" spans="1:12" x14ac:dyDescent="0.2">
      <c r="A9" s="26"/>
      <c r="B9" s="3" t="s">
        <v>1</v>
      </c>
      <c r="C9" s="5">
        <f>[3]gpt4omini_single_60!O5</f>
        <v>0.05</v>
      </c>
      <c r="D9" s="3">
        <f>[3]gpt4omini_single_60!O4</f>
        <v>57</v>
      </c>
      <c r="E9" s="17">
        <f>[3]gpt4omini_single_60!O6</f>
        <v>1.119977</v>
      </c>
      <c r="F9" s="6">
        <f>[3]gpt4omini_shuffle_60!AA4</f>
        <v>1.3332999999999999E-2</v>
      </c>
      <c r="G9" s="6">
        <f>[3]gpt4omini_shuffle_60!AA2</f>
        <v>8.3333000000000004E-2</v>
      </c>
      <c r="H9" s="6">
        <f>[3]gpt4omini_shuffle_60!AA3</f>
        <v>0</v>
      </c>
    </row>
    <row r="10" spans="1:12" x14ac:dyDescent="0.2">
      <c r="A10" s="26"/>
      <c r="B10" s="3" t="s">
        <v>2</v>
      </c>
      <c r="C10" s="20"/>
      <c r="D10" s="21"/>
      <c r="E10" s="22"/>
      <c r="F10" s="23"/>
      <c r="G10" s="23"/>
      <c r="H10" s="23"/>
    </row>
    <row r="11" spans="1:12" x14ac:dyDescent="0.2">
      <c r="A11" s="27"/>
      <c r="B11" s="7" t="s">
        <v>3</v>
      </c>
      <c r="C11" s="8">
        <f>[4]gpt4omini_single_60!O5</f>
        <v>6.6667000000000004E-2</v>
      </c>
      <c r="D11" s="7">
        <f>[4]gpt4omini_single_60!O4</f>
        <v>56</v>
      </c>
      <c r="E11" s="18">
        <f>[4]gpt4omini_single_60!O6</f>
        <v>0.82689500000000005</v>
      </c>
      <c r="F11" s="9">
        <f>[4]gpt4omini_shuffle_60!AA4</f>
        <v>5.9166999999999997E-2</v>
      </c>
      <c r="G11" s="9">
        <f>[4]gpt4omini_shuffle_60!AA2</f>
        <v>0.4</v>
      </c>
      <c r="H11" s="9">
        <f>[4]gpt4omini_shuffle_60!AA3</f>
        <v>0</v>
      </c>
    </row>
    <row r="12" spans="1:12" x14ac:dyDescent="0.2">
      <c r="A12" s="28" t="s">
        <v>10</v>
      </c>
      <c r="B12" s="3" t="s">
        <v>0</v>
      </c>
      <c r="C12" s="5">
        <f>[1]gpt4omini_single_100_2!O5</f>
        <v>0.17</v>
      </c>
      <c r="D12" s="3">
        <f>[1]gpt4omini_single_100_2!O4</f>
        <v>83</v>
      </c>
      <c r="E12" s="17">
        <f>[1]gpt4omini_single_100_2!O6</f>
        <v>0.47660799999999998</v>
      </c>
      <c r="F12" s="6">
        <f>[1]gpt4omini_shuffle_100_2!AA4</f>
        <v>0.23833299999999999</v>
      </c>
      <c r="G12" s="6">
        <f>[1]gpt4omini_shuffle_100_2!AA2</f>
        <v>0.47</v>
      </c>
      <c r="H12" s="6">
        <f>[1]gpt4omini_shuffle_100_2!AA3</f>
        <v>0</v>
      </c>
    </row>
    <row r="13" spans="1:12" x14ac:dyDescent="0.2">
      <c r="A13" s="26"/>
      <c r="B13" s="3" t="s">
        <v>14</v>
      </c>
      <c r="C13" s="5">
        <f>[2]gpt4omini_single_100_2!O5</f>
        <v>0.08</v>
      </c>
      <c r="D13" s="3">
        <f>[2]gpt4omini_single_100_2!O4</f>
        <v>92</v>
      </c>
      <c r="E13" s="17">
        <f>[2]gpt4omini_single_100_2!O6</f>
        <v>0.31539499999999998</v>
      </c>
      <c r="F13" s="6">
        <f>[2]gpt4omini_shuffle_100_2!AA4</f>
        <v>0.17199999999999999</v>
      </c>
      <c r="G13" s="6">
        <f>[2]gpt4omini_shuffle_100_2!AA2</f>
        <v>0.54</v>
      </c>
      <c r="H13" s="6">
        <f>[2]gpt4omini_shuffle_100_2!AA3</f>
        <v>0.01</v>
      </c>
    </row>
    <row r="14" spans="1:12" x14ac:dyDescent="0.2">
      <c r="A14" s="26"/>
      <c r="B14" s="3" t="s">
        <v>1</v>
      </c>
      <c r="C14" s="5">
        <f>[3]gpt4omini_single_100_2!O5</f>
        <v>0.59</v>
      </c>
      <c r="D14" s="3">
        <f>[3]gpt4omini_single_100_2!O4</f>
        <v>41</v>
      </c>
      <c r="E14" s="17">
        <f>[3]gpt4omini_single_100_2!O6</f>
        <v>0.121992</v>
      </c>
      <c r="F14" s="6">
        <f>[3]gpt4omini_shuffle_100_2!AA4</f>
        <v>0.48066700000000001</v>
      </c>
      <c r="G14" s="6">
        <f>[3]gpt4omini_shuffle_100_2!AA2</f>
        <v>0.9</v>
      </c>
      <c r="H14" s="6">
        <f>[3]gpt4omini_shuffle_100_2!AA3</f>
        <v>0</v>
      </c>
    </row>
    <row r="15" spans="1:12" x14ac:dyDescent="0.2">
      <c r="A15" s="26"/>
      <c r="B15" s="3" t="s">
        <v>2</v>
      </c>
      <c r="C15" s="20"/>
      <c r="D15" s="21"/>
      <c r="E15" s="22"/>
      <c r="F15" s="23"/>
      <c r="G15" s="23"/>
      <c r="H15" s="23"/>
    </row>
    <row r="16" spans="1:12" x14ac:dyDescent="0.2">
      <c r="A16" s="27"/>
      <c r="B16" s="7" t="s">
        <v>3</v>
      </c>
      <c r="C16" s="8">
        <f>[4]gpt4omini_single_100_2!O5</f>
        <v>0.77</v>
      </c>
      <c r="D16" s="7">
        <f>[4]gpt4omini_single_100_2!O4</f>
        <v>23</v>
      </c>
      <c r="E16" s="18">
        <f>[4]gpt4omini_single_100_2!O6</f>
        <v>0.103294</v>
      </c>
      <c r="F16" s="9">
        <f>[4]gpt4omini_shuffle_100_2!AA4</f>
        <v>0.38533299999999998</v>
      </c>
      <c r="G16" s="9">
        <f>[4]gpt4omini_shuffle_100_2!AA2</f>
        <v>0.84</v>
      </c>
      <c r="H16" s="9">
        <f>[4]gpt4omini_shuffle_100_2!AA3</f>
        <v>0.02</v>
      </c>
    </row>
    <row r="17" spans="1:8" x14ac:dyDescent="0.2">
      <c r="A17" s="28" t="s">
        <v>11</v>
      </c>
      <c r="B17" s="3" t="s">
        <v>0</v>
      </c>
      <c r="C17" s="5">
        <f>[1]gpt4omini_single_60_2!O5</f>
        <v>1</v>
      </c>
      <c r="D17" s="3">
        <f>[1]gpt4omini_single_60_2!O4</f>
        <v>0</v>
      </c>
      <c r="E17" s="17">
        <f>[1]gpt4omini_single_60_2!O6</f>
        <v>-1.096581</v>
      </c>
      <c r="F17" s="6">
        <f>[1]gpt4omini_shuffle_60_2!AA4</f>
        <v>0.96166700000000005</v>
      </c>
      <c r="G17" s="6">
        <f>[1]gpt4omini_shuffle_60_2!AA2</f>
        <v>1</v>
      </c>
      <c r="H17" s="6">
        <f>[1]gpt4omini_shuffle_60_2!AA3</f>
        <v>0.75</v>
      </c>
    </row>
    <row r="18" spans="1:8" x14ac:dyDescent="0.2">
      <c r="A18" s="26"/>
      <c r="B18" s="3" t="s">
        <v>14</v>
      </c>
      <c r="C18" s="5">
        <f>[2]gpt4omini_single_60_2!O5</f>
        <v>1</v>
      </c>
      <c r="D18" s="3">
        <f>[2]gpt4omini_single_60_2!O4</f>
        <v>0</v>
      </c>
      <c r="E18" s="17">
        <f>[2]gpt4omini_single_60_2!O6</f>
        <v>-0.99313499999999999</v>
      </c>
      <c r="F18" s="6">
        <f>[2]gpt4omini_shuffle_60_2!AA4</f>
        <v>0.93166700000000002</v>
      </c>
      <c r="G18" s="6">
        <f>[2]gpt4omini_shuffle_60_2!AA2</f>
        <v>1</v>
      </c>
      <c r="H18" s="6">
        <f>[2]gpt4omini_shuffle_60_2!AA3</f>
        <v>0.73333300000000001</v>
      </c>
    </row>
    <row r="19" spans="1:8" x14ac:dyDescent="0.2">
      <c r="A19" s="26"/>
      <c r="B19" s="3" t="s">
        <v>1</v>
      </c>
      <c r="C19" s="5">
        <f>[3]gpt4omini_single_60_2!O5</f>
        <v>0.53333299999999995</v>
      </c>
      <c r="D19" s="3">
        <f>[3]gpt4omini_single_60_2!O4</f>
        <v>28</v>
      </c>
      <c r="E19" s="17">
        <f>[3]gpt4omini_single_60_2!O6</f>
        <v>1.2594730000000001</v>
      </c>
      <c r="F19" s="6">
        <f>[3]gpt4omini_shuffle_60_2!AA4</f>
        <v>0.45916699999999999</v>
      </c>
      <c r="G19" s="6">
        <f>[3]gpt4omini_shuffle_60_2!AA2</f>
        <v>0.98333300000000001</v>
      </c>
      <c r="H19" s="6">
        <f>[3]gpt4omini_shuffle_60_2!AA3</f>
        <v>0</v>
      </c>
    </row>
    <row r="20" spans="1:8" x14ac:dyDescent="0.2">
      <c r="A20" s="26"/>
      <c r="B20" s="3" t="s">
        <v>2</v>
      </c>
      <c r="C20" s="20"/>
      <c r="D20" s="21"/>
      <c r="E20" s="22"/>
      <c r="F20" s="23"/>
      <c r="G20" s="23"/>
      <c r="H20" s="23"/>
    </row>
    <row r="21" spans="1:8" x14ac:dyDescent="0.2">
      <c r="A21" s="26"/>
      <c r="B21" s="3" t="s">
        <v>3</v>
      </c>
      <c r="C21" s="5">
        <f>[4]gpt4omini_single_60_2!O5</f>
        <v>0.6</v>
      </c>
      <c r="D21" s="3">
        <f>[4]gpt4omini_single_60_2!O4</f>
        <v>24</v>
      </c>
      <c r="E21" s="17">
        <f>[4]gpt4omini_single_60_2!O6</f>
        <v>0.13750299999999999</v>
      </c>
      <c r="F21" s="6">
        <f>[4]gpt4omini_shuffle_60_2!AA4</f>
        <v>0.42666700000000002</v>
      </c>
      <c r="G21" s="6">
        <f>[4]gpt4omini_shuffle_60_2!AA2</f>
        <v>0.91666700000000001</v>
      </c>
      <c r="H21" s="6">
        <f>[4]gpt4omini_shuffle_60_2!AA3</f>
        <v>1.6667000000000001E-2</v>
      </c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4"/>
    </row>
    <row r="25" spans="1:8" x14ac:dyDescent="0.2">
      <c r="A25" s="4"/>
    </row>
    <row r="26" spans="1:8" x14ac:dyDescent="0.2">
      <c r="A26" s="4"/>
    </row>
    <row r="27" spans="1:8" x14ac:dyDescent="0.2">
      <c r="A27" s="4"/>
    </row>
    <row r="28" spans="1:8" x14ac:dyDescent="0.2">
      <c r="A28" s="4"/>
    </row>
    <row r="29" spans="1:8" x14ac:dyDescent="0.2">
      <c r="A29" s="4"/>
      <c r="B29" s="3"/>
      <c r="C29" s="3"/>
      <c r="D29" s="3"/>
      <c r="E29" s="3"/>
      <c r="F29" s="3"/>
      <c r="G29" s="3"/>
      <c r="H29" s="3"/>
    </row>
    <row r="30" spans="1:8" x14ac:dyDescent="0.2">
      <c r="A30" s="4"/>
      <c r="B30" s="3"/>
      <c r="C30" s="3"/>
      <c r="D30" s="3"/>
      <c r="E30" s="3"/>
      <c r="F30" s="3"/>
      <c r="G30" s="3"/>
      <c r="H30" s="3"/>
    </row>
    <row r="31" spans="1:8" x14ac:dyDescent="0.2">
      <c r="A31" s="4"/>
      <c r="B31" s="3"/>
      <c r="C31" s="3"/>
      <c r="D31" s="3"/>
      <c r="E31" s="3"/>
      <c r="F31" s="3"/>
      <c r="G31" s="3"/>
      <c r="H31" s="3"/>
    </row>
    <row r="32" spans="1:8" x14ac:dyDescent="0.2">
      <c r="A32" s="4"/>
      <c r="B32" s="3"/>
      <c r="C32" s="3"/>
      <c r="D32" s="3"/>
      <c r="E32" s="3"/>
      <c r="F32" s="3"/>
      <c r="G32" s="3"/>
      <c r="H32" s="3"/>
    </row>
    <row r="33" spans="1:14" x14ac:dyDescent="0.2">
      <c r="A33" s="4"/>
      <c r="B33" s="3"/>
      <c r="C33" s="3"/>
      <c r="D33" s="3"/>
      <c r="E33" s="3"/>
      <c r="F33" s="3"/>
      <c r="G33" s="3"/>
      <c r="H33" s="3"/>
    </row>
    <row r="34" spans="1:14" x14ac:dyDescent="0.2">
      <c r="A34" s="4"/>
      <c r="B34" s="3"/>
      <c r="C34" s="3"/>
      <c r="D34" s="3"/>
      <c r="E34" s="3"/>
      <c r="F34" s="3"/>
      <c r="G34" s="3"/>
      <c r="H34" s="3"/>
      <c r="I34" s="16" t="s">
        <v>13</v>
      </c>
      <c r="J34" s="19" t="s">
        <v>0</v>
      </c>
      <c r="K34" s="19" t="s">
        <v>14</v>
      </c>
      <c r="L34" s="19" t="s">
        <v>1</v>
      </c>
      <c r="M34" s="19" t="s">
        <v>2</v>
      </c>
      <c r="N34" s="19" t="s">
        <v>3</v>
      </c>
    </row>
    <row r="35" spans="1:14" x14ac:dyDescent="0.2">
      <c r="A35" s="4"/>
      <c r="B35" s="3"/>
      <c r="C35" s="3"/>
      <c r="D35" s="3"/>
      <c r="E35" s="3"/>
      <c r="F35" s="3"/>
      <c r="G35" s="3"/>
      <c r="H35" s="3"/>
      <c r="I35" s="19" t="s">
        <v>5</v>
      </c>
      <c r="J35" s="10">
        <f>E2</f>
        <v>1.0812029999999999</v>
      </c>
      <c r="K35" s="10">
        <f>E3</f>
        <v>1.2033579999999999</v>
      </c>
      <c r="L35" s="10">
        <f>E4</f>
        <v>1.3069539999999999</v>
      </c>
      <c r="M35" s="25"/>
      <c r="N35" s="10">
        <f>E6</f>
        <v>1.1247419999999999</v>
      </c>
    </row>
    <row r="36" spans="1:14" x14ac:dyDescent="0.2">
      <c r="A36" s="4"/>
      <c r="B36" s="3"/>
      <c r="C36" s="3"/>
      <c r="D36" s="3"/>
      <c r="E36" s="3"/>
      <c r="F36" s="3"/>
      <c r="G36" s="3"/>
      <c r="H36" s="3"/>
      <c r="I36" s="19" t="s">
        <v>6</v>
      </c>
      <c r="J36" s="10">
        <f>E7</f>
        <v>1.3165</v>
      </c>
      <c r="K36" s="10">
        <f>E8</f>
        <v>0.71219900000000003</v>
      </c>
      <c r="L36" s="10">
        <f>E9</f>
        <v>1.119977</v>
      </c>
      <c r="M36" s="25"/>
      <c r="N36" s="10">
        <f>E11</f>
        <v>0.82689500000000005</v>
      </c>
    </row>
    <row r="37" spans="1:14" x14ac:dyDescent="0.2">
      <c r="A37" s="4"/>
      <c r="B37" s="3"/>
      <c r="C37" s="3"/>
      <c r="D37" s="3"/>
      <c r="E37" s="3"/>
      <c r="F37" s="3"/>
      <c r="G37" s="3"/>
      <c r="H37" s="3"/>
      <c r="I37" s="19" t="s">
        <v>7</v>
      </c>
      <c r="J37" s="10">
        <f>E12</f>
        <v>0.47660799999999998</v>
      </c>
      <c r="K37" s="10">
        <f>E13</f>
        <v>0.31539499999999998</v>
      </c>
      <c r="L37" s="10">
        <f>E14</f>
        <v>0.121992</v>
      </c>
      <c r="M37" s="25"/>
      <c r="N37" s="10">
        <f>E16</f>
        <v>0.103294</v>
      </c>
    </row>
    <row r="38" spans="1:14" x14ac:dyDescent="0.2">
      <c r="A38" s="4"/>
      <c r="B38" s="3"/>
      <c r="C38" s="3"/>
      <c r="D38" s="3"/>
      <c r="E38" s="3"/>
      <c r="F38" s="3"/>
      <c r="G38" s="3"/>
      <c r="H38" s="3"/>
      <c r="I38" s="19" t="s">
        <v>8</v>
      </c>
      <c r="J38" s="10">
        <f>E17</f>
        <v>-1.096581</v>
      </c>
      <c r="K38" s="10">
        <f>E18</f>
        <v>-0.99313499999999999</v>
      </c>
      <c r="L38" s="10">
        <f>E19</f>
        <v>1.2594730000000001</v>
      </c>
      <c r="M38" s="25"/>
      <c r="N38" s="10">
        <f>E21</f>
        <v>0.13750299999999999</v>
      </c>
    </row>
    <row r="39" spans="1:14" x14ac:dyDescent="0.2">
      <c r="A39" s="4"/>
      <c r="B39" s="3"/>
      <c r="C39" s="3"/>
      <c r="D39" s="3"/>
      <c r="E39" s="3"/>
      <c r="F39" s="3"/>
      <c r="G39" s="3"/>
      <c r="H39" s="3"/>
    </row>
  </sheetData>
  <mergeCells count="4">
    <mergeCell ref="A2:A6"/>
    <mergeCell ref="A7:A11"/>
    <mergeCell ref="A12:A16"/>
    <mergeCell ref="A17:A21"/>
  </mergeCells>
  <pageMargins left="0.75" right="0.75" top="1" bottom="1" header="0.5" footer="0.5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10BA-4CC4-394A-BCBE-BE2FE184E123}">
  <dimension ref="A1:X103"/>
  <sheetViews>
    <sheetView topLeftCell="P1" zoomScale="125" zoomScaleNormal="167" workbookViewId="0">
      <selection activeCell="AK61" sqref="AK61"/>
    </sheetView>
  </sheetViews>
  <sheetFormatPr baseColWidth="10" defaultColWidth="8.83203125" defaultRowHeight="15" x14ac:dyDescent="0.2"/>
  <sheetData>
    <row r="1" spans="1:24" x14ac:dyDescent="0.2">
      <c r="A1" s="32" t="s">
        <v>4</v>
      </c>
      <c r="B1" s="31"/>
      <c r="C1" s="31"/>
      <c r="D1" s="31"/>
      <c r="E1" s="31"/>
      <c r="F1" s="33"/>
      <c r="G1" s="31" t="s">
        <v>9</v>
      </c>
      <c r="H1" s="31"/>
      <c r="I1" s="31"/>
      <c r="J1" s="31"/>
      <c r="K1" s="31"/>
      <c r="L1" s="31"/>
      <c r="M1" s="32" t="s">
        <v>10</v>
      </c>
      <c r="N1" s="31"/>
      <c r="O1" s="31"/>
      <c r="P1" s="31"/>
      <c r="Q1" s="31"/>
      <c r="R1" s="33"/>
      <c r="S1" s="31" t="s">
        <v>11</v>
      </c>
      <c r="T1" s="31"/>
      <c r="U1" s="31"/>
      <c r="V1" s="31"/>
      <c r="W1" s="31"/>
      <c r="X1" s="31"/>
    </row>
    <row r="2" spans="1:24" x14ac:dyDescent="0.2">
      <c r="A2" s="13" t="s">
        <v>12</v>
      </c>
      <c r="B2" s="14" t="s">
        <v>0</v>
      </c>
      <c r="C2" s="14" t="s">
        <v>14</v>
      </c>
      <c r="D2" s="14" t="s">
        <v>1</v>
      </c>
      <c r="E2" s="14" t="s">
        <v>2</v>
      </c>
      <c r="F2" s="15" t="s">
        <v>3</v>
      </c>
      <c r="G2" s="14" t="s">
        <v>12</v>
      </c>
      <c r="H2" s="14" t="s">
        <v>0</v>
      </c>
      <c r="I2" s="14" t="s">
        <v>14</v>
      </c>
      <c r="J2" s="14" t="s">
        <v>1</v>
      </c>
      <c r="K2" s="14" t="s">
        <v>2</v>
      </c>
      <c r="L2" s="14" t="s">
        <v>3</v>
      </c>
      <c r="M2" s="13" t="s">
        <v>12</v>
      </c>
      <c r="N2" s="14" t="s">
        <v>0</v>
      </c>
      <c r="O2" s="14" t="s">
        <v>14</v>
      </c>
      <c r="P2" s="14" t="s">
        <v>1</v>
      </c>
      <c r="Q2" s="14" t="s">
        <v>2</v>
      </c>
      <c r="R2" s="15" t="s">
        <v>3</v>
      </c>
      <c r="S2" s="14" t="s">
        <v>12</v>
      </c>
      <c r="T2" s="14" t="s">
        <v>0</v>
      </c>
      <c r="U2" s="14" t="s">
        <v>14</v>
      </c>
      <c r="V2" s="14" t="s">
        <v>1</v>
      </c>
      <c r="W2" s="14" t="s">
        <v>2</v>
      </c>
      <c r="X2" s="14" t="s">
        <v>3</v>
      </c>
    </row>
    <row r="3" spans="1:24" x14ac:dyDescent="0.2">
      <c r="A3" s="12">
        <v>0</v>
      </c>
      <c r="B3">
        <f>[1]gpt4omini_single_100!L2</f>
        <v>0</v>
      </c>
      <c r="C3">
        <f>[2]gpt4omini_single_100!L2</f>
        <v>0</v>
      </c>
      <c r="D3">
        <f>[3]gpt4omini_single_100!L2</f>
        <v>0</v>
      </c>
      <c r="E3" s="24"/>
      <c r="F3" s="11">
        <f>[4]gpt4omini_single_100!L2</f>
        <v>0</v>
      </c>
      <c r="G3">
        <v>0</v>
      </c>
      <c r="H3">
        <f>[1]gpt4omini_single_60!L2</f>
        <v>0</v>
      </c>
      <c r="I3">
        <f>[2]gpt4omini_single_60!L2</f>
        <v>0</v>
      </c>
      <c r="J3">
        <f>[3]gpt4omini_single_60!L2</f>
        <v>0</v>
      </c>
      <c r="K3" s="24"/>
      <c r="L3">
        <f>[4]gpt4omini_single_60!L2</f>
        <v>0</v>
      </c>
      <c r="M3" s="12">
        <v>0</v>
      </c>
      <c r="N3">
        <f>[1]gpt4omini_single_100_2!L2</f>
        <v>0</v>
      </c>
      <c r="O3">
        <f>[2]gpt4omini_single_100_2!L2</f>
        <v>0</v>
      </c>
      <c r="P3">
        <f>[3]gpt4omini_single_100_2!L2</f>
        <v>0</v>
      </c>
      <c r="Q3" s="24"/>
      <c r="R3" s="11">
        <f>[4]gpt4omini_single_100_2!L2</f>
        <v>0</v>
      </c>
      <c r="S3">
        <v>0</v>
      </c>
      <c r="T3">
        <f>[1]gpt4omini_single_60_2!L2</f>
        <v>0</v>
      </c>
      <c r="U3">
        <f>[2]gpt4omini_single_60_2!L2</f>
        <v>0</v>
      </c>
      <c r="V3">
        <f>[3]gpt4omini_single_60_2!L2</f>
        <v>0</v>
      </c>
      <c r="W3" s="24"/>
      <c r="X3">
        <f>[4]gpt4omini_single_60_2!L2</f>
        <v>0</v>
      </c>
    </row>
    <row r="4" spans="1:24" x14ac:dyDescent="0.2">
      <c r="A4" s="12">
        <v>1</v>
      </c>
      <c r="B4">
        <f>[1]gpt4omini_single_100!L3</f>
        <v>2.1689999999999999E-3</v>
      </c>
      <c r="C4">
        <f>[2]gpt4omini_single_100!L3</f>
        <v>-1.3162E-2</v>
      </c>
      <c r="D4">
        <f>[3]gpt4omini_single_100!L3</f>
        <v>1.2999999999999999E-3</v>
      </c>
      <c r="E4" s="24"/>
      <c r="F4" s="11">
        <f>[4]gpt4omini_single_100!L3</f>
        <v>-6.1009999999999997E-3</v>
      </c>
      <c r="G4">
        <v>1</v>
      </c>
      <c r="H4">
        <f>[1]gpt4omini_single_60!L3</f>
        <v>-1.438E-3</v>
      </c>
      <c r="I4">
        <f>[2]gpt4omini_single_60!L3</f>
        <v>-1.8114999999999999E-2</v>
      </c>
      <c r="J4">
        <f>[3]gpt4omini_single_60!L3</f>
        <v>-6.1570000000000001E-3</v>
      </c>
      <c r="K4" s="24"/>
      <c r="L4">
        <f>[4]gpt4omini_single_60!L3</f>
        <v>-7.6990000000000001E-3</v>
      </c>
      <c r="M4" s="12">
        <v>1</v>
      </c>
      <c r="N4">
        <f>[1]gpt4omini_single_100_2!L3</f>
        <v>-4.1309999999999999E-2</v>
      </c>
      <c r="O4">
        <f>[2]gpt4omini_single_100_2!L3</f>
        <v>-1.2038999999999999E-2</v>
      </c>
      <c r="P4">
        <f>[3]gpt4omini_single_100_2!L3</f>
        <v>-6.8170000000000001E-3</v>
      </c>
      <c r="Q4" s="24"/>
      <c r="R4" s="11">
        <f>[4]gpt4omini_single_100_2!L3</f>
        <v>-9.5130000000000006E-3</v>
      </c>
      <c r="S4">
        <v>1</v>
      </c>
      <c r="T4">
        <f>[1]gpt4omini_single_60_2!L3</f>
        <v>-3.1458E-2</v>
      </c>
      <c r="U4">
        <f>[2]gpt4omini_single_60_2!L3</f>
        <v>-3.5742999999999997E-2</v>
      </c>
      <c r="V4">
        <f>[3]gpt4omini_single_60_2!L3</f>
        <v>-0.21580099999999999</v>
      </c>
      <c r="W4" s="24"/>
      <c r="X4">
        <f>[4]gpt4omini_single_60_2!L3</f>
        <v>-4.5411E-2</v>
      </c>
    </row>
    <row r="5" spans="1:24" x14ac:dyDescent="0.2">
      <c r="A5" s="12">
        <v>2</v>
      </c>
      <c r="B5">
        <f>[1]gpt4omini_single_100!L4</f>
        <v>1.4761E-2</v>
      </c>
      <c r="C5">
        <f>[2]gpt4omini_single_100!L4</f>
        <v>-1.753E-3</v>
      </c>
      <c r="D5">
        <f>[3]gpt4omini_single_100!L4</f>
        <v>1.7861999999999999E-2</v>
      </c>
      <c r="E5" s="24"/>
      <c r="F5" s="11">
        <f>[4]gpt4omini_single_100!L4</f>
        <v>1.1514999999999999E-2</v>
      </c>
      <c r="G5">
        <v>2</v>
      </c>
      <c r="H5">
        <f>[1]gpt4omini_single_60!L4</f>
        <v>9.358E-3</v>
      </c>
      <c r="I5">
        <f>[2]gpt4omini_single_60!L4</f>
        <v>-1.3408E-2</v>
      </c>
      <c r="J5">
        <f>[3]gpt4omini_single_60!L4</f>
        <v>3.0920000000000001E-3</v>
      </c>
      <c r="K5" s="24"/>
      <c r="L5">
        <f>[4]gpt4omini_single_60!L4</f>
        <v>-9.4230000000000008E-3</v>
      </c>
      <c r="M5" s="12">
        <v>2</v>
      </c>
      <c r="N5">
        <f>[1]gpt4omini_single_100_2!L4</f>
        <v>-3.3348999999999997E-2</v>
      </c>
      <c r="O5">
        <f>[2]gpt4omini_single_100_2!L4</f>
        <v>-6.2700000000000004E-3</v>
      </c>
      <c r="P5">
        <f>[3]gpt4omini_single_100_2!L4</f>
        <v>2.9910000000000002E-3</v>
      </c>
      <c r="Q5" s="24"/>
      <c r="R5" s="11">
        <f>[4]gpt4omini_single_100_2!L4</f>
        <v>-1.3159999999999999E-3</v>
      </c>
      <c r="S5">
        <v>2</v>
      </c>
      <c r="T5">
        <f>[1]gpt4omini_single_60_2!L4</f>
        <v>-3.1496999999999997E-2</v>
      </c>
      <c r="U5">
        <f>[2]gpt4omini_single_60_2!L4</f>
        <v>-3.6517000000000001E-2</v>
      </c>
      <c r="V5">
        <f>[3]gpt4omini_single_60_2!L4</f>
        <v>-0.36114600000000002</v>
      </c>
      <c r="W5" s="24"/>
      <c r="X5">
        <f>[4]gpt4omini_single_60_2!L4</f>
        <v>-9.1517000000000001E-2</v>
      </c>
    </row>
    <row r="6" spans="1:24" x14ac:dyDescent="0.2">
      <c r="A6" s="12">
        <v>3</v>
      </c>
      <c r="B6">
        <f>[1]gpt4omini_single_100!L5</f>
        <v>2.3987000000000001E-2</v>
      </c>
      <c r="C6">
        <f>[2]gpt4omini_single_100!L5</f>
        <v>7.5589999999999997E-3</v>
      </c>
      <c r="D6">
        <f>[3]gpt4omini_single_100!L5</f>
        <v>3.6545000000000001E-2</v>
      </c>
      <c r="E6" s="24"/>
      <c r="F6" s="11">
        <f>[4]gpt4omini_single_100!L5</f>
        <v>2.9023E-2</v>
      </c>
      <c r="G6">
        <v>3</v>
      </c>
      <c r="H6">
        <f>[1]gpt4omini_single_60!L5</f>
        <v>1.2710000000000001E-2</v>
      </c>
      <c r="I6">
        <f>[2]gpt4omini_single_60!L5</f>
        <v>4.8250000000000003E-3</v>
      </c>
      <c r="J6">
        <f>[3]gpt4omini_single_60!L5</f>
        <v>1.0579E-2</v>
      </c>
      <c r="K6" s="24"/>
      <c r="L6">
        <f>[4]gpt4omini_single_60!L5</f>
        <v>-3.6849999999999999E-3</v>
      </c>
      <c r="M6" s="12">
        <v>3</v>
      </c>
      <c r="N6">
        <f>[1]gpt4omini_single_100_2!L5</f>
        <v>-2.8563999999999999E-2</v>
      </c>
      <c r="O6">
        <f>[2]gpt4omini_single_100_2!L5</f>
        <v>-1.3110000000000001E-3</v>
      </c>
      <c r="P6">
        <f>[3]gpt4omini_single_100_2!L5</f>
        <v>6.6649999999999999E-3</v>
      </c>
      <c r="Q6" s="24"/>
      <c r="R6" s="11">
        <f>[4]gpt4omini_single_100_2!L5</f>
        <v>1.0102999999999999E-2</v>
      </c>
      <c r="S6">
        <v>3</v>
      </c>
      <c r="T6">
        <f>[1]gpt4omini_single_60_2!L5</f>
        <v>-2.4232E-2</v>
      </c>
      <c r="U6">
        <f>[2]gpt4omini_single_60_2!L5</f>
        <v>-3.5610000000000003E-2</v>
      </c>
      <c r="V6">
        <f>[3]gpt4omini_single_60_2!L5</f>
        <v>-0.35297200000000001</v>
      </c>
      <c r="W6" s="24"/>
      <c r="X6">
        <f>[4]gpt4omini_single_60_2!L5</f>
        <v>-0.10688300000000001</v>
      </c>
    </row>
    <row r="7" spans="1:24" x14ac:dyDescent="0.2">
      <c r="A7" s="12">
        <v>4</v>
      </c>
      <c r="B7">
        <f>[1]gpt4omini_single_100!L6</f>
        <v>1.8976E-2</v>
      </c>
      <c r="C7">
        <f>[2]gpt4omini_single_100!L6</f>
        <v>1.1789000000000001E-2</v>
      </c>
      <c r="D7">
        <f>[3]gpt4omini_single_100!L6</f>
        <v>4.1394E-2</v>
      </c>
      <c r="E7" s="24"/>
      <c r="F7" s="11">
        <f>[4]gpt4omini_single_100!L6</f>
        <v>3.5629000000000001E-2</v>
      </c>
      <c r="G7">
        <v>4</v>
      </c>
      <c r="H7">
        <f>[1]gpt4omini_single_60!L6</f>
        <v>1.6976000000000002E-2</v>
      </c>
      <c r="I7">
        <f>[2]gpt4omini_single_60!L6</f>
        <v>-4.4060000000000002E-3</v>
      </c>
      <c r="J7">
        <f>[3]gpt4omini_single_60!L6</f>
        <v>-1.1269E-2</v>
      </c>
      <c r="K7" s="24"/>
      <c r="L7">
        <f>[4]gpt4omini_single_60!L6</f>
        <v>1.6056999999999998E-2</v>
      </c>
      <c r="M7" s="12">
        <v>4</v>
      </c>
      <c r="N7">
        <f>[1]gpt4omini_single_100_2!L6</f>
        <v>-3.5706000000000002E-2</v>
      </c>
      <c r="O7">
        <f>[2]gpt4omini_single_100_2!L6</f>
        <v>-1.472E-3</v>
      </c>
      <c r="P7">
        <f>[3]gpt4omini_single_100_2!L6</f>
        <v>2.8830000000000001E-3</v>
      </c>
      <c r="Q7" s="24"/>
      <c r="R7" s="11">
        <f>[4]gpt4omini_single_100_2!L6</f>
        <v>6.0179999999999999E-3</v>
      </c>
      <c r="S7">
        <v>4</v>
      </c>
      <c r="T7">
        <f>[1]gpt4omini_single_60_2!L6</f>
        <v>-3.0117000000000001E-2</v>
      </c>
      <c r="U7">
        <f>[2]gpt4omini_single_60_2!L6</f>
        <v>-6.6069000000000003E-2</v>
      </c>
      <c r="V7">
        <f>[3]gpt4omini_single_60_2!L6</f>
        <v>-0.35585</v>
      </c>
      <c r="W7" s="24"/>
      <c r="X7">
        <f>[4]gpt4omini_single_60_2!L6</f>
        <v>-0.102454</v>
      </c>
    </row>
    <row r="8" spans="1:24" x14ac:dyDescent="0.2">
      <c r="A8" s="12">
        <v>5</v>
      </c>
      <c r="B8">
        <f>[1]gpt4omini_single_100!L7</f>
        <v>3.4826999999999997E-2</v>
      </c>
      <c r="C8">
        <f>[2]gpt4omini_single_100!L7</f>
        <v>2.1205000000000002E-2</v>
      </c>
      <c r="D8">
        <f>[3]gpt4omini_single_100!L7</f>
        <v>5.3619E-2</v>
      </c>
      <c r="E8" s="24"/>
      <c r="F8" s="11">
        <f>[4]gpt4omini_single_100!L7</f>
        <v>5.0768000000000001E-2</v>
      </c>
      <c r="G8">
        <v>5</v>
      </c>
      <c r="H8">
        <f>[1]gpt4omini_single_60!L7</f>
        <v>-5.3638999999999999E-2</v>
      </c>
      <c r="I8">
        <f>[2]gpt4omini_single_60!L7</f>
        <v>-7.9380000000000006E-3</v>
      </c>
      <c r="J8">
        <f>[3]gpt4omini_single_60!L7</f>
        <v>-7.3530000000000002E-3</v>
      </c>
      <c r="K8" s="24"/>
      <c r="L8">
        <f>[4]gpt4omini_single_60!L7</f>
        <v>2.5892999999999999E-2</v>
      </c>
      <c r="M8" s="12">
        <v>5</v>
      </c>
      <c r="N8">
        <f>[1]gpt4omini_single_100_2!L7</f>
        <v>-4.4777999999999998E-2</v>
      </c>
      <c r="O8">
        <f>[2]gpt4omini_single_100_2!L7</f>
        <v>-9.0620000000000006E-3</v>
      </c>
      <c r="P8">
        <f>[3]gpt4omini_single_100_2!L7</f>
        <v>-4.0169999999999997E-3</v>
      </c>
      <c r="Q8" s="24"/>
      <c r="R8" s="11">
        <f>[4]gpt4omini_single_100_2!L7</f>
        <v>3.1199999999999999E-4</v>
      </c>
      <c r="S8">
        <v>5</v>
      </c>
      <c r="T8">
        <f>[1]gpt4omini_single_60_2!L7</f>
        <v>-5.7658000000000001E-2</v>
      </c>
      <c r="U8">
        <f>[2]gpt4omini_single_60_2!L7</f>
        <v>-9.3031000000000003E-2</v>
      </c>
      <c r="V8">
        <f>[3]gpt4omini_single_60_2!L7</f>
        <v>-0.34027299999999999</v>
      </c>
      <c r="W8" s="24"/>
      <c r="X8">
        <f>[4]gpt4omini_single_60_2!L7</f>
        <v>-0.137851</v>
      </c>
    </row>
    <row r="9" spans="1:24" x14ac:dyDescent="0.2">
      <c r="A9" s="12">
        <v>6</v>
      </c>
      <c r="B9">
        <f>[1]gpt4omini_single_100!L8</f>
        <v>5.5274999999999998E-2</v>
      </c>
      <c r="C9">
        <f>[2]gpt4omini_single_100!L8</f>
        <v>1.421E-2</v>
      </c>
      <c r="D9">
        <f>[3]gpt4omini_single_100!L8</f>
        <v>7.4298000000000003E-2</v>
      </c>
      <c r="E9" s="24"/>
      <c r="F9" s="11">
        <f>[4]gpt4omini_single_100!L8</f>
        <v>5.6467000000000003E-2</v>
      </c>
      <c r="G9">
        <v>6</v>
      </c>
      <c r="H9">
        <f>[1]gpt4omini_single_60!L8</f>
        <v>-8.4855E-2</v>
      </c>
      <c r="I9">
        <f>[2]gpt4omini_single_60!L8</f>
        <v>-3.9290000000000002E-3</v>
      </c>
      <c r="J9">
        <f>[3]gpt4omini_single_60!L8</f>
        <v>2.4810000000000001E-3</v>
      </c>
      <c r="K9" s="24"/>
      <c r="L9">
        <f>[4]gpt4omini_single_60!L8</f>
        <v>2.452E-2</v>
      </c>
      <c r="M9" s="12">
        <v>6</v>
      </c>
      <c r="N9">
        <f>[1]gpt4omini_single_100_2!L8</f>
        <v>-5.4212000000000003E-2</v>
      </c>
      <c r="O9">
        <f>[2]gpt4omini_single_100_2!L8</f>
        <v>2.0469999999999999E-2</v>
      </c>
      <c r="P9">
        <f>[3]gpt4omini_single_100_2!L8</f>
        <v>-1.6469000000000001E-2</v>
      </c>
      <c r="Q9" s="24"/>
      <c r="R9" s="11">
        <f>[4]gpt4omini_single_100_2!L8</f>
        <v>2.3362000000000001E-2</v>
      </c>
      <c r="S9">
        <v>6</v>
      </c>
      <c r="T9">
        <f>[1]gpt4omini_single_60_2!L8</f>
        <v>-5.6750000000000002E-2</v>
      </c>
      <c r="U9">
        <f>[2]gpt4omini_single_60_2!L8</f>
        <v>-9.0167999999999998E-2</v>
      </c>
      <c r="V9">
        <f>[3]gpt4omini_single_60_2!L8</f>
        <v>-0.40299800000000002</v>
      </c>
      <c r="W9" s="24"/>
      <c r="X9">
        <f>[4]gpt4omini_single_60_2!L8</f>
        <v>-0.14649599999999999</v>
      </c>
    </row>
    <row r="10" spans="1:24" x14ac:dyDescent="0.2">
      <c r="A10" s="12">
        <v>7</v>
      </c>
      <c r="B10">
        <f>[1]gpt4omini_single_100!L9</f>
        <v>7.6017000000000001E-2</v>
      </c>
      <c r="C10">
        <f>[2]gpt4omini_single_100!L9</f>
        <v>3.2912999999999998E-2</v>
      </c>
      <c r="D10">
        <f>[3]gpt4omini_single_100!L9</f>
        <v>8.4338999999999997E-2</v>
      </c>
      <c r="E10" s="24"/>
      <c r="F10" s="11">
        <f>[4]gpt4omini_single_100!L9</f>
        <v>6.1657999999999998E-2</v>
      </c>
      <c r="G10">
        <v>7</v>
      </c>
      <c r="H10">
        <f>[1]gpt4omini_single_60!L9</f>
        <v>-8.2696000000000006E-2</v>
      </c>
      <c r="I10">
        <f>[2]gpt4omini_single_60!L9</f>
        <v>1.8912999999999999E-2</v>
      </c>
      <c r="J10">
        <f>[3]gpt4omini_single_60!L9</f>
        <v>1.9552E-2</v>
      </c>
      <c r="K10" s="24"/>
      <c r="L10">
        <f>[4]gpt4omini_single_60!L9</f>
        <v>7.4966000000000005E-2</v>
      </c>
      <c r="M10" s="12">
        <v>7</v>
      </c>
      <c r="N10">
        <f>[1]gpt4omini_single_100_2!L9</f>
        <v>-4.1274999999999999E-2</v>
      </c>
      <c r="O10">
        <f>[2]gpt4omini_single_100_2!L9</f>
        <v>6.3759999999999997E-3</v>
      </c>
      <c r="P10">
        <f>[3]gpt4omini_single_100_2!L9</f>
        <v>-2.3019999999999999E-2</v>
      </c>
      <c r="Q10" s="24"/>
      <c r="R10" s="11">
        <f>[4]gpt4omini_single_100_2!L9</f>
        <v>2.4097E-2</v>
      </c>
      <c r="S10">
        <v>7</v>
      </c>
      <c r="T10">
        <f>[1]gpt4omini_single_60_2!L9</f>
        <v>-3.2569000000000001E-2</v>
      </c>
      <c r="U10">
        <f>[2]gpt4omini_single_60_2!L9</f>
        <v>-9.3033000000000005E-2</v>
      </c>
      <c r="V10">
        <f>[3]gpt4omini_single_60_2!L9</f>
        <v>-0.40076699999999998</v>
      </c>
      <c r="W10" s="24"/>
      <c r="X10">
        <f>[4]gpt4omini_single_60_2!L9</f>
        <v>-0.150003</v>
      </c>
    </row>
    <row r="11" spans="1:24" x14ac:dyDescent="0.2">
      <c r="A11" s="12">
        <v>8</v>
      </c>
      <c r="B11">
        <f>[1]gpt4omini_single_100!L10</f>
        <v>9.3310000000000004E-2</v>
      </c>
      <c r="C11">
        <f>[2]gpt4omini_single_100!L10</f>
        <v>5.7912999999999999E-2</v>
      </c>
      <c r="D11">
        <f>[3]gpt4omini_single_100!L10</f>
        <v>9.3510999999999997E-2</v>
      </c>
      <c r="E11" s="24"/>
      <c r="F11" s="11">
        <f>[4]gpt4omini_single_100!L10</f>
        <v>8.9640999999999998E-2</v>
      </c>
      <c r="G11">
        <v>8</v>
      </c>
      <c r="H11">
        <f>[1]gpt4omini_single_60!L10</f>
        <v>-5.4463999999999999E-2</v>
      </c>
      <c r="I11">
        <f>[2]gpt4omini_single_60!L10</f>
        <v>3.474E-2</v>
      </c>
      <c r="J11">
        <f>[3]gpt4omini_single_60!L10</f>
        <v>7.7883999999999995E-2</v>
      </c>
      <c r="K11" s="24"/>
      <c r="L11">
        <f>[4]gpt4omini_single_60!L10</f>
        <v>9.5531000000000005E-2</v>
      </c>
      <c r="M11" s="12">
        <v>8</v>
      </c>
      <c r="N11">
        <f>[1]gpt4omini_single_100_2!L10</f>
        <v>-3.7200000000000002E-3</v>
      </c>
      <c r="O11">
        <f>[2]gpt4omini_single_100_2!L10</f>
        <v>1.8109999999999999E-3</v>
      </c>
      <c r="P11">
        <f>[3]gpt4omini_single_100_2!L10</f>
        <v>-1.2205000000000001E-2</v>
      </c>
      <c r="Q11" s="24"/>
      <c r="R11" s="11">
        <f>[4]gpt4omini_single_100_2!L10</f>
        <v>3.1503000000000003E-2</v>
      </c>
      <c r="S11">
        <v>8</v>
      </c>
      <c r="T11">
        <f>[1]gpt4omini_single_60_2!L10</f>
        <v>-3.2045999999999998E-2</v>
      </c>
      <c r="U11">
        <f>[2]gpt4omini_single_60_2!L10</f>
        <v>-0.229213</v>
      </c>
      <c r="V11">
        <f>[3]gpt4omini_single_60_2!L10</f>
        <v>-0.33114900000000003</v>
      </c>
      <c r="W11" s="24"/>
      <c r="X11">
        <f>[4]gpt4omini_single_60_2!L10</f>
        <v>-8.8641999999999999E-2</v>
      </c>
    </row>
    <row r="12" spans="1:24" x14ac:dyDescent="0.2">
      <c r="A12" s="12">
        <v>9</v>
      </c>
      <c r="B12">
        <f>[1]gpt4omini_single_100!L11</f>
        <v>0.12856000000000001</v>
      </c>
      <c r="C12">
        <f>[2]gpt4omini_single_100!L11</f>
        <v>7.1565000000000004E-2</v>
      </c>
      <c r="D12">
        <f>[3]gpt4omini_single_100!L11</f>
        <v>0.118896</v>
      </c>
      <c r="E12" s="24"/>
      <c r="F12" s="11">
        <f>[4]gpt4omini_single_100!L11</f>
        <v>9.5440999999999998E-2</v>
      </c>
      <c r="G12">
        <v>9</v>
      </c>
      <c r="H12">
        <f>[1]gpt4omini_single_60!L11</f>
        <v>-5.4843000000000003E-2</v>
      </c>
      <c r="I12">
        <f>[2]gpt4omini_single_60!L11</f>
        <v>4.5450999999999998E-2</v>
      </c>
      <c r="J12">
        <f>[3]gpt4omini_single_60!L11</f>
        <v>0.12790799999999999</v>
      </c>
      <c r="K12" s="24"/>
      <c r="L12">
        <f>[4]gpt4omini_single_60!L11</f>
        <v>0.15964999999999999</v>
      </c>
      <c r="M12" s="12">
        <v>9</v>
      </c>
      <c r="N12">
        <f>[1]gpt4omini_single_100_2!L11</f>
        <v>-1.7080999999999999E-2</v>
      </c>
      <c r="O12">
        <f>[2]gpt4omini_single_100_2!L11</f>
        <v>-1.0591E-2</v>
      </c>
      <c r="P12">
        <f>[3]gpt4omini_single_100_2!L11</f>
        <v>7.7949999999999998E-3</v>
      </c>
      <c r="Q12" s="24"/>
      <c r="R12" s="11">
        <f>[4]gpt4omini_single_100_2!L11</f>
        <v>2.6960000000000001E-2</v>
      </c>
      <c r="S12">
        <v>9</v>
      </c>
      <c r="T12">
        <f>[1]gpt4omini_single_60_2!L11</f>
        <v>-2.4941000000000001E-2</v>
      </c>
      <c r="U12">
        <f>[2]gpt4omini_single_60_2!L11</f>
        <v>-0.375774</v>
      </c>
      <c r="V12">
        <f>[3]gpt4omini_single_60_2!L11</f>
        <v>-0.41089999999999999</v>
      </c>
      <c r="W12" s="24"/>
      <c r="X12">
        <f>[4]gpt4omini_single_60_2!L11</f>
        <v>-9.2904E-2</v>
      </c>
    </row>
    <row r="13" spans="1:24" x14ac:dyDescent="0.2">
      <c r="A13" s="12">
        <v>10</v>
      </c>
      <c r="B13">
        <f>[1]gpt4omini_single_100!L12</f>
        <v>0.100705</v>
      </c>
      <c r="C13">
        <f>[2]gpt4omini_single_100!L12</f>
        <v>5.7936000000000001E-2</v>
      </c>
      <c r="D13">
        <f>[3]gpt4omini_single_100!L12</f>
        <v>0.168042</v>
      </c>
      <c r="E13" s="24"/>
      <c r="F13" s="11">
        <f>[4]gpt4omini_single_100!L12</f>
        <v>0.102947</v>
      </c>
      <c r="G13">
        <v>10</v>
      </c>
      <c r="H13">
        <f>[1]gpt4omini_single_60!L12</f>
        <v>-7.4410000000000004E-2</v>
      </c>
      <c r="I13">
        <f>[2]gpt4omini_single_60!L12</f>
        <v>3.5701999999999998E-2</v>
      </c>
      <c r="J13">
        <f>[3]gpt4omini_single_60!L12</f>
        <v>0.13774</v>
      </c>
      <c r="K13" s="24"/>
      <c r="L13">
        <f>[4]gpt4omini_single_60!L12</f>
        <v>0.172016</v>
      </c>
      <c r="M13" s="12">
        <v>10</v>
      </c>
      <c r="N13">
        <f>[1]gpt4omini_single_100_2!L12</f>
        <v>-3.8431E-2</v>
      </c>
      <c r="O13">
        <f>[2]gpt4omini_single_100_2!L12</f>
        <v>-4.55E-4</v>
      </c>
      <c r="P13">
        <f>[3]gpt4omini_single_100_2!L12</f>
        <v>-3.5861999999999998E-2</v>
      </c>
      <c r="Q13" s="24"/>
      <c r="R13" s="11">
        <f>[4]gpt4omini_single_100_2!L12</f>
        <v>1.1978000000000001E-2</v>
      </c>
      <c r="S13">
        <v>10</v>
      </c>
      <c r="T13">
        <f>[1]gpt4omini_single_60_2!L12</f>
        <v>-4.3163E-2</v>
      </c>
      <c r="U13">
        <f>[2]gpt4omini_single_60_2!L12</f>
        <v>-0.38926300000000003</v>
      </c>
      <c r="V13">
        <f>[3]gpt4omini_single_60_2!L12</f>
        <v>-0.432863</v>
      </c>
      <c r="W13" s="24"/>
      <c r="X13">
        <f>[4]gpt4omini_single_60_2!L12</f>
        <v>-0.143013</v>
      </c>
    </row>
    <row r="14" spans="1:24" x14ac:dyDescent="0.2">
      <c r="A14" s="12">
        <v>11</v>
      </c>
      <c r="B14">
        <f>[1]gpt4omini_single_100!L13</f>
        <v>0.10836800000000001</v>
      </c>
      <c r="C14">
        <f>[2]gpt4omini_single_100!L13</f>
        <v>6.1823999999999997E-2</v>
      </c>
      <c r="D14">
        <f>[3]gpt4omini_single_100!L13</f>
        <v>0.19702800000000001</v>
      </c>
      <c r="E14" s="24"/>
      <c r="F14" s="11">
        <f>[4]gpt4omini_single_100!L13</f>
        <v>0.124358</v>
      </c>
      <c r="G14">
        <v>11</v>
      </c>
      <c r="H14">
        <f>[1]gpt4omini_single_60!L13</f>
        <v>-1.1741E-2</v>
      </c>
      <c r="I14">
        <f>[2]gpt4omini_single_60!L13</f>
        <v>3.3959000000000003E-2</v>
      </c>
      <c r="J14">
        <f>[3]gpt4omini_single_60!L13</f>
        <v>0.14286499999999999</v>
      </c>
      <c r="K14" s="24"/>
      <c r="L14">
        <f>[4]gpt4omini_single_60!L13</f>
        <v>0.177479</v>
      </c>
      <c r="M14" s="12">
        <v>11</v>
      </c>
      <c r="N14">
        <f>[1]gpt4omini_single_100_2!L13</f>
        <v>-5.1664000000000002E-2</v>
      </c>
      <c r="O14">
        <f>[2]gpt4omini_single_100_2!L13</f>
        <v>3.2322999999999998E-2</v>
      </c>
      <c r="P14">
        <f>[3]gpt4omini_single_100_2!L13</f>
        <v>1.9687E-2</v>
      </c>
      <c r="Q14" s="24"/>
      <c r="R14" s="11">
        <f>[4]gpt4omini_single_100_2!L13</f>
        <v>4.9170000000000004E-3</v>
      </c>
      <c r="S14">
        <v>11</v>
      </c>
      <c r="T14">
        <f>[1]gpt4omini_single_60_2!L13</f>
        <v>-8.1337000000000007E-2</v>
      </c>
      <c r="U14">
        <f>[2]gpt4omini_single_60_2!L13</f>
        <v>-0.41871599999999998</v>
      </c>
      <c r="V14">
        <f>[3]gpt4omini_single_60_2!L13</f>
        <v>-0.44192300000000001</v>
      </c>
      <c r="W14" s="24"/>
      <c r="X14">
        <f>[4]gpt4omini_single_60_2!L13</f>
        <v>-0.13861200000000001</v>
      </c>
    </row>
    <row r="15" spans="1:24" x14ac:dyDescent="0.2">
      <c r="A15" s="12">
        <v>12</v>
      </c>
      <c r="B15">
        <f>[1]gpt4omini_single_100!L14</f>
        <v>0.12246700000000001</v>
      </c>
      <c r="C15">
        <f>[2]gpt4omini_single_100!L14</f>
        <v>7.5005000000000002E-2</v>
      </c>
      <c r="D15">
        <f>[3]gpt4omini_single_100!L14</f>
        <v>0.21482899999999999</v>
      </c>
      <c r="E15" s="24"/>
      <c r="F15" s="11">
        <f>[4]gpt4omini_single_100!L14</f>
        <v>0.13461699999999999</v>
      </c>
      <c r="G15">
        <v>12</v>
      </c>
      <c r="H15">
        <f>[1]gpt4omini_single_60!L14</f>
        <v>-1.5839999999999999E-3</v>
      </c>
      <c r="I15">
        <f>[2]gpt4omini_single_60!L14</f>
        <v>3.8806E-2</v>
      </c>
      <c r="J15">
        <f>[3]gpt4omini_single_60!L14</f>
        <v>0.16042400000000001</v>
      </c>
      <c r="K15" s="24"/>
      <c r="L15">
        <f>[4]gpt4omini_single_60!L14</f>
        <v>0.17879999999999999</v>
      </c>
      <c r="M15" s="12">
        <v>12</v>
      </c>
      <c r="N15">
        <f>[1]gpt4omini_single_100_2!L14</f>
        <v>-4.3439999999999999E-2</v>
      </c>
      <c r="O15">
        <f>[2]gpt4omini_single_100_2!L14</f>
        <v>5.9950000000000003E-2</v>
      </c>
      <c r="P15">
        <f>[3]gpt4omini_single_100_2!L14</f>
        <v>2.7882000000000001E-2</v>
      </c>
      <c r="Q15" s="24"/>
      <c r="R15" s="11">
        <f>[4]gpt4omini_single_100_2!L14</f>
        <v>1.1202E-2</v>
      </c>
      <c r="S15">
        <v>12</v>
      </c>
      <c r="T15">
        <f>[1]gpt4omini_single_60_2!L14</f>
        <v>-7.6198000000000002E-2</v>
      </c>
      <c r="U15">
        <f>[2]gpt4omini_single_60_2!L14</f>
        <v>-0.44030799999999998</v>
      </c>
      <c r="V15">
        <f>[3]gpt4omini_single_60_2!L14</f>
        <v>-0.49160599999999999</v>
      </c>
      <c r="W15" s="24"/>
      <c r="X15">
        <f>[4]gpt4omini_single_60_2!L14</f>
        <v>-0.14061199999999999</v>
      </c>
    </row>
    <row r="16" spans="1:24" x14ac:dyDescent="0.2">
      <c r="A16" s="12">
        <v>13</v>
      </c>
      <c r="B16">
        <f>[1]gpt4omini_single_100!L15</f>
        <v>0.12718599999999999</v>
      </c>
      <c r="C16">
        <f>[2]gpt4omini_single_100!L15</f>
        <v>8.3968000000000001E-2</v>
      </c>
      <c r="D16">
        <f>[3]gpt4omini_single_100!L15</f>
        <v>0.216721</v>
      </c>
      <c r="E16" s="24"/>
      <c r="F16" s="11">
        <f>[4]gpt4omini_single_100!L15</f>
        <v>0.160437</v>
      </c>
      <c r="G16">
        <v>13</v>
      </c>
      <c r="H16">
        <f>[1]gpt4omini_single_60!L15</f>
        <v>7.835E-3</v>
      </c>
      <c r="I16">
        <f>[2]gpt4omini_single_60!L15</f>
        <v>6.2126000000000001E-2</v>
      </c>
      <c r="J16">
        <f>[3]gpt4omini_single_60!L15</f>
        <v>0.17180000000000001</v>
      </c>
      <c r="K16" s="24"/>
      <c r="L16">
        <f>[4]gpt4omini_single_60!L15</f>
        <v>0.227659</v>
      </c>
      <c r="M16" s="12">
        <v>13</v>
      </c>
      <c r="N16">
        <f>[1]gpt4omini_single_100_2!L15</f>
        <v>-6.2073999999999997E-2</v>
      </c>
      <c r="O16">
        <f>[2]gpt4omini_single_100_2!L15</f>
        <v>5.0257999999999997E-2</v>
      </c>
      <c r="P16">
        <f>[3]gpt4omini_single_100_2!L15</f>
        <v>3.0356999999999999E-2</v>
      </c>
      <c r="Q16" s="24"/>
      <c r="R16" s="11">
        <f>[4]gpt4omini_single_100_2!L15</f>
        <v>2.7718E-2</v>
      </c>
      <c r="S16">
        <v>13</v>
      </c>
      <c r="T16">
        <f>[1]gpt4omini_single_60_2!L15</f>
        <v>-7.6811000000000004E-2</v>
      </c>
      <c r="U16">
        <f>[2]gpt4omini_single_60_2!L15</f>
        <v>-0.43719200000000003</v>
      </c>
      <c r="V16">
        <f>[3]gpt4omini_single_60_2!L15</f>
        <v>-0.50979300000000005</v>
      </c>
      <c r="W16" s="24"/>
      <c r="X16">
        <f>[4]gpt4omini_single_60_2!L15</f>
        <v>-0.15045700000000001</v>
      </c>
    </row>
    <row r="17" spans="1:24" x14ac:dyDescent="0.2">
      <c r="A17" s="12">
        <v>14</v>
      </c>
      <c r="B17">
        <f>[1]gpt4omini_single_100!L16</f>
        <v>0.142627</v>
      </c>
      <c r="C17">
        <f>[2]gpt4omini_single_100!L16</f>
        <v>7.1117E-2</v>
      </c>
      <c r="D17">
        <f>[3]gpt4omini_single_100!L16</f>
        <v>0.21363399999999999</v>
      </c>
      <c r="E17" s="24"/>
      <c r="F17" s="11">
        <f>[4]gpt4omini_single_100!L16</f>
        <v>0.145898</v>
      </c>
      <c r="G17">
        <v>14</v>
      </c>
      <c r="H17">
        <f>[1]gpt4omini_single_60!L16</f>
        <v>4.2647999999999998E-2</v>
      </c>
      <c r="I17">
        <f>[2]gpt4omini_single_60!L16</f>
        <v>0.10825600000000001</v>
      </c>
      <c r="J17">
        <f>[3]gpt4omini_single_60!L16</f>
        <v>0.17519599999999999</v>
      </c>
      <c r="K17" s="24"/>
      <c r="L17">
        <f>[4]gpt4omini_single_60!L16</f>
        <v>0.24237900000000001</v>
      </c>
      <c r="M17" s="12">
        <v>14</v>
      </c>
      <c r="N17">
        <f>[1]gpt4omini_single_100_2!L16</f>
        <v>-2.8320999999999999E-2</v>
      </c>
      <c r="O17">
        <f>[2]gpt4omini_single_100_2!L16</f>
        <v>1.4602E-2</v>
      </c>
      <c r="P17">
        <f>[3]gpt4omini_single_100_2!L16</f>
        <v>5.4704000000000003E-2</v>
      </c>
      <c r="Q17" s="24"/>
      <c r="R17" s="11">
        <f>[4]gpt4omini_single_100_2!L16</f>
        <v>-6.0099999999999997E-3</v>
      </c>
      <c r="S17">
        <v>14</v>
      </c>
      <c r="T17">
        <f>[1]gpt4omini_single_60_2!L16</f>
        <v>-0.18742400000000001</v>
      </c>
      <c r="U17">
        <f>[2]gpt4omini_single_60_2!L16</f>
        <v>-0.40747299999999997</v>
      </c>
      <c r="V17">
        <f>[3]gpt4omini_single_60_2!L16</f>
        <v>-0.45910099999999998</v>
      </c>
      <c r="W17" s="24"/>
      <c r="X17">
        <f>[4]gpt4omini_single_60_2!L16</f>
        <v>-0.181919</v>
      </c>
    </row>
    <row r="18" spans="1:24" x14ac:dyDescent="0.2">
      <c r="A18" s="12">
        <v>15</v>
      </c>
      <c r="B18">
        <f>[1]gpt4omini_single_100!L17</f>
        <v>0.14727399999999999</v>
      </c>
      <c r="C18">
        <f>[2]gpt4omini_single_100!L17</f>
        <v>7.9725000000000004E-2</v>
      </c>
      <c r="D18">
        <f>[3]gpt4omini_single_100!L17</f>
        <v>0.25921300000000003</v>
      </c>
      <c r="E18" s="24"/>
      <c r="F18" s="11">
        <f>[4]gpt4omini_single_100!L17</f>
        <v>0.16414999999999999</v>
      </c>
      <c r="G18">
        <v>15</v>
      </c>
      <c r="H18">
        <f>[1]gpt4omini_single_60!L17</f>
        <v>5.4923E-2</v>
      </c>
      <c r="I18">
        <f>[2]gpt4omini_single_60!L17</f>
        <v>0.15751599999999999</v>
      </c>
      <c r="J18">
        <f>[3]gpt4omini_single_60!L17</f>
        <v>0.28787699999999999</v>
      </c>
      <c r="K18" s="24"/>
      <c r="L18">
        <f>[4]gpt4omini_single_60!L17</f>
        <v>-1.3699999999999999E-3</v>
      </c>
      <c r="M18" s="12">
        <v>15</v>
      </c>
      <c r="N18">
        <f>[1]gpt4omini_single_100_2!L17</f>
        <v>-3.3399999999999999E-4</v>
      </c>
      <c r="O18">
        <f>[2]gpt4omini_single_100_2!L17</f>
        <v>2.291E-2</v>
      </c>
      <c r="P18">
        <f>[3]gpt4omini_single_100_2!L17</f>
        <v>4.8396000000000002E-2</v>
      </c>
      <c r="Q18" s="24"/>
      <c r="R18" s="11">
        <f>[4]gpt4omini_single_100_2!L17</f>
        <v>-1.1809999999999999E-2</v>
      </c>
      <c r="S18">
        <v>15</v>
      </c>
      <c r="T18">
        <f>[1]gpt4omini_single_60_2!L17</f>
        <v>-0.179535</v>
      </c>
      <c r="U18">
        <f>[2]gpt4omini_single_60_2!L17</f>
        <v>-0.53403500000000004</v>
      </c>
      <c r="V18">
        <f>[3]gpt4omini_single_60_2!L17</f>
        <v>-0.49409399999999998</v>
      </c>
      <c r="W18" s="24"/>
      <c r="X18">
        <f>[4]gpt4omini_single_60_2!L17</f>
        <v>-0.21506</v>
      </c>
    </row>
    <row r="19" spans="1:24" x14ac:dyDescent="0.2">
      <c r="A19" s="12">
        <v>16</v>
      </c>
      <c r="B19">
        <f>[1]gpt4omini_single_100!L18</f>
        <v>0.147207</v>
      </c>
      <c r="C19">
        <f>[2]gpt4omini_single_100!L18</f>
        <v>9.8337999999999995E-2</v>
      </c>
      <c r="D19">
        <f>[3]gpt4omini_single_100!L18</f>
        <v>0.27286300000000002</v>
      </c>
      <c r="E19" s="24"/>
      <c r="F19" s="11">
        <f>[4]gpt4omini_single_100!L18</f>
        <v>0.18692900000000001</v>
      </c>
      <c r="G19">
        <v>16</v>
      </c>
      <c r="H19">
        <f>[1]gpt4omini_single_60!L18</f>
        <v>0.339781</v>
      </c>
      <c r="I19">
        <f>[2]gpt4omini_single_60!L18</f>
        <v>0.15099099999999999</v>
      </c>
      <c r="J19">
        <f>[3]gpt4omini_single_60!L18</f>
        <v>0.26991599999999999</v>
      </c>
      <c r="K19" s="24"/>
      <c r="L19">
        <f>[4]gpt4omini_single_60!L18</f>
        <v>1.6285000000000001E-2</v>
      </c>
      <c r="M19" s="12">
        <v>16</v>
      </c>
      <c r="N19">
        <f>[1]gpt4omini_single_100_2!L18</f>
        <v>-1.3756000000000001E-2</v>
      </c>
      <c r="O19">
        <f>[2]gpt4omini_single_100_2!L18</f>
        <v>1.0135E-2</v>
      </c>
      <c r="P19">
        <f>[3]gpt4omini_single_100_2!L18</f>
        <v>3.8089999999999999E-3</v>
      </c>
      <c r="Q19" s="24"/>
      <c r="R19" s="11">
        <f>[4]gpt4omini_single_100_2!L18</f>
        <v>-2.6837E-2</v>
      </c>
      <c r="S19">
        <v>16</v>
      </c>
      <c r="T19">
        <f>[1]gpt4omini_single_60_2!L18</f>
        <v>-0.21226800000000001</v>
      </c>
      <c r="U19">
        <f>[2]gpt4omini_single_60_2!L18</f>
        <v>-0.56629600000000002</v>
      </c>
      <c r="V19">
        <f>[3]gpt4omini_single_60_2!L18</f>
        <v>-0.59119500000000003</v>
      </c>
      <c r="W19" s="24"/>
      <c r="X19">
        <f>[4]gpt4omini_single_60_2!L18</f>
        <v>-0.22004699999999999</v>
      </c>
    </row>
    <row r="20" spans="1:24" x14ac:dyDescent="0.2">
      <c r="A20" s="12">
        <v>17</v>
      </c>
      <c r="B20">
        <f>[1]gpt4omini_single_100!L19</f>
        <v>0.160243</v>
      </c>
      <c r="C20">
        <f>[2]gpt4omini_single_100!L19</f>
        <v>0.119297</v>
      </c>
      <c r="D20">
        <f>[3]gpt4omini_single_100!L19</f>
        <v>0.28747400000000001</v>
      </c>
      <c r="E20" s="24"/>
      <c r="F20" s="11">
        <f>[4]gpt4omini_single_100!L19</f>
        <v>0.20882400000000001</v>
      </c>
      <c r="G20">
        <v>17</v>
      </c>
      <c r="H20">
        <f>[1]gpt4omini_single_60!L19</f>
        <v>0.49051299999999998</v>
      </c>
      <c r="I20">
        <f>[2]gpt4omini_single_60!L19</f>
        <v>0.173878</v>
      </c>
      <c r="J20">
        <f>[3]gpt4omini_single_60!L19</f>
        <v>0.34790500000000002</v>
      </c>
      <c r="K20" s="24"/>
      <c r="L20">
        <f>[4]gpt4omini_single_60!L19</f>
        <v>4.0746999999999998E-2</v>
      </c>
      <c r="M20" s="12">
        <v>17</v>
      </c>
      <c r="N20">
        <f>[1]gpt4omini_single_100_2!L19</f>
        <v>-2.7807999999999999E-2</v>
      </c>
      <c r="O20">
        <f>[2]gpt4omini_single_100_2!L19</f>
        <v>-1.5583E-2</v>
      </c>
      <c r="P20">
        <f>[3]gpt4omini_single_100_2!L19</f>
        <v>1.8338E-2</v>
      </c>
      <c r="Q20" s="24"/>
      <c r="R20" s="11">
        <f>[4]gpt4omini_single_100_2!L19</f>
        <v>-3.2432999999999997E-2</v>
      </c>
      <c r="S20">
        <v>17</v>
      </c>
      <c r="T20">
        <f>[1]gpt4omini_single_60_2!L19</f>
        <v>-0.195217</v>
      </c>
      <c r="U20">
        <f>[2]gpt4omini_single_60_2!L19</f>
        <v>-0.51652699999999996</v>
      </c>
      <c r="V20">
        <f>[3]gpt4omini_single_60_2!L19</f>
        <v>-0.57900200000000002</v>
      </c>
      <c r="W20" s="24"/>
      <c r="X20">
        <f>[4]gpt4omini_single_60_2!L19</f>
        <v>-0.23363100000000001</v>
      </c>
    </row>
    <row r="21" spans="1:24" x14ac:dyDescent="0.2">
      <c r="A21" s="12">
        <v>18</v>
      </c>
      <c r="B21">
        <f>[1]gpt4omini_single_100!L20</f>
        <v>0.17315900000000001</v>
      </c>
      <c r="C21">
        <f>[2]gpt4omini_single_100!L20</f>
        <v>0.17469799999999999</v>
      </c>
      <c r="D21">
        <f>[3]gpt4omini_single_100!L20</f>
        <v>0.31177300000000002</v>
      </c>
      <c r="E21" s="24"/>
      <c r="F21" s="11">
        <f>[4]gpt4omini_single_100!L20</f>
        <v>0.22448399999999999</v>
      </c>
      <c r="G21">
        <v>18</v>
      </c>
      <c r="H21">
        <f>[1]gpt4omini_single_60!L20</f>
        <v>0.53585799999999995</v>
      </c>
      <c r="I21">
        <f>[2]gpt4omini_single_60!L20</f>
        <v>0.26764700000000002</v>
      </c>
      <c r="J21">
        <f>[3]gpt4omini_single_60!L20</f>
        <v>0.32756400000000002</v>
      </c>
      <c r="K21" s="24"/>
      <c r="L21">
        <f>[4]gpt4omini_single_60!L20</f>
        <v>8.9277999999999996E-2</v>
      </c>
      <c r="M21" s="12">
        <v>18</v>
      </c>
      <c r="N21">
        <f>[1]gpt4omini_single_100_2!L20</f>
        <v>6.3020000000000003E-3</v>
      </c>
      <c r="O21">
        <f>[2]gpt4omini_single_100_2!L20</f>
        <v>3.5410999999999998E-2</v>
      </c>
      <c r="P21">
        <f>[3]gpt4omini_single_100_2!L20</f>
        <v>1.6367E-2</v>
      </c>
      <c r="Q21" s="24"/>
      <c r="R21" s="11">
        <f>[4]gpt4omini_single_100_2!L20</f>
        <v>-3.6428000000000002E-2</v>
      </c>
      <c r="S21">
        <v>18</v>
      </c>
      <c r="T21">
        <f>[1]gpt4omini_single_60_2!L20</f>
        <v>-0.246361</v>
      </c>
      <c r="U21">
        <f>[2]gpt4omini_single_60_2!L20</f>
        <v>-0.63717500000000005</v>
      </c>
      <c r="V21">
        <f>[3]gpt4omini_single_60_2!L20</f>
        <v>-0.64296699999999996</v>
      </c>
      <c r="W21" s="24"/>
      <c r="X21">
        <f>[4]gpt4omini_single_60_2!L20</f>
        <v>-0.25744400000000001</v>
      </c>
    </row>
    <row r="22" spans="1:24" x14ac:dyDescent="0.2">
      <c r="A22" s="12">
        <v>19</v>
      </c>
      <c r="B22">
        <f>[1]gpt4omini_single_100!L21</f>
        <v>0.18689800000000001</v>
      </c>
      <c r="C22">
        <f>[2]gpt4omini_single_100!L21</f>
        <v>0.20177400000000001</v>
      </c>
      <c r="D22">
        <f>[3]gpt4omini_single_100!L21</f>
        <v>0.29654700000000001</v>
      </c>
      <c r="E22" s="24"/>
      <c r="F22" s="11">
        <f>[4]gpt4omini_single_100!L21</f>
        <v>0.26117899999999999</v>
      </c>
      <c r="G22">
        <v>19</v>
      </c>
      <c r="H22">
        <f>[1]gpt4omini_single_60!L21</f>
        <v>0.49388900000000002</v>
      </c>
      <c r="I22">
        <f>[2]gpt4omini_single_60!L21</f>
        <v>0.27869699999999997</v>
      </c>
      <c r="J22">
        <f>[3]gpt4omini_single_60!L21</f>
        <v>0.35802299999999998</v>
      </c>
      <c r="K22" s="24"/>
      <c r="L22">
        <f>[4]gpt4omini_single_60!L21</f>
        <v>0.103535</v>
      </c>
      <c r="M22" s="12">
        <v>19</v>
      </c>
      <c r="N22">
        <f>[1]gpt4omini_single_100_2!L21</f>
        <v>6.9764000000000007E-2</v>
      </c>
      <c r="O22">
        <f>[2]gpt4omini_single_100_2!L21</f>
        <v>4.2306000000000003E-2</v>
      </c>
      <c r="P22">
        <f>[3]gpt4omini_single_100_2!L21</f>
        <v>2.7439999999999999E-2</v>
      </c>
      <c r="Q22" s="24"/>
      <c r="R22" s="11">
        <f>[4]gpt4omini_single_100_2!L21</f>
        <v>-9.8429999999999993E-3</v>
      </c>
      <c r="S22">
        <v>19</v>
      </c>
      <c r="T22">
        <f>[1]gpt4omini_single_60_2!L21</f>
        <v>-0.26253399999999999</v>
      </c>
      <c r="U22">
        <f>[2]gpt4omini_single_60_2!L21</f>
        <v>-0.63649900000000004</v>
      </c>
      <c r="V22">
        <f>[3]gpt4omini_single_60_2!L21</f>
        <v>-0.65531300000000003</v>
      </c>
      <c r="W22" s="24"/>
      <c r="X22">
        <f>[4]gpt4omini_single_60_2!L21</f>
        <v>-0.25239099999999998</v>
      </c>
    </row>
    <row r="23" spans="1:24" x14ac:dyDescent="0.2">
      <c r="A23" s="12">
        <v>20</v>
      </c>
      <c r="B23">
        <f>[1]gpt4omini_single_100!L22</f>
        <v>0.19917899999999999</v>
      </c>
      <c r="C23">
        <f>[2]gpt4omini_single_100!L22</f>
        <v>0.243725</v>
      </c>
      <c r="D23">
        <f>[3]gpt4omini_single_100!L22</f>
        <v>0.31215399999999999</v>
      </c>
      <c r="E23" s="24"/>
      <c r="F23" s="11">
        <f>[4]gpt4omini_single_100!L22</f>
        <v>0.248608</v>
      </c>
      <c r="G23">
        <v>20</v>
      </c>
      <c r="H23">
        <f>[1]gpt4omini_single_60!L22</f>
        <v>0.56324399999999997</v>
      </c>
      <c r="I23">
        <f>[2]gpt4omini_single_60!L22</f>
        <v>0.231958</v>
      </c>
      <c r="J23">
        <f>[3]gpt4omini_single_60!L22</f>
        <v>0.33242500000000003</v>
      </c>
      <c r="K23" s="24"/>
      <c r="L23">
        <f>[4]gpt4omini_single_60!L22</f>
        <v>8.8278999999999996E-2</v>
      </c>
      <c r="M23" s="12">
        <v>20</v>
      </c>
      <c r="N23">
        <f>[1]gpt4omini_single_100_2!L22</f>
        <v>5.8566E-2</v>
      </c>
      <c r="O23">
        <f>[2]gpt4omini_single_100_2!L22</f>
        <v>7.1038000000000004E-2</v>
      </c>
      <c r="P23">
        <f>[3]gpt4omini_single_100_2!L22</f>
        <v>4.4539999999999996E-3</v>
      </c>
      <c r="Q23" s="24"/>
      <c r="R23" s="11">
        <f>[4]gpt4omini_single_100_2!L22</f>
        <v>-2.7247E-2</v>
      </c>
      <c r="S23">
        <v>20</v>
      </c>
      <c r="T23">
        <f>[1]gpt4omini_single_60_2!L22</f>
        <v>-0.24432400000000001</v>
      </c>
      <c r="U23">
        <f>[2]gpt4omini_single_60_2!L22</f>
        <v>-0.69530999999999998</v>
      </c>
      <c r="V23">
        <f>[3]gpt4omini_single_60_2!L22</f>
        <v>-0.63158700000000001</v>
      </c>
      <c r="W23" s="24"/>
      <c r="X23">
        <f>[4]gpt4omini_single_60_2!L22</f>
        <v>-0.14810899999999999</v>
      </c>
    </row>
    <row r="24" spans="1:24" x14ac:dyDescent="0.2">
      <c r="A24" s="12">
        <v>21</v>
      </c>
      <c r="B24">
        <f>[1]gpt4omini_single_100!L23</f>
        <v>0.215588</v>
      </c>
      <c r="C24">
        <f>[2]gpt4omini_single_100!L23</f>
        <v>0.26746700000000001</v>
      </c>
      <c r="D24">
        <f>[3]gpt4omini_single_100!L23</f>
        <v>0.32787699999999997</v>
      </c>
      <c r="E24" s="24"/>
      <c r="F24" s="11">
        <f>[4]gpt4omini_single_100!L23</f>
        <v>0.27193099999999998</v>
      </c>
      <c r="G24">
        <v>21</v>
      </c>
      <c r="H24">
        <f>[1]gpt4omini_single_60!L23</f>
        <v>0.59904299999999999</v>
      </c>
      <c r="I24">
        <f>[2]gpt4omini_single_60!L23</f>
        <v>0.32991599999999999</v>
      </c>
      <c r="J24">
        <f>[3]gpt4omini_single_60!L23</f>
        <v>0.340922</v>
      </c>
      <c r="K24" s="24"/>
      <c r="L24">
        <f>[4]gpt4omini_single_60!L23</f>
        <v>0.11171499999999999</v>
      </c>
      <c r="M24" s="12">
        <v>21</v>
      </c>
      <c r="N24">
        <f>[1]gpt4omini_single_100_2!L23</f>
        <v>5.9388000000000003E-2</v>
      </c>
      <c r="O24">
        <f>[2]gpt4omini_single_100_2!L23</f>
        <v>7.5684000000000001E-2</v>
      </c>
      <c r="P24">
        <f>[3]gpt4omini_single_100_2!L23</f>
        <v>4.5259999999999996E-3</v>
      </c>
      <c r="Q24" s="24"/>
      <c r="R24" s="11">
        <f>[4]gpt4omini_single_100_2!L23</f>
        <v>-2.0900999999999999E-2</v>
      </c>
      <c r="S24">
        <v>21</v>
      </c>
      <c r="T24">
        <f>[1]gpt4omini_single_60_2!L23</f>
        <v>-0.23493700000000001</v>
      </c>
      <c r="U24">
        <f>[2]gpt4omini_single_60_2!L23</f>
        <v>-0.66902099999999998</v>
      </c>
      <c r="V24">
        <f>[3]gpt4omini_single_60_2!L23</f>
        <v>-0.64488400000000001</v>
      </c>
      <c r="W24" s="24"/>
      <c r="X24">
        <f>[4]gpt4omini_single_60_2!L23</f>
        <v>-0.21046799999999999</v>
      </c>
    </row>
    <row r="25" spans="1:24" x14ac:dyDescent="0.2">
      <c r="A25" s="12">
        <v>22</v>
      </c>
      <c r="B25">
        <f>[1]gpt4omini_single_100!L24</f>
        <v>0.22251499999999999</v>
      </c>
      <c r="C25">
        <f>[2]gpt4omini_single_100!L24</f>
        <v>0.27130300000000002</v>
      </c>
      <c r="D25">
        <f>[3]gpt4omini_single_100!L24</f>
        <v>0.33074399999999998</v>
      </c>
      <c r="E25" s="24"/>
      <c r="F25" s="11">
        <f>[4]gpt4omini_single_100!L24</f>
        <v>0.28652899999999998</v>
      </c>
      <c r="G25">
        <v>22</v>
      </c>
      <c r="H25">
        <f>[1]gpt4omini_single_60!L24</f>
        <v>0.64236599999999999</v>
      </c>
      <c r="I25">
        <f>[2]gpt4omini_single_60!L24</f>
        <v>0.36564099999999999</v>
      </c>
      <c r="J25">
        <f>[3]gpt4omini_single_60!L24</f>
        <v>0.35723700000000003</v>
      </c>
      <c r="K25" s="24"/>
      <c r="L25">
        <f>[4]gpt4omini_single_60!L24</f>
        <v>0.14308100000000001</v>
      </c>
      <c r="M25" s="12">
        <v>22</v>
      </c>
      <c r="N25">
        <f>[1]gpt4omini_single_100_2!L24</f>
        <v>6.5733E-2</v>
      </c>
      <c r="O25">
        <f>[2]gpt4omini_single_100_2!L24</f>
        <v>7.9337000000000005E-2</v>
      </c>
      <c r="P25">
        <f>[3]gpt4omini_single_100_2!L24</f>
        <v>7.3749999999999996E-3</v>
      </c>
      <c r="Q25" s="24"/>
      <c r="R25" s="11">
        <f>[4]gpt4omini_single_100_2!L24</f>
        <v>-1.9438E-2</v>
      </c>
      <c r="S25">
        <v>22</v>
      </c>
      <c r="T25">
        <f>[1]gpt4omini_single_60_2!L24</f>
        <v>-0.24670300000000001</v>
      </c>
      <c r="U25">
        <f>[2]gpt4omini_single_60_2!L24</f>
        <v>-0.671906</v>
      </c>
      <c r="V25">
        <f>[3]gpt4omini_single_60_2!L24</f>
        <v>-0.64609799999999995</v>
      </c>
      <c r="W25" s="24"/>
      <c r="X25">
        <f>[4]gpt4omini_single_60_2!L24</f>
        <v>-0.22977300000000001</v>
      </c>
    </row>
    <row r="26" spans="1:24" x14ac:dyDescent="0.2">
      <c r="A26" s="12">
        <v>23</v>
      </c>
      <c r="B26">
        <f>[1]gpt4omini_single_100!L25</f>
        <v>0.196462</v>
      </c>
      <c r="C26">
        <f>[2]gpt4omini_single_100!L25</f>
        <v>0.30470399999999997</v>
      </c>
      <c r="D26">
        <f>[3]gpt4omini_single_100!L25</f>
        <v>0.315635</v>
      </c>
      <c r="E26" s="24"/>
      <c r="F26" s="11">
        <f>[4]gpt4omini_single_100!L25</f>
        <v>0.27544099999999999</v>
      </c>
      <c r="G26">
        <v>23</v>
      </c>
      <c r="H26">
        <f>[1]gpt4omini_single_60!L25</f>
        <v>0.65832000000000002</v>
      </c>
      <c r="I26">
        <f>[2]gpt4omini_single_60!L25</f>
        <v>0.38956000000000002</v>
      </c>
      <c r="J26">
        <f>[3]gpt4omini_single_60!L25</f>
        <v>0.41069099999999997</v>
      </c>
      <c r="K26" s="24"/>
      <c r="L26">
        <f>[4]gpt4omini_single_60!L25</f>
        <v>0.153699</v>
      </c>
      <c r="M26" s="12">
        <v>23</v>
      </c>
      <c r="N26">
        <f>[1]gpt4omini_single_100_2!L25</f>
        <v>3.2702000000000002E-2</v>
      </c>
      <c r="O26">
        <f>[2]gpt4omini_single_100_2!L25</f>
        <v>0.12782399999999999</v>
      </c>
      <c r="P26">
        <f>[3]gpt4omini_single_100_2!L25</f>
        <v>-1.0619E-2</v>
      </c>
      <c r="Q26" s="24"/>
      <c r="R26" s="11">
        <f>[4]gpt4omini_single_100_2!L25</f>
        <v>-4.6885000000000003E-2</v>
      </c>
      <c r="S26">
        <v>23</v>
      </c>
      <c r="T26">
        <f>[1]gpt4omini_single_60_2!L25</f>
        <v>-0.24584900000000001</v>
      </c>
      <c r="U26">
        <f>[2]gpt4omini_single_60_2!L25</f>
        <v>-0.65431499999999998</v>
      </c>
      <c r="V26">
        <f>[3]gpt4omini_single_60_2!L25</f>
        <v>-0.63231700000000002</v>
      </c>
      <c r="W26" s="24"/>
      <c r="X26">
        <f>[4]gpt4omini_single_60_2!L25</f>
        <v>-9.9284999999999998E-2</v>
      </c>
    </row>
    <row r="27" spans="1:24" x14ac:dyDescent="0.2">
      <c r="A27" s="12">
        <v>24</v>
      </c>
      <c r="B27">
        <f>[1]gpt4omini_single_100!L26</f>
        <v>0.22131999999999999</v>
      </c>
      <c r="C27">
        <f>[2]gpt4omini_single_100!L26</f>
        <v>0.329175</v>
      </c>
      <c r="D27">
        <f>[3]gpt4omini_single_100!L26</f>
        <v>0.341254</v>
      </c>
      <c r="E27" s="24"/>
      <c r="F27" s="11">
        <f>[4]gpt4omini_single_100!L26</f>
        <v>0.32015300000000002</v>
      </c>
      <c r="G27">
        <v>24</v>
      </c>
      <c r="H27">
        <f>[1]gpt4omini_single_60!L26</f>
        <v>0.66471199999999997</v>
      </c>
      <c r="I27">
        <f>[2]gpt4omini_single_60!L26</f>
        <v>0.41830499999999998</v>
      </c>
      <c r="J27">
        <f>[3]gpt4omini_single_60!L26</f>
        <v>0.45185199999999998</v>
      </c>
      <c r="K27" s="24"/>
      <c r="L27">
        <f>[4]gpt4omini_single_60!L26</f>
        <v>0.175653</v>
      </c>
      <c r="M27" s="12">
        <v>24</v>
      </c>
      <c r="N27">
        <f>[1]gpt4omini_single_100_2!L26</f>
        <v>4.0327000000000002E-2</v>
      </c>
      <c r="O27">
        <f>[2]gpt4omini_single_100_2!L26</f>
        <v>0.13939699999999999</v>
      </c>
      <c r="P27">
        <f>[3]gpt4omini_single_100_2!L26</f>
        <v>-4.8939999999999999E-3</v>
      </c>
      <c r="Q27" s="24"/>
      <c r="R27" s="11">
        <f>[4]gpt4omini_single_100_2!L26</f>
        <v>-4.8436E-2</v>
      </c>
      <c r="S27">
        <v>24</v>
      </c>
      <c r="T27">
        <f>[1]gpt4omini_single_60_2!L26</f>
        <v>-0.23929700000000001</v>
      </c>
      <c r="U27">
        <f>[2]gpt4omini_single_60_2!L26</f>
        <v>-0.66707300000000003</v>
      </c>
      <c r="V27">
        <f>[3]gpt4omini_single_60_2!L26</f>
        <v>-0.634548</v>
      </c>
      <c r="W27" s="24"/>
      <c r="X27">
        <f>[4]gpt4omini_single_60_2!L26</f>
        <v>-0.101135</v>
      </c>
    </row>
    <row r="28" spans="1:24" x14ac:dyDescent="0.2">
      <c r="A28" s="12">
        <v>25</v>
      </c>
      <c r="B28">
        <f>[1]gpt4omini_single_100!L27</f>
        <v>0.22748399999999999</v>
      </c>
      <c r="C28">
        <f>[2]gpt4omini_single_100!L27</f>
        <v>0.33788699999999999</v>
      </c>
      <c r="D28">
        <f>[3]gpt4omini_single_100!L27</f>
        <v>0.34993200000000002</v>
      </c>
      <c r="E28" s="24"/>
      <c r="F28" s="11">
        <f>[4]gpt4omini_single_100!L27</f>
        <v>0.32666899999999999</v>
      </c>
      <c r="G28">
        <v>25</v>
      </c>
      <c r="H28">
        <f>[1]gpt4omini_single_60!L27</f>
        <v>0.72110300000000005</v>
      </c>
      <c r="I28">
        <f>[2]gpt4omini_single_60!L27</f>
        <v>0.42692600000000003</v>
      </c>
      <c r="J28">
        <f>[3]gpt4omini_single_60!L27</f>
        <v>0.46683400000000003</v>
      </c>
      <c r="K28" s="24"/>
      <c r="L28">
        <f>[4]gpt4omini_single_60!L27</f>
        <v>0.16675799999999999</v>
      </c>
      <c r="M28" s="12">
        <v>25</v>
      </c>
      <c r="N28">
        <f>[1]gpt4omini_single_100_2!L27</f>
        <v>4.4963000000000003E-2</v>
      </c>
      <c r="O28">
        <f>[2]gpt4omini_single_100_2!L27</f>
        <v>0.147894</v>
      </c>
      <c r="P28">
        <f>[3]gpt4omini_single_100_2!L27</f>
        <v>-5.6909999999999999E-3</v>
      </c>
      <c r="Q28" s="24"/>
      <c r="R28" s="11">
        <f>[4]gpt4omini_single_100_2!L27</f>
        <v>-4.4318000000000003E-2</v>
      </c>
      <c r="S28">
        <v>25</v>
      </c>
      <c r="T28">
        <f>[1]gpt4omini_single_60_2!L27</f>
        <v>-0.22246299999999999</v>
      </c>
      <c r="U28">
        <f>[2]gpt4omini_single_60_2!L27</f>
        <v>-0.68518599999999996</v>
      </c>
      <c r="V28">
        <f>[3]gpt4omini_single_60_2!L27</f>
        <v>-0.30829499999999999</v>
      </c>
      <c r="W28" s="24"/>
      <c r="X28">
        <f>[4]gpt4omini_single_60_2!L27</f>
        <v>-7.7335000000000001E-2</v>
      </c>
    </row>
    <row r="29" spans="1:24" x14ac:dyDescent="0.2">
      <c r="A29" s="12">
        <v>26</v>
      </c>
      <c r="B29">
        <f>[1]gpt4omini_single_100!L28</f>
        <v>0.23261100000000001</v>
      </c>
      <c r="C29">
        <f>[2]gpt4omini_single_100!L28</f>
        <v>0.33662700000000001</v>
      </c>
      <c r="D29">
        <f>[3]gpt4omini_single_100!L28</f>
        <v>0.35405900000000001</v>
      </c>
      <c r="E29" s="24"/>
      <c r="F29" s="11">
        <f>[4]gpt4omini_single_100!L28</f>
        <v>0.32931199999999999</v>
      </c>
      <c r="G29">
        <v>26</v>
      </c>
      <c r="H29">
        <f>[1]gpt4omini_single_60!L28</f>
        <v>0.74405500000000002</v>
      </c>
      <c r="I29">
        <f>[2]gpt4omini_single_60!L28</f>
        <v>0.443712</v>
      </c>
      <c r="J29">
        <f>[3]gpt4omini_single_60!L28</f>
        <v>0.481651</v>
      </c>
      <c r="K29" s="24"/>
      <c r="L29">
        <f>[4]gpt4omini_single_60!L28</f>
        <v>0.18815499999999999</v>
      </c>
      <c r="M29" s="12">
        <v>26</v>
      </c>
      <c r="N29">
        <f>[1]gpt4omini_single_100_2!L28</f>
        <v>4.5830000000000003E-2</v>
      </c>
      <c r="O29">
        <f>[2]gpt4omini_single_100_2!L28</f>
        <v>0.14807200000000001</v>
      </c>
      <c r="P29">
        <f>[3]gpt4omini_single_100_2!L28</f>
        <v>2.3636000000000001E-2</v>
      </c>
      <c r="Q29" s="24"/>
      <c r="R29" s="11">
        <f>[4]gpt4omini_single_100_2!L28</f>
        <v>-4.6549E-2</v>
      </c>
      <c r="S29">
        <v>26</v>
      </c>
      <c r="T29">
        <f>[1]gpt4omini_single_60_2!L28</f>
        <v>-0.21831600000000001</v>
      </c>
      <c r="U29">
        <f>[2]gpt4omini_single_60_2!L28</f>
        <v>-0.77925999999999995</v>
      </c>
      <c r="V29">
        <f>[3]gpt4omini_single_60_2!L28</f>
        <v>-0.35609099999999999</v>
      </c>
      <c r="W29" s="24"/>
      <c r="X29">
        <f>[4]gpt4omini_single_60_2!L28</f>
        <v>-5.6786999999999997E-2</v>
      </c>
    </row>
    <row r="30" spans="1:24" x14ac:dyDescent="0.2">
      <c r="A30" s="12">
        <v>27</v>
      </c>
      <c r="B30">
        <f>[1]gpt4omini_single_100!L29</f>
        <v>0.23949699999999999</v>
      </c>
      <c r="C30">
        <f>[2]gpt4omini_single_100!L29</f>
        <v>0.35034100000000001</v>
      </c>
      <c r="D30">
        <f>[3]gpt4omini_single_100!L29</f>
        <v>0.35752800000000001</v>
      </c>
      <c r="E30" s="24"/>
      <c r="F30" s="11">
        <f>[4]gpt4omini_single_100!L29</f>
        <v>0.331231</v>
      </c>
      <c r="G30">
        <v>27</v>
      </c>
      <c r="H30">
        <f>[1]gpt4omini_single_60!L29</f>
        <v>0.75770599999999999</v>
      </c>
      <c r="I30">
        <f>[2]gpt4omini_single_60!L29</f>
        <v>0.44644699999999998</v>
      </c>
      <c r="J30">
        <f>[3]gpt4omini_single_60!L29</f>
        <v>0.50904000000000005</v>
      </c>
      <c r="K30" s="24"/>
      <c r="L30">
        <f>[4]gpt4omini_single_60!L29</f>
        <v>0.17541399999999999</v>
      </c>
      <c r="M30" s="12">
        <v>27</v>
      </c>
      <c r="N30">
        <f>[1]gpt4omini_single_100_2!L29</f>
        <v>4.7933000000000003E-2</v>
      </c>
      <c r="O30">
        <f>[2]gpt4omini_single_100_2!L29</f>
        <v>0.15447</v>
      </c>
      <c r="P30">
        <f>[3]gpt4omini_single_100_2!L29</f>
        <v>2.4211E-2</v>
      </c>
      <c r="Q30" s="24"/>
      <c r="R30" s="11">
        <f>[4]gpt4omini_single_100_2!L29</f>
        <v>-4.4609000000000003E-2</v>
      </c>
      <c r="S30">
        <v>27</v>
      </c>
      <c r="T30">
        <f>[1]gpt4omini_single_60_2!L29</f>
        <v>-0.444548</v>
      </c>
      <c r="U30">
        <f>[2]gpt4omini_single_60_2!L29</f>
        <v>-0.74458100000000005</v>
      </c>
      <c r="V30">
        <f>[3]gpt4omini_single_60_2!L29</f>
        <v>-0.33779500000000001</v>
      </c>
      <c r="W30" s="24"/>
      <c r="X30">
        <f>[4]gpt4omini_single_60_2!L29</f>
        <v>-4.8114999999999998E-2</v>
      </c>
    </row>
    <row r="31" spans="1:24" x14ac:dyDescent="0.2">
      <c r="A31" s="12">
        <v>28</v>
      </c>
      <c r="B31">
        <f>[1]gpt4omini_single_100!L30</f>
        <v>0.24371300000000001</v>
      </c>
      <c r="C31">
        <f>[2]gpt4omini_single_100!L30</f>
        <v>0.35899799999999998</v>
      </c>
      <c r="D31">
        <f>[3]gpt4omini_single_100!L30</f>
        <v>0.36385099999999998</v>
      </c>
      <c r="E31" s="24"/>
      <c r="F31" s="11">
        <f>[4]gpt4omini_single_100!L30</f>
        <v>0.33054099999999997</v>
      </c>
      <c r="G31">
        <v>28</v>
      </c>
      <c r="H31">
        <f>[1]gpt4omini_single_60!L30</f>
        <v>0.78274600000000005</v>
      </c>
      <c r="I31">
        <f>[2]gpt4omini_single_60!L30</f>
        <v>5.1658000000000003E-2</v>
      </c>
      <c r="J31">
        <f>[3]gpt4omini_single_60!L30</f>
        <v>0.53665300000000005</v>
      </c>
      <c r="K31" s="24"/>
      <c r="L31">
        <f>[4]gpt4omini_single_60!L30</f>
        <v>0.182286</v>
      </c>
      <c r="M31" s="12">
        <v>28</v>
      </c>
      <c r="N31">
        <f>[1]gpt4omini_single_100_2!L30</f>
        <v>3.9509000000000002E-2</v>
      </c>
      <c r="O31">
        <f>[2]gpt4omini_single_100_2!L30</f>
        <v>0.16275899999999999</v>
      </c>
      <c r="P31">
        <f>[3]gpt4omini_single_100_2!L30</f>
        <v>2.7629999999999998E-2</v>
      </c>
      <c r="Q31" s="24"/>
      <c r="R31" s="11">
        <f>[4]gpt4omini_single_100_2!L30</f>
        <v>-4.5303000000000003E-2</v>
      </c>
      <c r="S31">
        <v>28</v>
      </c>
      <c r="T31">
        <f>[1]gpt4omini_single_60_2!L30</f>
        <v>-0.627475</v>
      </c>
      <c r="U31">
        <f>[2]gpt4omini_single_60_2!L30</f>
        <v>-0.74252499999999999</v>
      </c>
      <c r="V31">
        <f>[3]gpt4omini_single_60_2!L30</f>
        <v>-0.33414300000000002</v>
      </c>
      <c r="W31" s="24"/>
      <c r="X31">
        <f>[4]gpt4omini_single_60_2!L30</f>
        <v>-4.9827999999999997E-2</v>
      </c>
    </row>
    <row r="32" spans="1:24" x14ac:dyDescent="0.2">
      <c r="A32" s="12">
        <v>29</v>
      </c>
      <c r="B32">
        <f>[1]gpt4omini_single_100!L31</f>
        <v>0.25020399999999998</v>
      </c>
      <c r="C32">
        <f>[2]gpt4omini_single_100!L31</f>
        <v>0.36422599999999999</v>
      </c>
      <c r="D32">
        <f>[3]gpt4omini_single_100!L31</f>
        <v>0.36457699999999998</v>
      </c>
      <c r="E32" s="24"/>
      <c r="F32" s="11">
        <f>[4]gpt4omini_single_100!L31</f>
        <v>0.344306</v>
      </c>
      <c r="G32">
        <v>29</v>
      </c>
      <c r="H32">
        <f>[1]gpt4omini_single_60!L31</f>
        <v>0.81346399999999996</v>
      </c>
      <c r="I32">
        <f>[2]gpt4omini_single_60!L31</f>
        <v>9.3623999999999999E-2</v>
      </c>
      <c r="J32">
        <f>[3]gpt4omini_single_60!L31</f>
        <v>0.557473</v>
      </c>
      <c r="K32" s="24"/>
      <c r="L32">
        <f>[4]gpt4omini_single_60!L31</f>
        <v>0.18853600000000001</v>
      </c>
      <c r="M32" s="12">
        <v>29</v>
      </c>
      <c r="N32">
        <f>[1]gpt4omini_single_100_2!L31</f>
        <v>3.4973999999999998E-2</v>
      </c>
      <c r="O32">
        <f>[2]gpt4omini_single_100_2!L31</f>
        <v>0.16217799999999999</v>
      </c>
      <c r="P32">
        <f>[3]gpt4omini_single_100_2!L31</f>
        <v>3.4876999999999998E-2</v>
      </c>
      <c r="Q32" s="24"/>
      <c r="R32" s="11">
        <f>[4]gpt4omini_single_100_2!L31</f>
        <v>-4.3756000000000003E-2</v>
      </c>
      <c r="S32">
        <v>29</v>
      </c>
      <c r="T32">
        <f>[1]gpt4omini_single_60_2!L31</f>
        <v>-0.644401</v>
      </c>
      <c r="U32">
        <f>[2]gpt4omini_single_60_2!L31</f>
        <v>-0.75792899999999996</v>
      </c>
      <c r="V32">
        <f>[3]gpt4omini_single_60_2!L31</f>
        <v>-0.32889299999999999</v>
      </c>
      <c r="W32" s="24"/>
      <c r="X32">
        <f>[4]gpt4omini_single_60_2!L31</f>
        <v>-4.1307999999999997E-2</v>
      </c>
    </row>
    <row r="33" spans="1:24" x14ac:dyDescent="0.2">
      <c r="A33" s="12">
        <v>30</v>
      </c>
      <c r="B33">
        <f>[1]gpt4omini_single_100!L32</f>
        <v>0.253971</v>
      </c>
      <c r="C33">
        <f>[2]gpt4omini_single_100!L32</f>
        <v>0.36602000000000001</v>
      </c>
      <c r="D33">
        <f>[3]gpt4omini_single_100!L32</f>
        <v>0.37606000000000001</v>
      </c>
      <c r="E33" s="24"/>
      <c r="F33" s="11">
        <f>[4]gpt4omini_single_100!L32</f>
        <v>0.34423300000000001</v>
      </c>
      <c r="G33">
        <v>30</v>
      </c>
      <c r="H33">
        <f>[1]gpt4omini_single_60!L32</f>
        <v>0.79139700000000002</v>
      </c>
      <c r="I33">
        <f>[2]gpt4omini_single_60!L32</f>
        <v>5.6850999999999999E-2</v>
      </c>
      <c r="J33">
        <f>[3]gpt4omini_single_60!L32</f>
        <v>0.54399399999999998</v>
      </c>
      <c r="K33" s="24"/>
      <c r="L33">
        <f>[4]gpt4omini_single_60!L32</f>
        <v>0.183562</v>
      </c>
      <c r="M33" s="12">
        <v>30</v>
      </c>
      <c r="N33">
        <f>[1]gpt4omini_single_100_2!L32</f>
        <v>3.4415000000000001E-2</v>
      </c>
      <c r="O33">
        <f>[2]gpt4omini_single_100_2!L32</f>
        <v>0.15725700000000001</v>
      </c>
      <c r="P33">
        <f>[3]gpt4omini_single_100_2!L32</f>
        <v>3.4750999999999997E-2</v>
      </c>
      <c r="Q33" s="24"/>
      <c r="R33" s="11">
        <f>[4]gpt4omini_single_100_2!L32</f>
        <v>-5.2509E-2</v>
      </c>
      <c r="S33">
        <v>30</v>
      </c>
      <c r="T33">
        <f>[1]gpt4omini_single_60_2!L32</f>
        <v>-0.62637799999999999</v>
      </c>
      <c r="U33">
        <f>[2]gpt4omini_single_60_2!L32</f>
        <v>-0.74533099999999997</v>
      </c>
      <c r="V33">
        <f>[3]gpt4omini_single_60_2!L32</f>
        <v>-0.316577</v>
      </c>
      <c r="W33" s="24"/>
      <c r="X33">
        <f>[4]gpt4omini_single_60_2!L32</f>
        <v>-3.7574000000000003E-2</v>
      </c>
    </row>
    <row r="34" spans="1:24" x14ac:dyDescent="0.2">
      <c r="A34" s="12">
        <v>31</v>
      </c>
      <c r="B34">
        <f>[1]gpt4omini_single_100!L33</f>
        <v>0.223774</v>
      </c>
      <c r="C34">
        <f>[2]gpt4omini_single_100!L33</f>
        <v>0.34447899999999998</v>
      </c>
      <c r="D34">
        <f>[3]gpt4omini_single_100!L33</f>
        <v>0.352601</v>
      </c>
      <c r="E34" s="24"/>
      <c r="F34" s="11">
        <f>[4]gpt4omini_single_100!L33</f>
        <v>0.31931500000000002</v>
      </c>
      <c r="G34">
        <v>31</v>
      </c>
      <c r="H34">
        <f>[1]gpt4omini_single_60!L33</f>
        <v>0.81767999999999996</v>
      </c>
      <c r="I34">
        <f>[2]gpt4omini_single_60!L33</f>
        <v>5.8125999999999997E-2</v>
      </c>
      <c r="J34">
        <f>[3]gpt4omini_single_60!L33</f>
        <v>0.55725100000000005</v>
      </c>
      <c r="K34" s="24"/>
      <c r="L34">
        <f>[4]gpt4omini_single_60!L33</f>
        <v>0.23294599999999999</v>
      </c>
      <c r="M34" s="12">
        <v>31</v>
      </c>
      <c r="N34">
        <f>[1]gpt4omini_single_100_2!L33</f>
        <v>1.933E-3</v>
      </c>
      <c r="O34">
        <f>[2]gpt4omini_single_100_2!L33</f>
        <v>0.102371</v>
      </c>
      <c r="P34">
        <f>[3]gpt4omini_single_100_2!L33</f>
        <v>-1.5870000000000001E-3</v>
      </c>
      <c r="Q34" s="24"/>
      <c r="R34" s="11">
        <f>[4]gpt4omini_single_100_2!L33</f>
        <v>-8.344E-2</v>
      </c>
      <c r="S34">
        <v>31</v>
      </c>
      <c r="T34">
        <f>[1]gpt4omini_single_60_2!L33</f>
        <v>-0.63270899999999997</v>
      </c>
      <c r="U34">
        <f>[2]gpt4omini_single_60_2!L33</f>
        <v>-0.67599100000000001</v>
      </c>
      <c r="V34">
        <f>[3]gpt4omini_single_60_2!L33</f>
        <v>-0.31839499999999998</v>
      </c>
      <c r="W34" s="24"/>
      <c r="X34">
        <f>[4]gpt4omini_single_60_2!L33</f>
        <v>-4.8459000000000002E-2</v>
      </c>
    </row>
    <row r="35" spans="1:24" x14ac:dyDescent="0.2">
      <c r="A35" s="12">
        <v>32</v>
      </c>
      <c r="B35">
        <f>[1]gpt4omini_single_100!L34</f>
        <v>0.26340599999999997</v>
      </c>
      <c r="C35">
        <f>[2]gpt4omini_single_100!L34</f>
        <v>0.34800599999999998</v>
      </c>
      <c r="D35">
        <f>[3]gpt4omini_single_100!L34</f>
        <v>0.345086</v>
      </c>
      <c r="E35" s="24"/>
      <c r="F35" s="11">
        <f>[4]gpt4omini_single_100!L34</f>
        <v>0.33358100000000002</v>
      </c>
      <c r="G35">
        <v>32</v>
      </c>
      <c r="H35">
        <f>[1]gpt4omini_single_60!L34</f>
        <v>0.80265399999999998</v>
      </c>
      <c r="I35">
        <f>[2]gpt4omini_single_60!L34</f>
        <v>7.6803999999999997E-2</v>
      </c>
      <c r="J35">
        <f>[3]gpt4omini_single_60!L34</f>
        <v>0.56097300000000005</v>
      </c>
      <c r="K35" s="24"/>
      <c r="L35">
        <f>[4]gpt4omini_single_60!L34</f>
        <v>0.235401</v>
      </c>
      <c r="M35" s="12">
        <v>32</v>
      </c>
      <c r="N35">
        <f>[1]gpt4omini_single_100_2!L34</f>
        <v>1.6429999999999999E-3</v>
      </c>
      <c r="O35">
        <f>[2]gpt4omini_single_100_2!L34</f>
        <v>9.4192999999999999E-2</v>
      </c>
      <c r="P35">
        <f>[3]gpt4omini_single_100_2!L34</f>
        <v>-4.4699999999999997E-2</v>
      </c>
      <c r="Q35" s="24"/>
      <c r="R35" s="11">
        <f>[4]gpt4omini_single_100_2!L34</f>
        <v>-0.10381700000000001</v>
      </c>
      <c r="S35">
        <v>32</v>
      </c>
      <c r="T35">
        <f>[1]gpt4omini_single_60_2!L34</f>
        <v>-0.670987</v>
      </c>
      <c r="U35">
        <f>[2]gpt4omini_single_60_2!L34</f>
        <v>-0.74454900000000002</v>
      </c>
      <c r="V35">
        <f>[3]gpt4omini_single_60_2!L34</f>
        <v>-0.32315500000000003</v>
      </c>
      <c r="W35" s="24"/>
      <c r="X35">
        <f>[4]gpt4omini_single_60_2!L34</f>
        <v>-6.5518999999999994E-2</v>
      </c>
    </row>
    <row r="36" spans="1:24" x14ac:dyDescent="0.2">
      <c r="A36" s="12">
        <v>33</v>
      </c>
      <c r="B36">
        <f>[1]gpt4omini_single_100!L35</f>
        <v>0.305593</v>
      </c>
      <c r="C36">
        <f>[2]gpt4omini_single_100!L35</f>
        <v>0.36933899999999997</v>
      </c>
      <c r="D36">
        <f>[3]gpt4omini_single_100!L35</f>
        <v>0.366595</v>
      </c>
      <c r="E36" s="24"/>
      <c r="F36" s="11">
        <f>[4]gpt4omini_single_100!L35</f>
        <v>0.36329600000000001</v>
      </c>
      <c r="G36">
        <v>33</v>
      </c>
      <c r="H36">
        <f>[1]gpt4omini_single_60!L35</f>
        <v>0.81456099999999998</v>
      </c>
      <c r="I36">
        <f>[2]gpt4omini_single_60!L35</f>
        <v>9.9738999999999994E-2</v>
      </c>
      <c r="J36">
        <f>[3]gpt4omini_single_60!L35</f>
        <v>0.57628599999999996</v>
      </c>
      <c r="K36" s="24"/>
      <c r="L36">
        <f>[4]gpt4omini_single_60!L35</f>
        <v>0.27164899999999997</v>
      </c>
      <c r="M36" s="12">
        <v>33</v>
      </c>
      <c r="N36">
        <f>[1]gpt4omini_single_100_2!L35</f>
        <v>3.8601000000000003E-2</v>
      </c>
      <c r="O36">
        <f>[2]gpt4omini_single_100_2!L35</f>
        <v>0.11520900000000001</v>
      </c>
      <c r="P36">
        <f>[3]gpt4omini_single_100_2!L35</f>
        <v>-4.9112000000000003E-2</v>
      </c>
      <c r="Q36" s="24"/>
      <c r="R36" s="11">
        <f>[4]gpt4omini_single_100_2!L35</f>
        <v>-7.0546999999999999E-2</v>
      </c>
      <c r="S36">
        <v>33</v>
      </c>
      <c r="T36">
        <f>[1]gpt4omini_single_60_2!L35</f>
        <v>-0.69569199999999998</v>
      </c>
      <c r="U36">
        <f>[2]gpt4omini_single_60_2!L35</f>
        <v>-0.72584800000000005</v>
      </c>
      <c r="V36">
        <f>[3]gpt4omini_single_60_2!L35</f>
        <v>0.83131200000000005</v>
      </c>
      <c r="W36" s="24"/>
      <c r="X36">
        <f>[4]gpt4omini_single_60_2!L35</f>
        <v>-5.7482999999999999E-2</v>
      </c>
    </row>
    <row r="37" spans="1:24" x14ac:dyDescent="0.2">
      <c r="A37" s="12">
        <v>34</v>
      </c>
      <c r="B37">
        <f>[1]gpt4omini_single_100!L36</f>
        <v>0.34925099999999998</v>
      </c>
      <c r="C37">
        <f>[2]gpt4omini_single_100!L36</f>
        <v>0.37955100000000003</v>
      </c>
      <c r="D37">
        <f>[3]gpt4omini_single_100!L36</f>
        <v>0.374612</v>
      </c>
      <c r="E37" s="24"/>
      <c r="F37" s="11">
        <f>[4]gpt4omini_single_100!L36</f>
        <v>0.36654799999999998</v>
      </c>
      <c r="G37">
        <v>34</v>
      </c>
      <c r="H37">
        <f>[1]gpt4omini_single_60!L36</f>
        <v>0.82276099999999996</v>
      </c>
      <c r="I37">
        <f>[2]gpt4omini_single_60!L36</f>
        <v>0.119674</v>
      </c>
      <c r="J37">
        <f>[3]gpt4omini_single_60!L36</f>
        <v>0.54824899999999999</v>
      </c>
      <c r="K37" s="24"/>
      <c r="L37">
        <f>[4]gpt4omini_single_60!L36</f>
        <v>0.25082599999999999</v>
      </c>
      <c r="M37" s="12">
        <v>34</v>
      </c>
      <c r="N37">
        <f>[1]gpt4omini_single_100_2!L36</f>
        <v>6.7701999999999998E-2</v>
      </c>
      <c r="O37">
        <f>[2]gpt4omini_single_100_2!L36</f>
        <v>0.14060300000000001</v>
      </c>
      <c r="P37">
        <f>[3]gpt4omini_single_100_2!L36</f>
        <v>-7.2829000000000005E-2</v>
      </c>
      <c r="Q37" s="24"/>
      <c r="R37" s="11">
        <f>[4]gpt4omini_single_100_2!L36</f>
        <v>-6.2654000000000001E-2</v>
      </c>
      <c r="S37">
        <v>34</v>
      </c>
      <c r="T37">
        <f>[1]gpt4omini_single_60_2!L36</f>
        <v>-0.85912900000000003</v>
      </c>
      <c r="U37">
        <f>[2]gpt4omini_single_60_2!L36</f>
        <v>-0.67572900000000002</v>
      </c>
      <c r="V37">
        <f>[3]gpt4omini_single_60_2!L36</f>
        <v>0.97699800000000003</v>
      </c>
      <c r="W37" s="24"/>
      <c r="X37">
        <f>[4]gpt4omini_single_60_2!L36</f>
        <v>-3.6167999999999999E-2</v>
      </c>
    </row>
    <row r="38" spans="1:24" x14ac:dyDescent="0.2">
      <c r="A38" s="12">
        <v>35</v>
      </c>
      <c r="B38">
        <f>[1]gpt4omini_single_100!L37</f>
        <v>0.401779</v>
      </c>
      <c r="C38">
        <f>[2]gpt4omini_single_100!L37</f>
        <v>0.45172899999999999</v>
      </c>
      <c r="D38">
        <f>[3]gpt4omini_single_100!L37</f>
        <v>0.38144400000000001</v>
      </c>
      <c r="E38" s="24"/>
      <c r="F38" s="11">
        <f>[4]gpt4omini_single_100!L37</f>
        <v>0.39168799999999998</v>
      </c>
      <c r="G38">
        <v>35</v>
      </c>
      <c r="H38">
        <f>[1]gpt4omini_single_60!L37</f>
        <v>0.919713</v>
      </c>
      <c r="I38">
        <f>[2]gpt4omini_single_60!L37</f>
        <v>0.12657099999999999</v>
      </c>
      <c r="J38">
        <f>[3]gpt4omini_single_60!L37</f>
        <v>0.68755699999999997</v>
      </c>
      <c r="K38" s="24"/>
      <c r="L38">
        <f>[4]gpt4omini_single_60!L37</f>
        <v>0.33028999999999997</v>
      </c>
      <c r="M38" s="12">
        <v>35</v>
      </c>
      <c r="N38">
        <f>[1]gpt4omini_single_100_2!L37</f>
        <v>5.4149000000000003E-2</v>
      </c>
      <c r="O38">
        <f>[2]gpt4omini_single_100_2!L37</f>
        <v>0.14131199999999999</v>
      </c>
      <c r="P38">
        <f>[3]gpt4omini_single_100_2!L37</f>
        <v>-7.1859999999999993E-2</v>
      </c>
      <c r="Q38" s="24"/>
      <c r="R38" s="11">
        <f>[4]gpt4omini_single_100_2!L37</f>
        <v>-7.0643999999999998E-2</v>
      </c>
      <c r="S38">
        <v>35</v>
      </c>
      <c r="T38">
        <f>[1]gpt4omini_single_60_2!L37</f>
        <v>-0.782775</v>
      </c>
      <c r="U38">
        <f>[2]gpt4omini_single_60_2!L37</f>
        <v>-0.75375700000000001</v>
      </c>
      <c r="V38">
        <f>[3]gpt4omini_single_60_2!L37</f>
        <v>0.965364</v>
      </c>
      <c r="W38" s="24"/>
      <c r="X38">
        <f>[4]gpt4omini_single_60_2!L37</f>
        <v>-2.9825999999999998E-2</v>
      </c>
    </row>
    <row r="39" spans="1:24" x14ac:dyDescent="0.2">
      <c r="A39" s="12">
        <v>36</v>
      </c>
      <c r="B39">
        <f>[1]gpt4omini_single_100!L38</f>
        <v>0.41278700000000002</v>
      </c>
      <c r="C39">
        <f>[2]gpt4omini_single_100!L38</f>
        <v>0.45730300000000002</v>
      </c>
      <c r="D39">
        <f>[3]gpt4omini_single_100!L38</f>
        <v>0.39633800000000002</v>
      </c>
      <c r="E39" s="24"/>
      <c r="F39" s="11">
        <f>[4]gpt4omini_single_100!L38</f>
        <v>0.43066500000000002</v>
      </c>
      <c r="G39">
        <v>36</v>
      </c>
      <c r="H39">
        <f>[1]gpt4omini_single_60!L38</f>
        <v>0.93226900000000001</v>
      </c>
      <c r="I39">
        <f>[2]gpt4omini_single_60!L38</f>
        <v>0.14462900000000001</v>
      </c>
      <c r="J39">
        <f>[3]gpt4omini_single_60!L38</f>
        <v>0.71747399999999995</v>
      </c>
      <c r="K39" s="24"/>
      <c r="L39">
        <f>[4]gpt4omini_single_60!L38</f>
        <v>0.33082400000000001</v>
      </c>
      <c r="M39" s="12">
        <v>36</v>
      </c>
      <c r="N39">
        <f>[1]gpt4omini_single_100_2!L38</f>
        <v>4.3269000000000002E-2</v>
      </c>
      <c r="O39">
        <f>[2]gpt4omini_single_100_2!L38</f>
        <v>0.13744000000000001</v>
      </c>
      <c r="P39">
        <f>[3]gpt4omini_single_100_2!L38</f>
        <v>-6.3815999999999998E-2</v>
      </c>
      <c r="Q39" s="24"/>
      <c r="R39" s="11">
        <f>[4]gpt4omini_single_100_2!L38</f>
        <v>-6.7761000000000002E-2</v>
      </c>
      <c r="S39">
        <v>36</v>
      </c>
      <c r="T39">
        <f>[1]gpt4omini_single_60_2!L38</f>
        <v>-0.81493000000000004</v>
      </c>
      <c r="U39">
        <f>[2]gpt4omini_single_60_2!L38</f>
        <v>-0.73709100000000005</v>
      </c>
      <c r="V39">
        <f>[3]gpt4omini_single_60_2!L38</f>
        <v>0.98870000000000002</v>
      </c>
      <c r="W39" s="24"/>
      <c r="X39">
        <f>[4]gpt4omini_single_60_2!L38</f>
        <v>-4.1667999999999997E-2</v>
      </c>
    </row>
    <row r="40" spans="1:24" x14ac:dyDescent="0.2">
      <c r="A40" s="12">
        <v>37</v>
      </c>
      <c r="B40">
        <f>[1]gpt4omini_single_100!L39</f>
        <v>0.41351100000000002</v>
      </c>
      <c r="C40">
        <f>[2]gpt4omini_single_100!L39</f>
        <v>0.476636</v>
      </c>
      <c r="D40">
        <f>[3]gpt4omini_single_100!L39</f>
        <v>0.41723900000000003</v>
      </c>
      <c r="E40" s="24"/>
      <c r="F40" s="11">
        <f>[4]gpt4omini_single_100!L39</f>
        <v>0.45347399999999999</v>
      </c>
      <c r="G40">
        <v>37</v>
      </c>
      <c r="H40">
        <f>[1]gpt4omini_single_60!L39</f>
        <v>0.95553299999999997</v>
      </c>
      <c r="I40">
        <f>[2]gpt4omini_single_60!L39</f>
        <v>0.15573200000000001</v>
      </c>
      <c r="J40">
        <f>[3]gpt4omini_single_60!L39</f>
        <v>0.71736999999999995</v>
      </c>
      <c r="K40" s="24"/>
      <c r="L40">
        <f>[4]gpt4omini_single_60!L39</f>
        <v>0.322162</v>
      </c>
      <c r="M40" s="12">
        <v>37</v>
      </c>
      <c r="N40">
        <f>[1]gpt4omini_single_100_2!L39</f>
        <v>4.0929E-2</v>
      </c>
      <c r="O40">
        <f>[2]gpt4omini_single_100_2!L39</f>
        <v>0.17574799999999999</v>
      </c>
      <c r="P40">
        <f>[3]gpt4omini_single_100_2!L39</f>
        <v>-6.8719000000000002E-2</v>
      </c>
      <c r="Q40" s="24"/>
      <c r="R40" s="11">
        <f>[4]gpt4omini_single_100_2!L39</f>
        <v>-5.8888000000000003E-2</v>
      </c>
      <c r="S40">
        <v>37</v>
      </c>
      <c r="T40">
        <f>[1]gpt4omini_single_60_2!L39</f>
        <v>-0.82228699999999999</v>
      </c>
      <c r="U40">
        <f>[2]gpt4omini_single_60_2!L39</f>
        <v>-0.740981</v>
      </c>
      <c r="V40">
        <f>[3]gpt4omini_single_60_2!L39</f>
        <v>1.0197350000000001</v>
      </c>
      <c r="W40" s="24"/>
      <c r="X40">
        <f>[4]gpt4omini_single_60_2!L39</f>
        <v>5.5997999999999999E-2</v>
      </c>
    </row>
    <row r="41" spans="1:24" x14ac:dyDescent="0.2">
      <c r="A41" s="12">
        <v>38</v>
      </c>
      <c r="B41">
        <f>[1]gpt4omini_single_100!L40</f>
        <v>0.41455700000000001</v>
      </c>
      <c r="C41">
        <f>[2]gpt4omini_single_100!L40</f>
        <v>0.48256100000000002</v>
      </c>
      <c r="D41">
        <f>[3]gpt4omini_single_100!L40</f>
        <v>0.41755100000000001</v>
      </c>
      <c r="E41" s="24"/>
      <c r="F41" s="11">
        <f>[4]gpt4omini_single_100!L40</f>
        <v>0.45653199999999999</v>
      </c>
      <c r="G41">
        <v>38</v>
      </c>
      <c r="H41">
        <f>[1]gpt4omini_single_60!L40</f>
        <v>0.96116999999999997</v>
      </c>
      <c r="I41">
        <f>[2]gpt4omini_single_60!L40</f>
        <v>0.178397</v>
      </c>
      <c r="J41">
        <f>[3]gpt4omini_single_60!L40</f>
        <v>0.71474199999999999</v>
      </c>
      <c r="K41" s="24"/>
      <c r="L41">
        <f>[4]gpt4omini_single_60!L40</f>
        <v>0.29607499999999998</v>
      </c>
      <c r="M41" s="12">
        <v>38</v>
      </c>
      <c r="N41">
        <f>[1]gpt4omini_single_100_2!L40</f>
        <v>3.8043E-2</v>
      </c>
      <c r="O41">
        <f>[2]gpt4omini_single_100_2!L40</f>
        <v>0.16955200000000001</v>
      </c>
      <c r="P41">
        <f>[3]gpt4omini_single_100_2!L40</f>
        <v>-8.9349999999999999E-2</v>
      </c>
      <c r="Q41" s="24"/>
      <c r="R41" s="11">
        <f>[4]gpt4omini_single_100_2!L40</f>
        <v>-7.8029000000000001E-2</v>
      </c>
      <c r="S41">
        <v>38</v>
      </c>
      <c r="T41">
        <f>[1]gpt4omini_single_60_2!L40</f>
        <v>-0.74522999999999995</v>
      </c>
      <c r="U41">
        <f>[2]gpt4omini_single_60_2!L40</f>
        <v>-0.73458599999999996</v>
      </c>
      <c r="V41">
        <f>[3]gpt4omini_single_60_2!L40</f>
        <v>1.0565880000000001</v>
      </c>
      <c r="W41" s="24"/>
      <c r="X41">
        <f>[4]gpt4omini_single_60_2!L40</f>
        <v>5.4200999999999999E-2</v>
      </c>
    </row>
    <row r="42" spans="1:24" x14ac:dyDescent="0.2">
      <c r="A42" s="12">
        <v>39</v>
      </c>
      <c r="B42">
        <f>[1]gpt4omini_single_100!L41</f>
        <v>0.42174899999999999</v>
      </c>
      <c r="C42">
        <f>[2]gpt4omini_single_100!L41</f>
        <v>0.49489</v>
      </c>
      <c r="D42">
        <f>[3]gpt4omini_single_100!L41</f>
        <v>0.43421399999999999</v>
      </c>
      <c r="E42" s="24"/>
      <c r="F42" s="11">
        <f>[4]gpt4omini_single_100!L41</f>
        <v>0.47976799999999997</v>
      </c>
      <c r="G42">
        <v>39</v>
      </c>
      <c r="H42">
        <f>[1]gpt4omini_single_60!L41</f>
        <v>1.0238259999999999</v>
      </c>
      <c r="I42">
        <f>[2]gpt4omini_single_60!L41</f>
        <v>0.22237299999999999</v>
      </c>
      <c r="J42">
        <f>[3]gpt4omini_single_60!L41</f>
        <v>0.74733499999999997</v>
      </c>
      <c r="K42" s="24"/>
      <c r="L42">
        <f>[4]gpt4omini_single_60!L41</f>
        <v>0.367031</v>
      </c>
      <c r="M42" s="12">
        <v>39</v>
      </c>
      <c r="N42">
        <f>[1]gpt4omini_single_100_2!L41</f>
        <v>4.6418000000000001E-2</v>
      </c>
      <c r="O42">
        <f>[2]gpt4omini_single_100_2!L41</f>
        <v>0.16591500000000001</v>
      </c>
      <c r="P42">
        <f>[3]gpt4omini_single_100_2!L41</f>
        <v>-7.5131000000000003E-2</v>
      </c>
      <c r="Q42" s="24"/>
      <c r="R42" s="11">
        <f>[4]gpt4omini_single_100_2!L41</f>
        <v>-6.7188999999999999E-2</v>
      </c>
      <c r="S42">
        <v>39</v>
      </c>
      <c r="T42">
        <f>[1]gpt4omini_single_60_2!L41</f>
        <v>-0.88301799999999997</v>
      </c>
      <c r="U42">
        <f>[2]gpt4omini_single_60_2!L41</f>
        <v>-0.74991099999999999</v>
      </c>
      <c r="V42">
        <f>[3]gpt4omini_single_60_2!L41</f>
        <v>1.068711</v>
      </c>
      <c r="W42" s="24"/>
      <c r="X42">
        <f>[4]gpt4omini_single_60_2!L41</f>
        <v>5.6684999999999999E-2</v>
      </c>
    </row>
    <row r="43" spans="1:24" x14ac:dyDescent="0.2">
      <c r="A43" s="12">
        <v>40</v>
      </c>
      <c r="B43">
        <f>[1]gpt4omini_single_100!L42</f>
        <v>0.43638700000000002</v>
      </c>
      <c r="C43">
        <f>[2]gpt4omini_single_100!L42</f>
        <v>0.49406899999999998</v>
      </c>
      <c r="D43">
        <f>[3]gpt4omini_single_100!L42</f>
        <v>0.443824</v>
      </c>
      <c r="E43" s="24"/>
      <c r="F43" s="11">
        <f>[4]gpt4omini_single_100!L42</f>
        <v>0.498336</v>
      </c>
      <c r="G43">
        <v>40</v>
      </c>
      <c r="H43">
        <f>[1]gpt4omini_single_60!L42</f>
        <v>1.021166</v>
      </c>
      <c r="I43">
        <f>[2]gpt4omini_single_60!L42</f>
        <v>0.25045400000000001</v>
      </c>
      <c r="J43">
        <f>[3]gpt4omini_single_60!L42</f>
        <v>0.73839100000000002</v>
      </c>
      <c r="K43" s="24"/>
      <c r="L43">
        <f>[4]gpt4omini_single_60!L42</f>
        <v>0.38256400000000002</v>
      </c>
      <c r="M43" s="12">
        <v>40</v>
      </c>
      <c r="N43">
        <f>[1]gpt4omini_single_100_2!L42</f>
        <v>5.9533000000000003E-2</v>
      </c>
      <c r="O43">
        <f>[2]gpt4omini_single_100_2!L42</f>
        <v>0.18726599999999999</v>
      </c>
      <c r="P43">
        <f>[3]gpt4omini_single_100_2!L42</f>
        <v>-7.0902999999999994E-2</v>
      </c>
      <c r="Q43" s="24"/>
      <c r="R43" s="11">
        <f>[4]gpt4omini_single_100_2!L42</f>
        <v>-6.5004000000000006E-2</v>
      </c>
      <c r="S43">
        <v>40</v>
      </c>
      <c r="T43">
        <f>[1]gpt4omini_single_60_2!L42</f>
        <v>-0.887517</v>
      </c>
      <c r="U43">
        <f>[2]gpt4omini_single_60_2!L42</f>
        <v>-0.65158799999999995</v>
      </c>
      <c r="V43">
        <f>[3]gpt4omini_single_60_2!L42</f>
        <v>1.113972</v>
      </c>
      <c r="W43" s="24"/>
      <c r="X43">
        <f>[4]gpt4omini_single_60_2!L42</f>
        <v>6.6090999999999997E-2</v>
      </c>
    </row>
    <row r="44" spans="1:24" x14ac:dyDescent="0.2">
      <c r="A44" s="12">
        <v>41</v>
      </c>
      <c r="B44">
        <f>[1]gpt4omini_single_100!L43</f>
        <v>0.43165999999999999</v>
      </c>
      <c r="C44">
        <f>[2]gpt4omini_single_100!L43</f>
        <v>0.43038700000000002</v>
      </c>
      <c r="D44">
        <f>[3]gpt4omini_single_100!L43</f>
        <v>0.40820499999999998</v>
      </c>
      <c r="E44" s="24"/>
      <c r="F44" s="11">
        <f>[4]gpt4omini_single_100!L43</f>
        <v>0.48712899999999998</v>
      </c>
      <c r="G44">
        <v>41</v>
      </c>
      <c r="H44">
        <f>[1]gpt4omini_single_60!L43</f>
        <v>0.99430200000000002</v>
      </c>
      <c r="I44">
        <f>[2]gpt4omini_single_60!L43</f>
        <v>0.26009700000000002</v>
      </c>
      <c r="J44">
        <f>[3]gpt4omini_single_60!L43</f>
        <v>0.73446</v>
      </c>
      <c r="K44" s="24"/>
      <c r="L44">
        <f>[4]gpt4omini_single_60!L43</f>
        <v>0.53991900000000004</v>
      </c>
      <c r="M44" s="12">
        <v>41</v>
      </c>
      <c r="N44">
        <f>[1]gpt4omini_single_100_2!L43</f>
        <v>0.105394</v>
      </c>
      <c r="O44">
        <f>[2]gpt4omini_single_100_2!L43</f>
        <v>0.16189799999999999</v>
      </c>
      <c r="P44">
        <f>[3]gpt4omini_single_100_2!L43</f>
        <v>-0.20181499999999999</v>
      </c>
      <c r="Q44" s="24"/>
      <c r="R44" s="11">
        <f>[4]gpt4omini_single_100_2!L43</f>
        <v>-7.7201000000000006E-2</v>
      </c>
      <c r="S44">
        <v>41</v>
      </c>
      <c r="T44">
        <f>[1]gpt4omini_single_60_2!L43</f>
        <v>-0.88470700000000002</v>
      </c>
      <c r="U44">
        <f>[2]gpt4omini_single_60_2!L43</f>
        <v>-0.69233199999999995</v>
      </c>
      <c r="V44">
        <f>[3]gpt4omini_single_60_2!L43</f>
        <v>1.097078</v>
      </c>
      <c r="W44" s="24"/>
      <c r="X44">
        <f>[4]gpt4omini_single_60_2!L43</f>
        <v>0.10484599999999999</v>
      </c>
    </row>
    <row r="45" spans="1:24" x14ac:dyDescent="0.2">
      <c r="A45" s="12">
        <v>42</v>
      </c>
      <c r="B45">
        <f>[1]gpt4omini_single_100!L44</f>
        <v>0.45300699999999999</v>
      </c>
      <c r="C45">
        <f>[2]gpt4omini_single_100!L44</f>
        <v>0.55905800000000005</v>
      </c>
      <c r="D45">
        <f>[3]gpt4omini_single_100!L44</f>
        <v>0.47606999999999999</v>
      </c>
      <c r="E45" s="24"/>
      <c r="F45" s="11">
        <f>[4]gpt4omini_single_100!L44</f>
        <v>0.51047100000000001</v>
      </c>
      <c r="G45">
        <v>42</v>
      </c>
      <c r="H45">
        <f>[1]gpt4omini_single_60!L44</f>
        <v>1.0241579999999999</v>
      </c>
      <c r="I45">
        <f>[2]gpt4omini_single_60!L44</f>
        <v>0.28071800000000002</v>
      </c>
      <c r="J45">
        <f>[3]gpt4omini_single_60!L44</f>
        <v>0.76030900000000001</v>
      </c>
      <c r="K45" s="24"/>
      <c r="L45">
        <f>[4]gpt4omini_single_60!L44</f>
        <v>0.54499299999999995</v>
      </c>
      <c r="M45" s="12">
        <v>42</v>
      </c>
      <c r="N45">
        <f>[1]gpt4omini_single_100_2!L44</f>
        <v>0.116701</v>
      </c>
      <c r="O45">
        <f>[2]gpt4omini_single_100_2!L44</f>
        <v>0.19792499999999999</v>
      </c>
      <c r="P45">
        <f>[3]gpt4omini_single_100_2!L44</f>
        <v>-0.26454699999999998</v>
      </c>
      <c r="Q45" s="24"/>
      <c r="R45" s="11">
        <f>[4]gpt4omini_single_100_2!L44</f>
        <v>-8.7234999999999993E-2</v>
      </c>
      <c r="S45">
        <v>42</v>
      </c>
      <c r="T45">
        <f>[1]gpt4omini_single_60_2!L44</f>
        <v>-0.88822199999999996</v>
      </c>
      <c r="U45">
        <f>[2]gpt4omini_single_60_2!L44</f>
        <v>-0.69018999999999997</v>
      </c>
      <c r="V45">
        <f>[3]gpt4omini_single_60_2!L44</f>
        <v>1.14839</v>
      </c>
      <c r="W45" s="24"/>
      <c r="X45">
        <f>[4]gpt4omini_single_60_2!L44</f>
        <v>0.11215</v>
      </c>
    </row>
    <row r="46" spans="1:24" x14ac:dyDescent="0.2">
      <c r="A46" s="12">
        <v>43</v>
      </c>
      <c r="B46">
        <f>[1]gpt4omini_single_100!L45</f>
        <v>0.45732600000000001</v>
      </c>
      <c r="C46">
        <f>[2]gpt4omini_single_100!L45</f>
        <v>0.56636799999999998</v>
      </c>
      <c r="D46">
        <f>[3]gpt4omini_single_100!L45</f>
        <v>0.480966</v>
      </c>
      <c r="E46" s="24"/>
      <c r="F46" s="11">
        <f>[4]gpt4omini_single_100!L45</f>
        <v>0.52534099999999995</v>
      </c>
      <c r="G46">
        <v>43</v>
      </c>
      <c r="H46">
        <f>[1]gpt4omini_single_60!L45</f>
        <v>1.033182</v>
      </c>
      <c r="I46">
        <f>[2]gpt4omini_single_60!L45</f>
        <v>0.293796</v>
      </c>
      <c r="J46">
        <f>[3]gpt4omini_single_60!L45</f>
        <v>0.77512700000000001</v>
      </c>
      <c r="K46" s="24"/>
      <c r="L46">
        <f>[4]gpt4omini_single_60!L45</f>
        <v>0.58006500000000005</v>
      </c>
      <c r="M46" s="12">
        <v>43</v>
      </c>
      <c r="N46">
        <f>[1]gpt4omini_single_100_2!L45</f>
        <v>0.117215</v>
      </c>
      <c r="O46">
        <f>[2]gpt4omini_single_100_2!L45</f>
        <v>0.19672400000000001</v>
      </c>
      <c r="P46">
        <f>[3]gpt4omini_single_100_2!L45</f>
        <v>-0.26226300000000002</v>
      </c>
      <c r="Q46" s="24"/>
      <c r="R46" s="11">
        <f>[4]gpt4omini_single_100_2!L45</f>
        <v>-8.8802000000000006E-2</v>
      </c>
      <c r="S46">
        <v>43</v>
      </c>
      <c r="T46">
        <f>[1]gpt4omini_single_60_2!L45</f>
        <v>-0.85377599999999998</v>
      </c>
      <c r="U46">
        <f>[2]gpt4omini_single_60_2!L45</f>
        <v>-0.68428100000000003</v>
      </c>
      <c r="V46">
        <f>[3]gpt4omini_single_60_2!L45</f>
        <v>1.18214</v>
      </c>
      <c r="W46" s="24"/>
      <c r="X46">
        <f>[4]gpt4omini_single_60_2!L45</f>
        <v>0.12289700000000001</v>
      </c>
    </row>
    <row r="47" spans="1:24" x14ac:dyDescent="0.2">
      <c r="A47" s="12">
        <v>44</v>
      </c>
      <c r="B47">
        <f>[1]gpt4omini_single_100!L46</f>
        <v>0.46381299999999998</v>
      </c>
      <c r="C47">
        <f>[2]gpt4omini_single_100!L46</f>
        <v>0.56891700000000001</v>
      </c>
      <c r="D47">
        <f>[3]gpt4omini_single_100!L46</f>
        <v>0.50361400000000001</v>
      </c>
      <c r="E47" s="24"/>
      <c r="F47" s="11">
        <f>[4]gpt4omini_single_100!L46</f>
        <v>0.52178899999999995</v>
      </c>
      <c r="G47">
        <v>44</v>
      </c>
      <c r="H47">
        <f>[1]gpt4omini_single_60!L46</f>
        <v>1.0581689999999999</v>
      </c>
      <c r="I47">
        <f>[2]gpt4omini_single_60!L46</f>
        <v>0.29569000000000001</v>
      </c>
      <c r="J47">
        <f>[3]gpt4omini_single_60!L46</f>
        <v>0.79603699999999999</v>
      </c>
      <c r="K47" s="24"/>
      <c r="L47">
        <f>[4]gpt4omini_single_60!L46</f>
        <v>0.58974599999999999</v>
      </c>
      <c r="M47" s="12">
        <v>44</v>
      </c>
      <c r="N47">
        <f>[1]gpt4omini_single_100_2!L46</f>
        <v>0.120141</v>
      </c>
      <c r="O47">
        <f>[2]gpt4omini_single_100_2!L46</f>
        <v>0.21042</v>
      </c>
      <c r="P47">
        <f>[3]gpt4omini_single_100_2!L46</f>
        <v>-0.25570399999999999</v>
      </c>
      <c r="Q47" s="24"/>
      <c r="R47" s="11">
        <f>[4]gpt4omini_single_100_2!L46</f>
        <v>-9.9710999999999994E-2</v>
      </c>
      <c r="S47">
        <v>44</v>
      </c>
      <c r="T47">
        <f>[1]gpt4omini_single_60_2!L46</f>
        <v>-1.0463899999999999</v>
      </c>
      <c r="U47">
        <f>[2]gpt4omini_single_60_2!L46</f>
        <v>-0.67638799999999999</v>
      </c>
      <c r="V47">
        <f>[3]gpt4omini_single_60_2!L46</f>
        <v>1.160833</v>
      </c>
      <c r="W47" s="24"/>
      <c r="X47">
        <f>[4]gpt4omini_single_60_2!L46</f>
        <v>0.14410300000000001</v>
      </c>
    </row>
    <row r="48" spans="1:24" x14ac:dyDescent="0.2">
      <c r="A48" s="12">
        <v>45</v>
      </c>
      <c r="B48">
        <f>[1]gpt4omini_single_100!L47</f>
        <v>0.472802</v>
      </c>
      <c r="C48">
        <f>[2]gpt4omini_single_100!L47</f>
        <v>0.57622399999999996</v>
      </c>
      <c r="D48">
        <f>[3]gpt4omini_single_100!L47</f>
        <v>0.51778100000000005</v>
      </c>
      <c r="E48" s="24"/>
      <c r="F48" s="11">
        <f>[4]gpt4omini_single_100!L47</f>
        <v>0.52299300000000004</v>
      </c>
      <c r="G48">
        <v>45</v>
      </c>
      <c r="H48">
        <f>[1]gpt4omini_single_60!L47</f>
        <v>1.0578650000000001</v>
      </c>
      <c r="I48">
        <f>[2]gpt4omini_single_60!L47</f>
        <v>0.29316399999999998</v>
      </c>
      <c r="J48">
        <f>[3]gpt4omini_single_60!L47</f>
        <v>0.80712499999999998</v>
      </c>
      <c r="K48" s="24"/>
      <c r="L48">
        <f>[4]gpt4omini_single_60!L47</f>
        <v>0.587283</v>
      </c>
      <c r="M48" s="12">
        <v>45</v>
      </c>
      <c r="N48">
        <f>[1]gpt4omini_single_100_2!L47</f>
        <v>0.114941</v>
      </c>
      <c r="O48">
        <f>[2]gpt4omini_single_100_2!L47</f>
        <v>0.20166600000000001</v>
      </c>
      <c r="P48">
        <f>[3]gpt4omini_single_100_2!L47</f>
        <v>-0.27073000000000003</v>
      </c>
      <c r="Q48" s="24"/>
      <c r="R48" s="11">
        <f>[4]gpt4omini_single_100_2!L47</f>
        <v>-0.106887</v>
      </c>
      <c r="S48">
        <v>45</v>
      </c>
      <c r="T48">
        <f>[1]gpt4omini_single_60_2!L47</f>
        <v>-1.0268440000000001</v>
      </c>
      <c r="U48">
        <f>[2]gpt4omini_single_60_2!L47</f>
        <v>-0.56136600000000003</v>
      </c>
      <c r="V48">
        <f>[3]gpt4omini_single_60_2!L47</f>
        <v>1.168598</v>
      </c>
      <c r="W48" s="24"/>
      <c r="X48">
        <f>[4]gpt4omini_single_60_2!L47</f>
        <v>0.106543</v>
      </c>
    </row>
    <row r="49" spans="1:24" x14ac:dyDescent="0.2">
      <c r="A49" s="12">
        <v>46</v>
      </c>
      <c r="B49">
        <f>[1]gpt4omini_single_100!L48</f>
        <v>0.452075</v>
      </c>
      <c r="C49">
        <f>[2]gpt4omini_single_100!L48</f>
        <v>0.56490499999999999</v>
      </c>
      <c r="D49">
        <f>[3]gpt4omini_single_100!L48</f>
        <v>0.56340400000000002</v>
      </c>
      <c r="E49" s="24"/>
      <c r="F49" s="11">
        <f>[4]gpt4omini_single_100!L48</f>
        <v>0.53690400000000005</v>
      </c>
      <c r="G49">
        <v>46</v>
      </c>
      <c r="H49">
        <f>[1]gpt4omini_single_60!L48</f>
        <v>1.06488</v>
      </c>
      <c r="I49">
        <f>[2]gpt4omini_single_60!L48</f>
        <v>0.305668</v>
      </c>
      <c r="J49">
        <f>[3]gpt4omini_single_60!L48</f>
        <v>0.82908400000000004</v>
      </c>
      <c r="K49" s="24"/>
      <c r="L49">
        <f>[4]gpt4omini_single_60!L48</f>
        <v>0.60695399999999999</v>
      </c>
      <c r="M49" s="12">
        <v>46</v>
      </c>
      <c r="N49">
        <f>[1]gpt4omini_single_100_2!L48</f>
        <v>0.105948</v>
      </c>
      <c r="O49">
        <f>[2]gpt4omini_single_100_2!L48</f>
        <v>0.23511499999999999</v>
      </c>
      <c r="P49">
        <f>[3]gpt4omini_single_100_2!L48</f>
        <v>-0.26675399999999999</v>
      </c>
      <c r="Q49" s="24"/>
      <c r="R49" s="11">
        <f>[4]gpt4omini_single_100_2!L48</f>
        <v>-0.11031100000000001</v>
      </c>
      <c r="S49">
        <v>46</v>
      </c>
      <c r="T49">
        <f>[1]gpt4omini_single_60_2!L48</f>
        <v>-1.0581</v>
      </c>
      <c r="U49">
        <f>[2]gpt4omini_single_60_2!L48</f>
        <v>-0.70076499999999997</v>
      </c>
      <c r="V49">
        <f>[3]gpt4omini_single_60_2!L48</f>
        <v>1.1960649999999999</v>
      </c>
      <c r="W49" s="24"/>
      <c r="X49">
        <f>[4]gpt4omini_single_60_2!L48</f>
        <v>0.102076</v>
      </c>
    </row>
    <row r="50" spans="1:24" x14ac:dyDescent="0.2">
      <c r="A50" s="12">
        <v>47</v>
      </c>
      <c r="B50">
        <f>[1]gpt4omini_single_100!L49</f>
        <v>0.46346500000000002</v>
      </c>
      <c r="C50">
        <f>[2]gpt4omini_single_100!L49</f>
        <v>0.57156700000000005</v>
      </c>
      <c r="D50">
        <f>[3]gpt4omini_single_100!L49</f>
        <v>0.58577199999999996</v>
      </c>
      <c r="E50" s="24"/>
      <c r="F50" s="11">
        <f>[4]gpt4omini_single_100!L49</f>
        <v>0.53120100000000003</v>
      </c>
      <c r="G50">
        <v>47</v>
      </c>
      <c r="H50">
        <f>[1]gpt4omini_single_60!L49</f>
        <v>1.0077780000000001</v>
      </c>
      <c r="I50">
        <f>[2]gpt4omini_single_60!L49</f>
        <v>0.32435000000000003</v>
      </c>
      <c r="J50">
        <f>[3]gpt4omini_single_60!L49</f>
        <v>0.79893099999999995</v>
      </c>
      <c r="K50" s="24"/>
      <c r="L50">
        <f>[4]gpt4omini_single_60!L49</f>
        <v>0.57308700000000001</v>
      </c>
      <c r="M50" s="12">
        <v>47</v>
      </c>
      <c r="N50">
        <f>[1]gpt4omini_single_100_2!L49</f>
        <v>9.5172999999999994E-2</v>
      </c>
      <c r="O50">
        <f>[2]gpt4omini_single_100_2!L49</f>
        <v>0.23379900000000001</v>
      </c>
      <c r="P50">
        <f>[3]gpt4omini_single_100_2!L49</f>
        <v>-0.27897899999999998</v>
      </c>
      <c r="Q50" s="24"/>
      <c r="R50" s="11">
        <f>[4]gpt4omini_single_100_2!L49</f>
        <v>-0.12812000000000001</v>
      </c>
      <c r="S50">
        <v>47</v>
      </c>
      <c r="T50">
        <f>[1]gpt4omini_single_60_2!L49</f>
        <v>-0.88055899999999998</v>
      </c>
      <c r="U50">
        <f>[2]gpt4omini_single_60_2!L49</f>
        <v>-0.67334799999999995</v>
      </c>
      <c r="V50">
        <f>[3]gpt4omini_single_60_2!L49</f>
        <v>1.129337</v>
      </c>
      <c r="W50" s="24"/>
      <c r="X50">
        <f>[4]gpt4omini_single_60_2!L49</f>
        <v>0.17182800000000001</v>
      </c>
    </row>
    <row r="51" spans="1:24" x14ac:dyDescent="0.2">
      <c r="A51" s="12">
        <v>48</v>
      </c>
      <c r="B51">
        <f>[1]gpt4omini_single_100!L50</f>
        <v>0.49004199999999998</v>
      </c>
      <c r="C51">
        <f>[2]gpt4omini_single_100!L50</f>
        <v>0.56693899999999997</v>
      </c>
      <c r="D51">
        <f>[3]gpt4omini_single_100!L50</f>
        <v>0.58353500000000003</v>
      </c>
      <c r="E51" s="24"/>
      <c r="F51" s="11">
        <f>[4]gpt4omini_single_100!L50</f>
        <v>0.54115199999999997</v>
      </c>
      <c r="G51">
        <v>48</v>
      </c>
      <c r="H51">
        <f>[1]gpt4omini_single_60!L50</f>
        <v>1.1354059999999999</v>
      </c>
      <c r="I51">
        <f>[2]gpt4omini_single_60!L50</f>
        <v>0.34856199999999998</v>
      </c>
      <c r="J51">
        <f>[3]gpt4omini_single_60!L50</f>
        <v>0.86838099999999996</v>
      </c>
      <c r="K51" s="24"/>
      <c r="L51">
        <f>[4]gpt4omini_single_60!L50</f>
        <v>0.62515900000000002</v>
      </c>
      <c r="M51" s="12">
        <v>48</v>
      </c>
      <c r="N51">
        <f>[1]gpt4omini_single_100_2!L50</f>
        <v>9.2954999999999996E-2</v>
      </c>
      <c r="O51">
        <f>[2]gpt4omini_single_100_2!L50</f>
        <v>0.217142</v>
      </c>
      <c r="P51">
        <f>[3]gpt4omini_single_100_2!L50</f>
        <v>-0.25346600000000002</v>
      </c>
      <c r="Q51" s="24"/>
      <c r="R51" s="11">
        <f>[4]gpt4omini_single_100_2!L50</f>
        <v>-0.13813300000000001</v>
      </c>
      <c r="S51">
        <v>48</v>
      </c>
      <c r="T51">
        <f>[1]gpt4omini_single_60_2!L50</f>
        <v>-0.953542</v>
      </c>
      <c r="U51">
        <f>[2]gpt4omini_single_60_2!L50</f>
        <v>-0.72922200000000004</v>
      </c>
      <c r="V51">
        <f>[3]gpt4omini_single_60_2!L50</f>
        <v>1.2255069999999999</v>
      </c>
      <c r="W51" s="24"/>
      <c r="X51">
        <f>[4]gpt4omini_single_60_2!L50</f>
        <v>0.186366</v>
      </c>
    </row>
    <row r="52" spans="1:24" x14ac:dyDescent="0.2">
      <c r="A52" s="12">
        <v>49</v>
      </c>
      <c r="B52">
        <f>[1]gpt4omini_single_100!L51</f>
        <v>0.50949599999999995</v>
      </c>
      <c r="C52">
        <f>[2]gpt4omini_single_100!L51</f>
        <v>0.585982</v>
      </c>
      <c r="D52">
        <f>[3]gpt4omini_single_100!L51</f>
        <v>0.60538199999999998</v>
      </c>
      <c r="E52" s="24"/>
      <c r="F52" s="11">
        <f>[4]gpt4omini_single_100!L51</f>
        <v>0.56089800000000001</v>
      </c>
      <c r="G52">
        <v>49</v>
      </c>
      <c r="H52">
        <f>[1]gpt4omini_single_60!L51</f>
        <v>1.1276900000000001</v>
      </c>
      <c r="I52">
        <f>[2]gpt4omini_single_60!L51</f>
        <v>0.35485299999999997</v>
      </c>
      <c r="J52">
        <f>[3]gpt4omini_single_60!L51</f>
        <v>0.88370199999999999</v>
      </c>
      <c r="K52" s="24"/>
      <c r="L52">
        <f>[4]gpt4omini_single_60!L51</f>
        <v>0.63908100000000001</v>
      </c>
      <c r="M52" s="12">
        <v>49</v>
      </c>
      <c r="N52">
        <f>[1]gpt4omini_single_100_2!L51</f>
        <v>9.7892999999999994E-2</v>
      </c>
      <c r="O52">
        <f>[2]gpt4omini_single_100_2!L51</f>
        <v>0.22751199999999999</v>
      </c>
      <c r="P52">
        <f>[3]gpt4omini_single_100_2!L51</f>
        <v>-0.25124999999999997</v>
      </c>
      <c r="Q52" s="24"/>
      <c r="R52" s="11">
        <f>[4]gpt4omini_single_100_2!L51</f>
        <v>-0.13891600000000001</v>
      </c>
      <c r="S52">
        <v>49</v>
      </c>
      <c r="T52">
        <f>[1]gpt4omini_single_60_2!L51</f>
        <v>-0.96398600000000001</v>
      </c>
      <c r="U52">
        <f>[2]gpt4omini_single_60_2!L51</f>
        <v>-0.72593399999999997</v>
      </c>
      <c r="V52">
        <f>[3]gpt4omini_single_60_2!L51</f>
        <v>1.0521370000000001</v>
      </c>
      <c r="W52" s="24"/>
      <c r="X52">
        <f>[4]gpt4omini_single_60_2!L51</f>
        <v>0.17755099999999999</v>
      </c>
    </row>
    <row r="53" spans="1:24" x14ac:dyDescent="0.2">
      <c r="A53" s="12">
        <v>50</v>
      </c>
      <c r="B53">
        <f>[1]gpt4omini_single_100!L52</f>
        <v>0.51627500000000004</v>
      </c>
      <c r="C53">
        <f>[2]gpt4omini_single_100!L52</f>
        <v>0.59340199999999999</v>
      </c>
      <c r="D53">
        <f>[3]gpt4omini_single_100!L52</f>
        <v>0.60888299999999995</v>
      </c>
      <c r="E53" s="24"/>
      <c r="F53" s="11">
        <f>[4]gpt4omini_single_100!L52</f>
        <v>0.56540900000000005</v>
      </c>
      <c r="G53">
        <v>50</v>
      </c>
      <c r="H53">
        <f>[1]gpt4omini_single_60!L52</f>
        <v>1.14699</v>
      </c>
      <c r="I53">
        <f>[2]gpt4omini_single_60!L52</f>
        <v>0.39363300000000001</v>
      </c>
      <c r="J53">
        <f>[3]gpt4omini_single_60!L52</f>
        <v>0.89392400000000005</v>
      </c>
      <c r="K53" s="24"/>
      <c r="L53">
        <f>[4]gpt4omini_single_60!L52</f>
        <v>0.66338699999999995</v>
      </c>
      <c r="M53" s="12">
        <v>50</v>
      </c>
      <c r="N53">
        <f>[1]gpt4omini_single_100_2!L52</f>
        <v>7.5426000000000007E-2</v>
      </c>
      <c r="O53">
        <f>[2]gpt4omini_single_100_2!L52</f>
        <v>0.22461600000000001</v>
      </c>
      <c r="P53">
        <f>[3]gpt4omini_single_100_2!L52</f>
        <v>-0.24124699999999999</v>
      </c>
      <c r="Q53" s="24"/>
      <c r="R53" s="11">
        <f>[4]gpt4omini_single_100_2!L52</f>
        <v>-0.14774699999999999</v>
      </c>
      <c r="S53">
        <v>50</v>
      </c>
      <c r="T53">
        <f>[1]gpt4omini_single_60_2!L52</f>
        <v>-0.89939599999999997</v>
      </c>
      <c r="U53">
        <f>[2]gpt4omini_single_60_2!L52</f>
        <v>-0.73410699999999995</v>
      </c>
      <c r="V53">
        <f>[3]gpt4omini_single_60_2!L52</f>
        <v>1.248299</v>
      </c>
      <c r="W53" s="24"/>
      <c r="X53">
        <f>[4]gpt4omini_single_60_2!L52</f>
        <v>0.15743699999999999</v>
      </c>
    </row>
    <row r="54" spans="1:24" x14ac:dyDescent="0.2">
      <c r="A54" s="12">
        <v>51</v>
      </c>
      <c r="B54">
        <f>[1]gpt4omini_single_100!L53</f>
        <v>0.50559600000000005</v>
      </c>
      <c r="C54">
        <f>[2]gpt4omini_single_100!L53</f>
        <v>0.59803300000000004</v>
      </c>
      <c r="D54">
        <f>[3]gpt4omini_single_100!L53</f>
        <v>0.638069</v>
      </c>
      <c r="E54" s="24"/>
      <c r="F54" s="11">
        <f>[4]gpt4omini_single_100!L53</f>
        <v>0.56202600000000003</v>
      </c>
      <c r="G54">
        <v>51</v>
      </c>
      <c r="H54">
        <f>[1]gpt4omini_single_60!L53</f>
        <v>1.163778</v>
      </c>
      <c r="I54">
        <f>[2]gpt4omini_single_60!L53</f>
        <v>0.54419600000000001</v>
      </c>
      <c r="J54">
        <f>[3]gpt4omini_single_60!L53</f>
        <v>0.91212300000000002</v>
      </c>
      <c r="K54" s="24"/>
      <c r="L54">
        <f>[4]gpt4omini_single_60!L53</f>
        <v>0.66739800000000005</v>
      </c>
      <c r="M54" s="12">
        <v>51</v>
      </c>
      <c r="N54">
        <f>[1]gpt4omini_single_100_2!L53</f>
        <v>7.3353000000000002E-2</v>
      </c>
      <c r="O54">
        <f>[2]gpt4omini_single_100_2!L53</f>
        <v>0.231434</v>
      </c>
      <c r="P54">
        <f>[3]gpt4omini_single_100_2!L53</f>
        <v>-0.215699</v>
      </c>
      <c r="Q54" s="24"/>
      <c r="R54" s="11">
        <f>[4]gpt4omini_single_100_2!L53</f>
        <v>-0.134571</v>
      </c>
      <c r="S54">
        <v>51</v>
      </c>
      <c r="T54">
        <f>[1]gpt4omini_single_60_2!L53</f>
        <v>-0.91977799999999998</v>
      </c>
      <c r="U54">
        <f>[2]gpt4omini_single_60_2!L53</f>
        <v>-0.76406300000000005</v>
      </c>
      <c r="V54">
        <f>[3]gpt4omini_single_60_2!L53</f>
        <v>1.270302</v>
      </c>
      <c r="W54" s="24"/>
      <c r="X54">
        <f>[4]gpt4omini_single_60_2!L53</f>
        <v>0.121756</v>
      </c>
    </row>
    <row r="55" spans="1:24" x14ac:dyDescent="0.2">
      <c r="A55" s="12">
        <v>52</v>
      </c>
      <c r="B55">
        <f>[1]gpt4omini_single_100!L54</f>
        <v>0.53957299999999997</v>
      </c>
      <c r="C55">
        <f>[2]gpt4omini_single_100!L54</f>
        <v>0.58587299999999998</v>
      </c>
      <c r="D55">
        <f>[3]gpt4omini_single_100!L54</f>
        <v>0.64066999999999996</v>
      </c>
      <c r="E55" s="24"/>
      <c r="F55" s="11">
        <f>[4]gpt4omini_single_100!L54</f>
        <v>0.56172100000000003</v>
      </c>
      <c r="G55">
        <v>52</v>
      </c>
      <c r="H55">
        <f>[1]gpt4omini_single_60!L54</f>
        <v>1.202234</v>
      </c>
      <c r="I55">
        <f>[2]gpt4omini_single_60!L54</f>
        <v>0.55942999999999998</v>
      </c>
      <c r="J55">
        <f>[3]gpt4omini_single_60!L54</f>
        <v>0.95340400000000003</v>
      </c>
      <c r="K55" s="24"/>
      <c r="L55">
        <f>[4]gpt4omini_single_60!L54</f>
        <v>0.69432400000000005</v>
      </c>
      <c r="M55" s="12">
        <v>52</v>
      </c>
      <c r="N55">
        <f>[1]gpt4omini_single_100_2!L54</f>
        <v>9.4047000000000006E-2</v>
      </c>
      <c r="O55">
        <f>[2]gpt4omini_single_100_2!L54</f>
        <v>0.25945099999999999</v>
      </c>
      <c r="P55">
        <f>[3]gpt4omini_single_100_2!L54</f>
        <v>-0.24201</v>
      </c>
      <c r="Q55" s="24"/>
      <c r="R55" s="11">
        <f>[4]gpt4omini_single_100_2!L54</f>
        <v>-0.13552700000000001</v>
      </c>
      <c r="S55">
        <v>52</v>
      </c>
      <c r="T55">
        <f>[1]gpt4omini_single_60_2!L54</f>
        <v>-0.99229299999999998</v>
      </c>
      <c r="U55">
        <f>[2]gpt4omini_single_60_2!L54</f>
        <v>-0.80518299999999998</v>
      </c>
      <c r="V55">
        <f>[3]gpt4omini_single_60_2!L54</f>
        <v>1.2851269999999999</v>
      </c>
      <c r="W55" s="24"/>
      <c r="X55">
        <f>[4]gpt4omini_single_60_2!L54</f>
        <v>0.121923</v>
      </c>
    </row>
    <row r="56" spans="1:24" x14ac:dyDescent="0.2">
      <c r="A56" s="12">
        <v>53</v>
      </c>
      <c r="B56">
        <f>[1]gpt4omini_single_100!L55</f>
        <v>0.55424399999999996</v>
      </c>
      <c r="C56">
        <f>[2]gpt4omini_single_100!L55</f>
        <v>0.61515500000000001</v>
      </c>
      <c r="D56">
        <f>[3]gpt4omini_single_100!L55</f>
        <v>0.66317099999999995</v>
      </c>
      <c r="E56" s="24"/>
      <c r="F56" s="11">
        <f>[4]gpt4omini_single_100!L55</f>
        <v>0.60694599999999999</v>
      </c>
      <c r="G56">
        <v>53</v>
      </c>
      <c r="H56">
        <f>[1]gpt4omini_single_60!L55</f>
        <v>1.2310509999999999</v>
      </c>
      <c r="I56">
        <f>[2]gpt4omini_single_60!L55</f>
        <v>0.58835300000000001</v>
      </c>
      <c r="J56">
        <f>[3]gpt4omini_single_60!L55</f>
        <v>0.93381099999999995</v>
      </c>
      <c r="K56" s="24"/>
      <c r="L56">
        <f>[4]gpt4omini_single_60!L55</f>
        <v>0.70792500000000003</v>
      </c>
      <c r="M56" s="12">
        <v>53</v>
      </c>
      <c r="N56">
        <f>[1]gpt4omini_single_100_2!L55</f>
        <v>0.102941</v>
      </c>
      <c r="O56">
        <f>[2]gpt4omini_single_100_2!L55</f>
        <v>0.26246900000000001</v>
      </c>
      <c r="P56">
        <f>[3]gpt4omini_single_100_2!L55</f>
        <v>-5.7778999999999997E-2</v>
      </c>
      <c r="Q56" s="24"/>
      <c r="R56" s="11">
        <f>[4]gpt4omini_single_100_2!L55</f>
        <v>-0.13935900000000001</v>
      </c>
      <c r="S56">
        <v>53</v>
      </c>
      <c r="T56">
        <f>[1]gpt4omini_single_60_2!L55</f>
        <v>-0.99847799999999998</v>
      </c>
      <c r="U56">
        <f>[2]gpt4omini_single_60_2!L55</f>
        <v>-0.812778</v>
      </c>
      <c r="V56">
        <f>[3]gpt4omini_single_60_2!L55</f>
        <v>1.328303</v>
      </c>
      <c r="W56" s="24"/>
      <c r="X56">
        <f>[4]gpt4omini_single_60_2!L55</f>
        <v>0.130609</v>
      </c>
    </row>
    <row r="57" spans="1:24" x14ac:dyDescent="0.2">
      <c r="A57" s="12">
        <v>54</v>
      </c>
      <c r="B57">
        <f>[1]gpt4omini_single_100!L56</f>
        <v>0.56467000000000001</v>
      </c>
      <c r="C57">
        <f>[2]gpt4omini_single_100!L56</f>
        <v>0.62274200000000002</v>
      </c>
      <c r="D57">
        <f>[3]gpt4omini_single_100!L56</f>
        <v>0.65205800000000003</v>
      </c>
      <c r="E57" s="24"/>
      <c r="F57" s="11">
        <f>[4]gpt4omini_single_100!L56</f>
        <v>0.59007399999999999</v>
      </c>
      <c r="G57">
        <v>54</v>
      </c>
      <c r="H57">
        <f>[1]gpt4omini_single_60!L56</f>
        <v>1.2194039999999999</v>
      </c>
      <c r="I57">
        <f>[2]gpt4omini_single_60!L56</f>
        <v>0.58859600000000001</v>
      </c>
      <c r="J57">
        <f>[3]gpt4omini_single_60!L56</f>
        <v>0.95335700000000001</v>
      </c>
      <c r="K57" s="24"/>
      <c r="L57">
        <f>[4]gpt4omini_single_60!L56</f>
        <v>0.71826400000000001</v>
      </c>
      <c r="M57" s="12">
        <v>54</v>
      </c>
      <c r="N57">
        <f>[1]gpt4omini_single_100_2!L56</f>
        <v>9.5638000000000001E-2</v>
      </c>
      <c r="O57">
        <f>[2]gpt4omini_single_100_2!L56</f>
        <v>0.281024</v>
      </c>
      <c r="P57">
        <f>[3]gpt4omini_single_100_2!L56</f>
        <v>-5.6278000000000002E-2</v>
      </c>
      <c r="Q57" s="24"/>
      <c r="R57" s="11">
        <f>[4]gpt4omini_single_100_2!L56</f>
        <v>-0.10136299999999999</v>
      </c>
      <c r="S57">
        <v>54</v>
      </c>
      <c r="T57">
        <f>[1]gpt4omini_single_60_2!L56</f>
        <v>-0.95088300000000003</v>
      </c>
      <c r="U57">
        <f>[2]gpt4omini_single_60_2!L56</f>
        <v>-0.78176999999999996</v>
      </c>
      <c r="V57">
        <f>[3]gpt4omini_single_60_2!L56</f>
        <v>1.306505</v>
      </c>
      <c r="W57" s="24"/>
      <c r="X57">
        <f>[4]gpt4omini_single_60_2!L56</f>
        <v>0.13525799999999999</v>
      </c>
    </row>
    <row r="58" spans="1:24" x14ac:dyDescent="0.2">
      <c r="A58" s="12">
        <v>55</v>
      </c>
      <c r="B58">
        <f>[1]gpt4omini_single_100!L57</f>
        <v>0.56479400000000002</v>
      </c>
      <c r="C58">
        <f>[2]gpt4omini_single_100!L57</f>
        <v>0.632019</v>
      </c>
      <c r="D58">
        <f>[3]gpt4omini_single_100!L57</f>
        <v>0.62432100000000001</v>
      </c>
      <c r="E58" s="24"/>
      <c r="F58" s="11">
        <f>[4]gpt4omini_single_100!L57</f>
        <v>0.59076300000000004</v>
      </c>
      <c r="G58">
        <v>55</v>
      </c>
      <c r="H58">
        <f>[1]gpt4omini_single_60!L57</f>
        <v>1.239077</v>
      </c>
      <c r="I58">
        <f>[2]gpt4omini_single_60!L57</f>
        <v>0.60461500000000001</v>
      </c>
      <c r="J58">
        <f>[3]gpt4omini_single_60!L57</f>
        <v>0.96443400000000001</v>
      </c>
      <c r="K58" s="24"/>
      <c r="L58">
        <f>[4]gpt4omini_single_60!L57</f>
        <v>0.72592299999999998</v>
      </c>
      <c r="M58" s="12">
        <v>55</v>
      </c>
      <c r="N58">
        <f>[1]gpt4omini_single_100_2!L57</f>
        <v>8.4131999999999998E-2</v>
      </c>
      <c r="O58">
        <f>[2]gpt4omini_single_100_2!L57</f>
        <v>0.25681199999999998</v>
      </c>
      <c r="P58">
        <f>[3]gpt4omini_single_100_2!L57</f>
        <v>-6.5936999999999996E-2</v>
      </c>
      <c r="Q58" s="24"/>
      <c r="R58" s="11">
        <f>[4]gpt4omini_single_100_2!L57</f>
        <v>-0.122887</v>
      </c>
      <c r="S58">
        <v>55</v>
      </c>
      <c r="T58">
        <f>[1]gpt4omini_single_60_2!L57</f>
        <v>-0.96782999999999997</v>
      </c>
      <c r="U58">
        <f>[2]gpt4omini_single_60_2!L57</f>
        <v>-0.78803000000000001</v>
      </c>
      <c r="V58">
        <f>[3]gpt4omini_single_60_2!L57</f>
        <v>1.3258779999999999</v>
      </c>
      <c r="W58" s="24"/>
      <c r="X58">
        <f>[4]gpt4omini_single_60_2!L57</f>
        <v>0.14938399999999999</v>
      </c>
    </row>
    <row r="59" spans="1:24" x14ac:dyDescent="0.2">
      <c r="A59" s="12">
        <v>56</v>
      </c>
      <c r="B59">
        <f>[1]gpt4omini_single_100!L58</f>
        <v>0.56260600000000005</v>
      </c>
      <c r="C59">
        <f>[2]gpt4omini_single_100!L58</f>
        <v>0.63184700000000005</v>
      </c>
      <c r="D59">
        <f>[3]gpt4omini_single_100!L58</f>
        <v>0.661304</v>
      </c>
      <c r="E59" s="24"/>
      <c r="F59" s="11">
        <f>[4]gpt4omini_single_100!L58</f>
        <v>0.60669200000000001</v>
      </c>
      <c r="G59">
        <v>56</v>
      </c>
      <c r="H59">
        <f>[1]gpt4omini_single_60!L58</f>
        <v>1.256232</v>
      </c>
      <c r="I59">
        <f>[2]gpt4omini_single_60!L58</f>
        <v>0.62992599999999999</v>
      </c>
      <c r="J59">
        <f>[3]gpt4omini_single_60!L58</f>
        <v>0.99826300000000001</v>
      </c>
      <c r="K59" s="24"/>
      <c r="L59">
        <f>[4]gpt4omini_single_60!L58</f>
        <v>0.73441699999999999</v>
      </c>
      <c r="M59" s="12">
        <v>56</v>
      </c>
      <c r="N59">
        <f>[1]gpt4omini_single_100_2!L58</f>
        <v>8.2409999999999997E-2</v>
      </c>
      <c r="O59">
        <f>[2]gpt4omini_single_100_2!L58</f>
        <v>0.256911</v>
      </c>
      <c r="P59">
        <f>[3]gpt4omini_single_100_2!L58</f>
        <v>-7.0968000000000003E-2</v>
      </c>
      <c r="Q59" s="24"/>
      <c r="R59" s="11">
        <f>[4]gpt4omini_single_100_2!L58</f>
        <v>-0.12467300000000001</v>
      </c>
      <c r="S59">
        <v>56</v>
      </c>
      <c r="T59">
        <f>[1]gpt4omini_single_60_2!L58</f>
        <v>-0.96232200000000001</v>
      </c>
      <c r="U59">
        <f>[2]gpt4omini_single_60_2!L58</f>
        <v>-0.79314300000000004</v>
      </c>
      <c r="V59">
        <f>[3]gpt4omini_single_60_2!L58</f>
        <v>1.327442</v>
      </c>
      <c r="W59" s="24"/>
      <c r="X59">
        <f>[4]gpt4omini_single_60_2!L58</f>
        <v>0.15241199999999999</v>
      </c>
    </row>
    <row r="60" spans="1:24" x14ac:dyDescent="0.2">
      <c r="A60" s="12">
        <v>57</v>
      </c>
      <c r="B60">
        <f>[1]gpt4omini_single_100!L59</f>
        <v>0.580959</v>
      </c>
      <c r="C60">
        <f>[2]gpt4omini_single_100!L59</f>
        <v>0.61495699999999998</v>
      </c>
      <c r="D60">
        <f>[3]gpt4omini_single_100!L59</f>
        <v>0.65380799999999994</v>
      </c>
      <c r="E60" s="24"/>
      <c r="F60" s="11">
        <f>[4]gpt4omini_single_100!L59</f>
        <v>0.57811900000000005</v>
      </c>
      <c r="G60">
        <v>57</v>
      </c>
      <c r="H60">
        <f>[1]gpt4omini_single_60!L59</f>
        <v>1.2226239999999999</v>
      </c>
      <c r="I60">
        <f>[2]gpt4omini_single_60!L59</f>
        <v>0.64786200000000005</v>
      </c>
      <c r="J60">
        <f>[3]gpt4omini_single_60!L59</f>
        <v>0.97514800000000001</v>
      </c>
      <c r="K60" s="24"/>
      <c r="L60">
        <f>[4]gpt4omini_single_60!L59</f>
        <v>0.73966900000000002</v>
      </c>
      <c r="M60" s="12">
        <v>57</v>
      </c>
      <c r="N60">
        <f>[1]gpt4omini_single_100_2!L59</f>
        <v>9.2095999999999997E-2</v>
      </c>
      <c r="O60">
        <f>[2]gpt4omini_single_100_2!L59</f>
        <v>0.26192300000000002</v>
      </c>
      <c r="P60">
        <f>[3]gpt4omini_single_100_2!L59</f>
        <v>-0.109407</v>
      </c>
      <c r="Q60" s="24"/>
      <c r="R60" s="11">
        <f>[4]gpt4omini_single_100_2!L59</f>
        <v>-0.11695800000000001</v>
      </c>
      <c r="S60">
        <v>57</v>
      </c>
      <c r="T60">
        <f>[1]gpt4omini_single_60_2!L59</f>
        <v>-0.93511</v>
      </c>
      <c r="U60">
        <f>[2]gpt4omini_single_60_2!L59</f>
        <v>-0.74442399999999997</v>
      </c>
      <c r="V60">
        <f>[3]gpt4omini_single_60_2!L59</f>
        <v>1.2653289999999999</v>
      </c>
      <c r="W60" s="24"/>
      <c r="X60">
        <f>[4]gpt4omini_single_60_2!L59</f>
        <v>0.139154</v>
      </c>
    </row>
    <row r="61" spans="1:24" x14ac:dyDescent="0.2">
      <c r="A61" s="12">
        <v>58</v>
      </c>
      <c r="B61">
        <f>[1]gpt4omini_single_100!L60</f>
        <v>0.68721600000000005</v>
      </c>
      <c r="C61">
        <f>[2]gpt4omini_single_100!L60</f>
        <v>0.65329400000000004</v>
      </c>
      <c r="D61">
        <f>[3]gpt4omini_single_100!L60</f>
        <v>0.65815199999999996</v>
      </c>
      <c r="E61" s="24"/>
      <c r="F61" s="11">
        <f>[4]gpt4omini_single_100!L60</f>
        <v>0.626996</v>
      </c>
      <c r="G61">
        <v>58</v>
      </c>
      <c r="H61">
        <f>[1]gpt4omini_single_60!L60</f>
        <v>1.2621849999999999</v>
      </c>
      <c r="I61">
        <f>[2]gpt4omini_single_60!L60</f>
        <v>0.65524400000000005</v>
      </c>
      <c r="J61">
        <f>[3]gpt4omini_single_60!L60</f>
        <v>1.0222329999999999</v>
      </c>
      <c r="K61" s="24"/>
      <c r="L61">
        <f>[4]gpt4omini_single_60!L60</f>
        <v>0.733263</v>
      </c>
      <c r="M61" s="12">
        <v>58</v>
      </c>
      <c r="N61">
        <f>[1]gpt4omini_single_100_2!L60</f>
        <v>9.6069000000000002E-2</v>
      </c>
      <c r="O61">
        <f>[2]gpt4omini_single_100_2!L60</f>
        <v>0.26904499999999998</v>
      </c>
      <c r="P61">
        <f>[3]gpt4omini_single_100_2!L60</f>
        <v>-0.116699</v>
      </c>
      <c r="Q61" s="24"/>
      <c r="R61" s="11">
        <f>[4]gpt4omini_single_100_2!L60</f>
        <v>-0.11765200000000001</v>
      </c>
      <c r="S61">
        <v>58</v>
      </c>
      <c r="T61">
        <f>[1]gpt4omini_single_60_2!L60</f>
        <v>-0.97156600000000004</v>
      </c>
      <c r="U61">
        <f>[2]gpt4omini_single_60_2!L60</f>
        <v>-0.68318699999999999</v>
      </c>
      <c r="V61">
        <f>[3]gpt4omini_single_60_2!L60</f>
        <v>1.338708</v>
      </c>
      <c r="W61" s="24"/>
      <c r="X61">
        <f>[4]gpt4omini_single_60_2!L60</f>
        <v>0.157916</v>
      </c>
    </row>
    <row r="62" spans="1:24" x14ac:dyDescent="0.2">
      <c r="A62" s="12">
        <v>59</v>
      </c>
      <c r="B62">
        <f>[1]gpt4omini_single_100!L61</f>
        <v>0.68877999999999995</v>
      </c>
      <c r="C62">
        <f>[2]gpt4omini_single_100!L61</f>
        <v>0.62711099999999997</v>
      </c>
      <c r="D62">
        <f>[3]gpt4omini_single_100!L61</f>
        <v>0.67523699999999998</v>
      </c>
      <c r="E62" s="24"/>
      <c r="F62" s="11">
        <f>[4]gpt4omini_single_100!L61</f>
        <v>0.62832699999999997</v>
      </c>
      <c r="G62">
        <v>59</v>
      </c>
      <c r="H62">
        <f>[1]gpt4omini_single_60!L61</f>
        <v>1.051709</v>
      </c>
      <c r="I62">
        <f>[2]gpt4omini_single_60!L61</f>
        <v>0.62666999999999995</v>
      </c>
      <c r="J62">
        <f>[3]gpt4omini_single_60!L61</f>
        <v>0.97769399999999995</v>
      </c>
      <c r="K62" s="24"/>
      <c r="L62">
        <f>[4]gpt4omini_single_60!L61</f>
        <v>0.74711899999999998</v>
      </c>
      <c r="M62" s="12">
        <v>59</v>
      </c>
      <c r="N62">
        <f>[1]gpt4omini_single_100_2!L61</f>
        <v>0.11133899999999999</v>
      </c>
      <c r="O62">
        <f>[2]gpt4omini_single_100_2!L61</f>
        <v>0.26084000000000002</v>
      </c>
      <c r="P62">
        <f>[3]gpt4omini_single_100_2!L61</f>
        <v>-0.104408</v>
      </c>
      <c r="Q62" s="24"/>
      <c r="R62" s="11">
        <f>[4]gpt4omini_single_100_2!L61</f>
        <v>-0.10677</v>
      </c>
      <c r="S62">
        <v>59</v>
      </c>
      <c r="T62">
        <f>[1]gpt4omini_single_60_2!L61</f>
        <v>-0.96131900000000003</v>
      </c>
      <c r="U62">
        <f>[2]gpt4omini_single_60_2!L61</f>
        <v>-0.89179399999999998</v>
      </c>
      <c r="V62">
        <f>[3]gpt4omini_single_60_2!L61</f>
        <v>1.132333</v>
      </c>
      <c r="W62" s="24"/>
      <c r="X62">
        <f>[4]gpt4omini_single_60_2!L61</f>
        <v>0.13353100000000001</v>
      </c>
    </row>
    <row r="63" spans="1:24" x14ac:dyDescent="0.2">
      <c r="A63" s="12">
        <v>60</v>
      </c>
      <c r="B63">
        <f>[1]gpt4omini_single_100!L62</f>
        <v>0.71941699999999997</v>
      </c>
      <c r="C63">
        <f>[2]gpt4omini_single_100!L62</f>
        <v>0.59408499999999997</v>
      </c>
      <c r="D63">
        <f>[3]gpt4omini_single_100!L62</f>
        <v>0.68589999999999995</v>
      </c>
      <c r="E63" s="24"/>
      <c r="F63" s="11">
        <f>[4]gpt4omini_single_100!L62</f>
        <v>0.66571599999999997</v>
      </c>
      <c r="G63">
        <v>60</v>
      </c>
      <c r="H63">
        <f>[1]gpt4omini_single_60!L62</f>
        <v>1.3165</v>
      </c>
      <c r="I63">
        <f>[2]gpt4omini_single_60!L62</f>
        <v>0.71219900000000003</v>
      </c>
      <c r="J63">
        <f>[3]gpt4omini_single_60!L62</f>
        <v>1.119977</v>
      </c>
      <c r="K63" s="24"/>
      <c r="L63">
        <f>[4]gpt4omini_single_60!L62</f>
        <v>0.82689500000000005</v>
      </c>
      <c r="M63" s="12">
        <v>60</v>
      </c>
      <c r="N63">
        <f>[1]gpt4omini_single_100_2!L62</f>
        <v>0.100725</v>
      </c>
      <c r="O63">
        <f>[2]gpt4omini_single_100_2!L62</f>
        <v>0.26669100000000001</v>
      </c>
      <c r="P63">
        <f>[3]gpt4omini_single_100_2!L62</f>
        <v>-9.9557000000000007E-2</v>
      </c>
      <c r="Q63" s="24"/>
      <c r="R63" s="11">
        <f>[4]gpt4omini_single_100_2!L62</f>
        <v>-9.7252000000000005E-2</v>
      </c>
      <c r="S63">
        <v>60</v>
      </c>
      <c r="T63">
        <f>[1]gpt4omini_single_60_2!L62</f>
        <v>-1.096581</v>
      </c>
      <c r="U63">
        <f>[2]gpt4omini_single_60_2!L62</f>
        <v>-0.99313499999999999</v>
      </c>
      <c r="V63">
        <f>[3]gpt4omini_single_60_2!L62</f>
        <v>1.2594730000000001</v>
      </c>
      <c r="W63" s="24"/>
      <c r="X63">
        <f>[4]gpt4omini_single_60_2!L62</f>
        <v>0.13750299999999999</v>
      </c>
    </row>
    <row r="64" spans="1:24" x14ac:dyDescent="0.2">
      <c r="A64" s="12">
        <v>61</v>
      </c>
      <c r="B64">
        <f>[1]gpt4omini_single_100!L63</f>
        <v>0.72611700000000001</v>
      </c>
      <c r="C64">
        <f>[2]gpt4omini_single_100!L63</f>
        <v>0.64902099999999996</v>
      </c>
      <c r="D64">
        <f>[3]gpt4omini_single_100!L63</f>
        <v>0.69743999999999995</v>
      </c>
      <c r="E64" s="24"/>
      <c r="F64" s="11">
        <f>[4]gpt4omini_single_100!L63</f>
        <v>0.69214100000000001</v>
      </c>
      <c r="M64" s="12">
        <v>61</v>
      </c>
      <c r="N64">
        <f>[1]gpt4omini_single_100_2!L63</f>
        <v>0.12298000000000001</v>
      </c>
      <c r="O64">
        <f>[2]gpt4omini_single_100_2!L63</f>
        <v>0.279588</v>
      </c>
      <c r="P64">
        <f>[3]gpt4omini_single_100_2!L63</f>
        <v>-0.10467600000000001</v>
      </c>
      <c r="Q64" s="24"/>
      <c r="R64" s="11">
        <f>[4]gpt4omini_single_100_2!L63</f>
        <v>-0.101851</v>
      </c>
    </row>
    <row r="65" spans="1:18" x14ac:dyDescent="0.2">
      <c r="A65" s="12">
        <v>62</v>
      </c>
      <c r="B65">
        <f>[1]gpt4omini_single_100!L64</f>
        <v>0.71870000000000001</v>
      </c>
      <c r="C65">
        <f>[2]gpt4omini_single_100!L64</f>
        <v>0.64661000000000002</v>
      </c>
      <c r="D65">
        <f>[3]gpt4omini_single_100!L64</f>
        <v>0.68647199999999997</v>
      </c>
      <c r="E65" s="24"/>
      <c r="F65" s="11">
        <f>[4]gpt4omini_single_100!L64</f>
        <v>0.68146300000000004</v>
      </c>
      <c r="M65" s="12">
        <v>62</v>
      </c>
      <c r="N65">
        <f>[1]gpt4omini_single_100_2!L64</f>
        <v>0.11393</v>
      </c>
      <c r="O65">
        <f>[2]gpt4omini_single_100_2!L64</f>
        <v>0.25278800000000001</v>
      </c>
      <c r="P65">
        <f>[3]gpt4omini_single_100_2!L64</f>
        <v>-9.4699000000000005E-2</v>
      </c>
      <c r="Q65" s="24"/>
      <c r="R65" s="11">
        <f>[4]gpt4omini_single_100_2!L64</f>
        <v>-9.3244999999999995E-2</v>
      </c>
    </row>
    <row r="66" spans="1:18" x14ac:dyDescent="0.2">
      <c r="A66" s="12">
        <v>63</v>
      </c>
      <c r="B66">
        <f>[1]gpt4omini_single_100!L65</f>
        <v>0.75097800000000003</v>
      </c>
      <c r="C66">
        <f>[2]gpt4omini_single_100!L65</f>
        <v>0.66827700000000001</v>
      </c>
      <c r="D66">
        <f>[3]gpt4omini_single_100!L65</f>
        <v>0.70979199999999998</v>
      </c>
      <c r="E66" s="24"/>
      <c r="F66" s="11">
        <f>[4]gpt4omini_single_100!L65</f>
        <v>0.69903400000000004</v>
      </c>
      <c r="M66" s="12">
        <v>63</v>
      </c>
      <c r="N66">
        <f>[1]gpt4omini_single_100_2!L65</f>
        <v>0.12025</v>
      </c>
      <c r="O66">
        <f>[2]gpt4omini_single_100_2!L65</f>
        <v>0.26114799999999999</v>
      </c>
      <c r="P66">
        <f>[3]gpt4omini_single_100_2!L65</f>
        <v>-8.8870000000000005E-2</v>
      </c>
      <c r="Q66" s="24"/>
      <c r="R66" s="11">
        <f>[4]gpt4omini_single_100_2!L65</f>
        <v>-8.3187999999999998E-2</v>
      </c>
    </row>
    <row r="67" spans="1:18" x14ac:dyDescent="0.2">
      <c r="A67" s="12">
        <v>64</v>
      </c>
      <c r="B67">
        <f>[1]gpt4omini_single_100!L66</f>
        <v>0.75054799999999999</v>
      </c>
      <c r="C67">
        <f>[2]gpt4omini_single_100!L66</f>
        <v>0.70664899999999997</v>
      </c>
      <c r="D67">
        <f>[3]gpt4omini_single_100!L66</f>
        <v>0.74799400000000005</v>
      </c>
      <c r="E67" s="24"/>
      <c r="F67" s="11">
        <f>[4]gpt4omini_single_100!L66</f>
        <v>0.69654499999999997</v>
      </c>
      <c r="M67" s="12">
        <v>64</v>
      </c>
      <c r="N67">
        <f>[1]gpt4omini_single_100_2!L66</f>
        <v>0.104504</v>
      </c>
      <c r="O67">
        <f>[2]gpt4omini_single_100_2!L66</f>
        <v>0.24807199999999999</v>
      </c>
      <c r="P67">
        <f>[3]gpt4omini_single_100_2!L66</f>
        <v>-6.1566000000000003E-2</v>
      </c>
      <c r="Q67" s="24"/>
      <c r="R67" s="11">
        <f>[4]gpt4omini_single_100_2!L66</f>
        <v>-8.7494000000000002E-2</v>
      </c>
    </row>
    <row r="68" spans="1:18" x14ac:dyDescent="0.2">
      <c r="A68" s="12">
        <v>65</v>
      </c>
      <c r="B68">
        <f>[1]gpt4omini_single_100!L67</f>
        <v>0.76948099999999997</v>
      </c>
      <c r="C68">
        <f>[2]gpt4omini_single_100!L67</f>
        <v>0.72979099999999997</v>
      </c>
      <c r="D68">
        <f>[3]gpt4omini_single_100!L67</f>
        <v>0.75378500000000004</v>
      </c>
      <c r="E68" s="24"/>
      <c r="F68" s="11">
        <f>[4]gpt4omini_single_100!L67</f>
        <v>0.69162000000000001</v>
      </c>
      <c r="M68" s="12">
        <v>65</v>
      </c>
      <c r="N68">
        <f>[1]gpt4omini_single_100_2!L67</f>
        <v>0.105215</v>
      </c>
      <c r="O68">
        <f>[2]gpt4omini_single_100_2!L67</f>
        <v>0.23726</v>
      </c>
      <c r="P68">
        <f>[3]gpt4omini_single_100_2!L67</f>
        <v>-5.6131E-2</v>
      </c>
      <c r="Q68" s="24"/>
      <c r="R68" s="11">
        <f>[4]gpt4omini_single_100_2!L67</f>
        <v>-8.7081000000000006E-2</v>
      </c>
    </row>
    <row r="69" spans="1:18" x14ac:dyDescent="0.2">
      <c r="A69" s="12">
        <v>66</v>
      </c>
      <c r="B69">
        <f>[1]gpt4omini_single_100!L68</f>
        <v>0.77432299999999998</v>
      </c>
      <c r="C69">
        <f>[2]gpt4omini_single_100!L68</f>
        <v>0.72366200000000003</v>
      </c>
      <c r="D69">
        <f>[3]gpt4omini_single_100!L68</f>
        <v>0.77113900000000002</v>
      </c>
      <c r="E69" s="24"/>
      <c r="F69" s="11">
        <f>[4]gpt4omini_single_100!L68</f>
        <v>0.71171700000000004</v>
      </c>
      <c r="M69" s="12">
        <v>66</v>
      </c>
      <c r="N69">
        <f>[1]gpt4omini_single_100_2!L68</f>
        <v>9.2419000000000001E-2</v>
      </c>
      <c r="O69">
        <f>[2]gpt4omini_single_100_2!L68</f>
        <v>0.222772</v>
      </c>
      <c r="P69">
        <f>[3]gpt4omini_single_100_2!L68</f>
        <v>-4.6399999999999997E-2</v>
      </c>
      <c r="Q69" s="24"/>
      <c r="R69" s="11">
        <f>[4]gpt4omini_single_100_2!L68</f>
        <v>-8.9011999999999994E-2</v>
      </c>
    </row>
    <row r="70" spans="1:18" x14ac:dyDescent="0.2">
      <c r="A70" s="12">
        <v>67</v>
      </c>
      <c r="B70">
        <f>[1]gpt4omini_single_100!L69</f>
        <v>0.70716800000000002</v>
      </c>
      <c r="C70">
        <f>[2]gpt4omini_single_100!L69</f>
        <v>0.757579</v>
      </c>
      <c r="D70">
        <f>[3]gpt4omini_single_100!L69</f>
        <v>0.75939699999999999</v>
      </c>
      <c r="E70" s="24"/>
      <c r="F70" s="11">
        <f>[4]gpt4omini_single_100!L69</f>
        <v>0.69980600000000004</v>
      </c>
      <c r="M70" s="12">
        <v>67</v>
      </c>
      <c r="N70">
        <f>[1]gpt4omini_single_100_2!L69</f>
        <v>0.15481200000000001</v>
      </c>
      <c r="O70">
        <f>[2]gpt4omini_single_100_2!L69</f>
        <v>0.21956400000000001</v>
      </c>
      <c r="P70">
        <f>[3]gpt4omini_single_100_2!L69</f>
        <v>-4.8715000000000001E-2</v>
      </c>
      <c r="Q70" s="24"/>
      <c r="R70" s="11">
        <f>[4]gpt4omini_single_100_2!L69</f>
        <v>-3.9233999999999998E-2</v>
      </c>
    </row>
    <row r="71" spans="1:18" x14ac:dyDescent="0.2">
      <c r="A71" s="12">
        <v>68</v>
      </c>
      <c r="B71">
        <f>[1]gpt4omini_single_100!L70</f>
        <v>0.81975299999999995</v>
      </c>
      <c r="C71">
        <f>[2]gpt4omini_single_100!L70</f>
        <v>0.81803800000000004</v>
      </c>
      <c r="D71">
        <f>[3]gpt4omini_single_100!L70</f>
        <v>0.82634600000000002</v>
      </c>
      <c r="E71" s="24"/>
      <c r="F71" s="11">
        <f>[4]gpt4omini_single_100!L70</f>
        <v>0.758602</v>
      </c>
      <c r="M71" s="12">
        <v>68</v>
      </c>
      <c r="N71">
        <f>[1]gpt4omini_single_100_2!L70</f>
        <v>0.169934</v>
      </c>
      <c r="O71">
        <f>[2]gpt4omini_single_100_2!L70</f>
        <v>0.22642799999999999</v>
      </c>
      <c r="P71">
        <f>[3]gpt4omini_single_100_2!L70</f>
        <v>-4.4338000000000002E-2</v>
      </c>
      <c r="Q71" s="24"/>
      <c r="R71" s="11">
        <f>[4]gpt4omini_single_100_2!L70</f>
        <v>-4.1568000000000001E-2</v>
      </c>
    </row>
    <row r="72" spans="1:18" x14ac:dyDescent="0.2">
      <c r="A72" s="12">
        <v>69</v>
      </c>
      <c r="B72">
        <f>[1]gpt4omini_single_100!L71</f>
        <v>0.80943500000000002</v>
      </c>
      <c r="C72">
        <f>[2]gpt4omini_single_100!L71</f>
        <v>0.80186100000000005</v>
      </c>
      <c r="D72">
        <f>[3]gpt4omini_single_100!L71</f>
        <v>0.83801899999999996</v>
      </c>
      <c r="E72" s="24"/>
      <c r="F72" s="11">
        <f>[4]gpt4omini_single_100!L71</f>
        <v>0.72788900000000001</v>
      </c>
      <c r="M72" s="12">
        <v>69</v>
      </c>
      <c r="N72">
        <f>[1]gpt4omini_single_100_2!L71</f>
        <v>0.18421899999999999</v>
      </c>
      <c r="O72">
        <f>[2]gpt4omini_single_100_2!L71</f>
        <v>0.21429000000000001</v>
      </c>
      <c r="P72">
        <f>[3]gpt4omini_single_100_2!L71</f>
        <v>-3.8134000000000001E-2</v>
      </c>
      <c r="Q72" s="24"/>
      <c r="R72" s="11">
        <f>[4]gpt4omini_single_100_2!L71</f>
        <v>-4.2568000000000002E-2</v>
      </c>
    </row>
    <row r="73" spans="1:18" x14ac:dyDescent="0.2">
      <c r="A73" s="12">
        <v>70</v>
      </c>
      <c r="B73">
        <f>[1]gpt4omini_single_100!L72</f>
        <v>0.84896799999999994</v>
      </c>
      <c r="C73">
        <f>[2]gpt4omini_single_100!L72</f>
        <v>0.822465</v>
      </c>
      <c r="D73">
        <f>[3]gpt4omini_single_100!L72</f>
        <v>0.84015200000000001</v>
      </c>
      <c r="E73" s="24"/>
      <c r="F73" s="11">
        <f>[4]gpt4omini_single_100!L72</f>
        <v>0.759656</v>
      </c>
      <c r="M73" s="12">
        <v>70</v>
      </c>
      <c r="N73">
        <f>[1]gpt4omini_single_100_2!L72</f>
        <v>0.17189699999999999</v>
      </c>
      <c r="O73">
        <f>[2]gpt4omini_single_100_2!L72</f>
        <v>0.218944</v>
      </c>
      <c r="P73">
        <f>[3]gpt4omini_single_100_2!L72</f>
        <v>-3.7393999999999997E-2</v>
      </c>
      <c r="Q73" s="24"/>
      <c r="R73" s="11">
        <f>[4]gpt4omini_single_100_2!L72</f>
        <v>-5.4538999999999997E-2</v>
      </c>
    </row>
    <row r="74" spans="1:18" x14ac:dyDescent="0.2">
      <c r="A74" s="12">
        <v>71</v>
      </c>
      <c r="B74">
        <f>[1]gpt4omini_single_100!L73</f>
        <v>0.84643900000000005</v>
      </c>
      <c r="C74">
        <f>[2]gpt4omini_single_100!L73</f>
        <v>0.80534099999999997</v>
      </c>
      <c r="D74">
        <f>[3]gpt4omini_single_100!L73</f>
        <v>0.86736000000000002</v>
      </c>
      <c r="E74" s="24"/>
      <c r="F74" s="11">
        <f>[4]gpt4omini_single_100!L73</f>
        <v>0.75672799999999996</v>
      </c>
      <c r="M74" s="12">
        <v>71</v>
      </c>
      <c r="N74">
        <f>[1]gpt4omini_single_100_2!L73</f>
        <v>0.18332699999999999</v>
      </c>
      <c r="O74">
        <f>[2]gpt4omini_single_100_2!L73</f>
        <v>0.24976999999999999</v>
      </c>
      <c r="P74">
        <f>[3]gpt4omini_single_100_2!L73</f>
        <v>-2.4986999999999999E-2</v>
      </c>
      <c r="Q74" s="24"/>
      <c r="R74" s="11">
        <f>[4]gpt4omini_single_100_2!L73</f>
        <v>-6.6462999999999994E-2</v>
      </c>
    </row>
    <row r="75" spans="1:18" x14ac:dyDescent="0.2">
      <c r="A75" s="12">
        <v>72</v>
      </c>
      <c r="B75">
        <f>[1]gpt4omini_single_100!L74</f>
        <v>0.833816</v>
      </c>
      <c r="C75">
        <f>[2]gpt4omini_single_100!L74</f>
        <v>0.81626299999999996</v>
      </c>
      <c r="D75">
        <f>[3]gpt4omini_single_100!L74</f>
        <v>0.83855800000000003</v>
      </c>
      <c r="E75" s="24"/>
      <c r="F75" s="11">
        <f>[4]gpt4omini_single_100!L74</f>
        <v>0.72724599999999995</v>
      </c>
      <c r="M75" s="12">
        <v>72</v>
      </c>
      <c r="N75">
        <f>[1]gpt4omini_single_100_2!L74</f>
        <v>0.18421499999999999</v>
      </c>
      <c r="O75">
        <f>[2]gpt4omini_single_100_2!L74</f>
        <v>0.24946499999999999</v>
      </c>
      <c r="P75">
        <f>[3]gpt4omini_single_100_2!L74</f>
        <v>-1.603E-3</v>
      </c>
      <c r="Q75" s="24"/>
      <c r="R75" s="11">
        <f>[4]gpt4omini_single_100_2!L74</f>
        <v>-6.7003999999999994E-2</v>
      </c>
    </row>
    <row r="76" spans="1:18" x14ac:dyDescent="0.2">
      <c r="A76" s="12">
        <v>73</v>
      </c>
      <c r="B76">
        <f>[1]gpt4omini_single_100!L75</f>
        <v>0.841368</v>
      </c>
      <c r="C76">
        <f>[2]gpt4omini_single_100!L75</f>
        <v>0.85997199999999996</v>
      </c>
      <c r="D76">
        <f>[3]gpt4omini_single_100!L75</f>
        <v>0.87936300000000001</v>
      </c>
      <c r="E76" s="24"/>
      <c r="F76" s="11">
        <f>[4]gpt4omini_single_100!L75</f>
        <v>0.77485300000000001</v>
      </c>
      <c r="M76" s="12">
        <v>73</v>
      </c>
      <c r="N76">
        <f>[1]gpt4omini_single_100_2!L75</f>
        <v>0.149363</v>
      </c>
      <c r="O76">
        <f>[2]gpt4omini_single_100_2!L75</f>
        <v>0.26156499999999999</v>
      </c>
      <c r="P76">
        <f>[3]gpt4omini_single_100_2!L75</f>
        <v>8.3619999999999996E-3</v>
      </c>
      <c r="Q76" s="24"/>
      <c r="R76" s="11">
        <f>[4]gpt4omini_single_100_2!L75</f>
        <v>-6.3298999999999994E-2</v>
      </c>
    </row>
    <row r="77" spans="1:18" x14ac:dyDescent="0.2">
      <c r="A77" s="12">
        <v>74</v>
      </c>
      <c r="B77">
        <f>[1]gpt4omini_single_100!L76</f>
        <v>0.87499199999999999</v>
      </c>
      <c r="C77">
        <f>[2]gpt4omini_single_100!L76</f>
        <v>0.87193399999999999</v>
      </c>
      <c r="D77">
        <f>[3]gpt4omini_single_100!L76</f>
        <v>0.85550499999999996</v>
      </c>
      <c r="E77" s="24"/>
      <c r="F77" s="11">
        <f>[4]gpt4omini_single_100!L76</f>
        <v>0.76339199999999996</v>
      </c>
      <c r="M77" s="12">
        <v>74</v>
      </c>
      <c r="N77">
        <f>[1]gpt4omini_single_100_2!L76</f>
        <v>0.161466</v>
      </c>
      <c r="O77">
        <f>[2]gpt4omini_single_100_2!L76</f>
        <v>0.30465399999999998</v>
      </c>
      <c r="P77">
        <f>[3]gpt4omini_single_100_2!L76</f>
        <v>-3.4422000000000001E-2</v>
      </c>
      <c r="Q77" s="24"/>
      <c r="R77" s="11">
        <f>[4]gpt4omini_single_100_2!L76</f>
        <v>-6.7805000000000004E-2</v>
      </c>
    </row>
    <row r="78" spans="1:18" x14ac:dyDescent="0.2">
      <c r="A78" s="12">
        <v>75</v>
      </c>
      <c r="B78">
        <f>[1]gpt4omini_single_100!L77</f>
        <v>0.87969200000000003</v>
      </c>
      <c r="C78">
        <f>[2]gpt4omini_single_100!L77</f>
        <v>0.87332799999999999</v>
      </c>
      <c r="D78">
        <f>[3]gpt4omini_single_100!L77</f>
        <v>0.84628000000000003</v>
      </c>
      <c r="E78" s="24"/>
      <c r="F78" s="11">
        <f>[4]gpt4omini_single_100!L77</f>
        <v>0.78204300000000004</v>
      </c>
      <c r="M78" s="12">
        <v>75</v>
      </c>
      <c r="N78">
        <f>[1]gpt4omini_single_100_2!L77</f>
        <v>0.16461799999999999</v>
      </c>
      <c r="O78">
        <f>[2]gpt4omini_single_100_2!L77</f>
        <v>0.290493</v>
      </c>
      <c r="P78">
        <f>[3]gpt4omini_single_100_2!L77</f>
        <v>-7.1305999999999994E-2</v>
      </c>
      <c r="Q78" s="24"/>
      <c r="R78" s="11">
        <f>[4]gpt4omini_single_100_2!L77</f>
        <v>-6.0678999999999997E-2</v>
      </c>
    </row>
    <row r="79" spans="1:18" x14ac:dyDescent="0.2">
      <c r="A79" s="12">
        <v>76</v>
      </c>
      <c r="B79">
        <f>[1]gpt4omini_single_100!L78</f>
        <v>0.90674999999999994</v>
      </c>
      <c r="C79">
        <f>[2]gpt4omini_single_100!L78</f>
        <v>0.90822599999999998</v>
      </c>
      <c r="D79">
        <f>[3]gpt4omini_single_100!L78</f>
        <v>0.88335600000000003</v>
      </c>
      <c r="E79" s="24"/>
      <c r="F79" s="11">
        <f>[4]gpt4omini_single_100!L78</f>
        <v>0.82144099999999998</v>
      </c>
      <c r="M79" s="12">
        <v>76</v>
      </c>
      <c r="N79">
        <f>[1]gpt4omini_single_100_2!L78</f>
        <v>0.23149500000000001</v>
      </c>
      <c r="O79">
        <f>[2]gpt4omini_single_100_2!L78</f>
        <v>0.34663100000000002</v>
      </c>
      <c r="P79">
        <f>[3]gpt4omini_single_100_2!L78</f>
        <v>-3.9874E-2</v>
      </c>
      <c r="Q79" s="24"/>
      <c r="R79" s="11">
        <f>[4]gpt4omini_single_100_2!L78</f>
        <v>-5.9665999999999997E-2</v>
      </c>
    </row>
    <row r="80" spans="1:18" x14ac:dyDescent="0.2">
      <c r="A80" s="12">
        <v>77</v>
      </c>
      <c r="B80">
        <f>[1]gpt4omini_single_100!L79</f>
        <v>0.84110700000000005</v>
      </c>
      <c r="C80">
        <f>[2]gpt4omini_single_100!L79</f>
        <v>0.84640599999999999</v>
      </c>
      <c r="D80">
        <f>[3]gpt4omini_single_100!L79</f>
        <v>0.87870099999999995</v>
      </c>
      <c r="E80" s="24"/>
      <c r="F80" s="11">
        <f>[4]gpt4omini_single_100!L79</f>
        <v>0.80949700000000002</v>
      </c>
      <c r="M80" s="12">
        <v>77</v>
      </c>
      <c r="N80">
        <f>[1]gpt4omini_single_100_2!L79</f>
        <v>0.25697500000000001</v>
      </c>
      <c r="O80">
        <f>[2]gpt4omini_single_100_2!L79</f>
        <v>0.31318299999999999</v>
      </c>
      <c r="P80">
        <f>[3]gpt4omini_single_100_2!L79</f>
        <v>-3.2035000000000001E-2</v>
      </c>
      <c r="Q80" s="24"/>
      <c r="R80" s="11">
        <f>[4]gpt4omini_single_100_2!L79</f>
        <v>-6.9389999999999999E-3</v>
      </c>
    </row>
    <row r="81" spans="1:18" x14ac:dyDescent="0.2">
      <c r="A81" s="12">
        <v>78</v>
      </c>
      <c r="B81">
        <f>[1]gpt4omini_single_100!L80</f>
        <v>0.89120699999999997</v>
      </c>
      <c r="C81">
        <f>[2]gpt4omini_single_100!L80</f>
        <v>0.86638000000000004</v>
      </c>
      <c r="D81">
        <f>[3]gpt4omini_single_100!L80</f>
        <v>0.90763400000000005</v>
      </c>
      <c r="E81" s="24"/>
      <c r="F81" s="11">
        <f>[4]gpt4omini_single_100!L80</f>
        <v>0.85136699999999998</v>
      </c>
      <c r="M81" s="12">
        <v>78</v>
      </c>
      <c r="N81">
        <f>[1]gpt4omini_single_100_2!L80</f>
        <v>0.26793800000000001</v>
      </c>
      <c r="O81">
        <f>[2]gpt4omini_single_100_2!L80</f>
        <v>0.32768900000000001</v>
      </c>
      <c r="P81">
        <f>[3]gpt4omini_single_100_2!L80</f>
        <v>-2.6530999999999999E-2</v>
      </c>
      <c r="Q81" s="24"/>
      <c r="R81" s="11">
        <f>[4]gpt4omini_single_100_2!L80</f>
        <v>-6.7239999999999999E-3</v>
      </c>
    </row>
    <row r="82" spans="1:18" x14ac:dyDescent="0.2">
      <c r="A82" s="12">
        <v>79</v>
      </c>
      <c r="B82">
        <f>[1]gpt4omini_single_100!L81</f>
        <v>0.84816400000000003</v>
      </c>
      <c r="C82">
        <f>[2]gpt4omini_single_100!L81</f>
        <v>0.842117</v>
      </c>
      <c r="D82">
        <f>[3]gpt4omini_single_100!L81</f>
        <v>1.029258</v>
      </c>
      <c r="E82" s="24"/>
      <c r="F82" s="11">
        <f>[4]gpt4omini_single_100!L81</f>
        <v>0.78711500000000001</v>
      </c>
      <c r="M82" s="12">
        <v>79</v>
      </c>
      <c r="N82">
        <f>[1]gpt4omini_single_100_2!L81</f>
        <v>0.258853</v>
      </c>
      <c r="O82">
        <f>[2]gpt4omini_single_100_2!L81</f>
        <v>0.31285499999999999</v>
      </c>
      <c r="P82">
        <f>[3]gpt4omini_single_100_2!L81</f>
        <v>1.1174E-2</v>
      </c>
      <c r="Q82" s="24"/>
      <c r="R82" s="11">
        <f>[4]gpt4omini_single_100_2!L81</f>
        <v>-3.0939999999999999E-2</v>
      </c>
    </row>
    <row r="83" spans="1:18" x14ac:dyDescent="0.2">
      <c r="A83" s="12">
        <v>80</v>
      </c>
      <c r="B83">
        <f>[1]gpt4omini_single_100!L82</f>
        <v>0.94455900000000004</v>
      </c>
      <c r="C83">
        <f>[2]gpt4omini_single_100!L82</f>
        <v>0.94165200000000004</v>
      </c>
      <c r="D83">
        <f>[3]gpt4omini_single_100!L82</f>
        <v>1.0982879999999999</v>
      </c>
      <c r="E83" s="24"/>
      <c r="F83" s="11">
        <f>[4]gpt4omini_single_100!L82</f>
        <v>0.90392899999999998</v>
      </c>
      <c r="M83" s="12">
        <v>80</v>
      </c>
      <c r="N83">
        <f>[1]gpt4omini_single_100_2!L82</f>
        <v>0.312253</v>
      </c>
      <c r="O83">
        <f>[2]gpt4omini_single_100_2!L82</f>
        <v>0.35783599999999999</v>
      </c>
      <c r="P83">
        <f>[3]gpt4omini_single_100_2!L82</f>
        <v>2.0074999999999999E-2</v>
      </c>
      <c r="Q83" s="24"/>
      <c r="R83" s="11">
        <f>[4]gpt4omini_single_100_2!L82</f>
        <v>-1.7356E-2</v>
      </c>
    </row>
    <row r="84" spans="1:18" x14ac:dyDescent="0.2">
      <c r="A84" s="12">
        <v>81</v>
      </c>
      <c r="B84">
        <f>[1]gpt4omini_single_100!L83</f>
        <v>0.96561900000000001</v>
      </c>
      <c r="C84">
        <f>[2]gpt4omini_single_100!L83</f>
        <v>0.98697199999999996</v>
      </c>
      <c r="D84">
        <f>[3]gpt4omini_single_100!L83</f>
        <v>1.0462830000000001</v>
      </c>
      <c r="E84" s="24"/>
      <c r="F84" s="11">
        <f>[4]gpt4omini_single_100!L83</f>
        <v>0.92248699999999995</v>
      </c>
      <c r="M84" s="12">
        <v>81</v>
      </c>
      <c r="N84">
        <f>[1]gpt4omini_single_100_2!L83</f>
        <v>0.27126699999999998</v>
      </c>
      <c r="O84">
        <f>[2]gpt4omini_single_100_2!L83</f>
        <v>0.31306800000000001</v>
      </c>
      <c r="P84">
        <f>[3]gpt4omini_single_100_2!L83</f>
        <v>1.3129999999999999E-2</v>
      </c>
      <c r="Q84" s="24"/>
      <c r="R84" s="11">
        <f>[4]gpt4omini_single_100_2!L83</f>
        <v>-4.8680000000000001E-2</v>
      </c>
    </row>
    <row r="85" spans="1:18" x14ac:dyDescent="0.2">
      <c r="A85" s="12">
        <v>82</v>
      </c>
      <c r="B85">
        <f>[1]gpt4omini_single_100!L84</f>
        <v>0.86955800000000005</v>
      </c>
      <c r="C85">
        <f>[2]gpt4omini_single_100!L84</f>
        <v>0.998996</v>
      </c>
      <c r="D85">
        <f>[3]gpt4omini_single_100!L84</f>
        <v>1.078668</v>
      </c>
      <c r="E85" s="24"/>
      <c r="F85" s="11">
        <f>[4]gpt4omini_single_100!L84</f>
        <v>0.92184699999999997</v>
      </c>
      <c r="M85" s="12">
        <v>82</v>
      </c>
      <c r="N85">
        <f>[1]gpt4omini_single_100_2!L84</f>
        <v>0.19067600000000001</v>
      </c>
      <c r="O85">
        <f>[2]gpt4omini_single_100_2!L84</f>
        <v>0.24803</v>
      </c>
      <c r="P85">
        <f>[3]gpt4omini_single_100_2!L84</f>
        <v>-2.7269999999999998E-3</v>
      </c>
      <c r="Q85" s="24"/>
      <c r="R85" s="11">
        <f>[4]gpt4omini_single_100_2!L84</f>
        <v>-7.2666999999999995E-2</v>
      </c>
    </row>
    <row r="86" spans="1:18" x14ac:dyDescent="0.2">
      <c r="A86" s="12">
        <v>83</v>
      </c>
      <c r="B86">
        <f>[1]gpt4omini_single_100!L85</f>
        <v>0.95933599999999997</v>
      </c>
      <c r="C86">
        <f>[2]gpt4omini_single_100!L85</f>
        <v>1.0016750000000001</v>
      </c>
      <c r="D86">
        <f>[3]gpt4omini_single_100!L85</f>
        <v>1.1256379999999999</v>
      </c>
      <c r="E86" s="24"/>
      <c r="F86" s="11">
        <f>[4]gpt4omini_single_100!L85</f>
        <v>0.94790600000000003</v>
      </c>
      <c r="M86" s="12">
        <v>83</v>
      </c>
      <c r="N86">
        <f>[1]gpt4omini_single_100_2!L85</f>
        <v>0.20003099999999999</v>
      </c>
      <c r="O86">
        <f>[2]gpt4omini_single_100_2!L85</f>
        <v>0.26632899999999998</v>
      </c>
      <c r="P86">
        <f>[3]gpt4omini_single_100_2!L85</f>
        <v>-1.993E-3</v>
      </c>
      <c r="Q86" s="24"/>
      <c r="R86" s="11">
        <f>[4]gpt4omini_single_100_2!L85</f>
        <v>-6.8338999999999997E-2</v>
      </c>
    </row>
    <row r="87" spans="1:18" x14ac:dyDescent="0.2">
      <c r="A87" s="12">
        <v>84</v>
      </c>
      <c r="B87">
        <f>[1]gpt4omini_single_100!L86</f>
        <v>0.96384899999999996</v>
      </c>
      <c r="C87">
        <f>[2]gpt4omini_single_100!L86</f>
        <v>1.0233270000000001</v>
      </c>
      <c r="D87">
        <f>[3]gpt4omini_single_100!L86</f>
        <v>1.1223460000000001</v>
      </c>
      <c r="E87" s="24"/>
      <c r="F87" s="11">
        <f>[4]gpt4omini_single_100!L86</f>
        <v>0.94456899999999999</v>
      </c>
      <c r="M87" s="12">
        <v>84</v>
      </c>
      <c r="N87">
        <f>[1]gpt4omini_single_100_2!L86</f>
        <v>0.21745</v>
      </c>
      <c r="O87">
        <f>[2]gpt4omini_single_100_2!L86</f>
        <v>0.26424199999999998</v>
      </c>
      <c r="P87">
        <f>[3]gpt4omini_single_100_2!L86</f>
        <v>1.8240000000000001E-3</v>
      </c>
      <c r="Q87" s="24"/>
      <c r="R87" s="11">
        <f>[4]gpt4omini_single_100_2!L86</f>
        <v>-6.2036000000000001E-2</v>
      </c>
    </row>
    <row r="88" spans="1:18" x14ac:dyDescent="0.2">
      <c r="A88" s="12">
        <v>85</v>
      </c>
      <c r="B88">
        <f>[1]gpt4omini_single_100!L87</f>
        <v>0.95723499999999995</v>
      </c>
      <c r="C88">
        <f>[2]gpt4omini_single_100!L87</f>
        <v>1.014</v>
      </c>
      <c r="D88">
        <f>[3]gpt4omini_single_100!L87</f>
        <v>1.1181749999999999</v>
      </c>
      <c r="E88" s="24"/>
      <c r="F88" s="11">
        <f>[4]gpt4omini_single_100!L87</f>
        <v>0.94359899999999997</v>
      </c>
      <c r="M88" s="12">
        <v>85</v>
      </c>
      <c r="N88">
        <f>[1]gpt4omini_single_100_2!L87</f>
        <v>0.21060000000000001</v>
      </c>
      <c r="O88">
        <f>[2]gpt4omini_single_100_2!L87</f>
        <v>0.27202500000000002</v>
      </c>
      <c r="P88">
        <f>[3]gpt4omini_single_100_2!L87</f>
        <v>-4.37E-4</v>
      </c>
      <c r="Q88" s="24"/>
      <c r="R88" s="11">
        <f>[4]gpt4omini_single_100_2!L87</f>
        <v>-5.2297000000000003E-2</v>
      </c>
    </row>
    <row r="89" spans="1:18" x14ac:dyDescent="0.2">
      <c r="A89" s="12">
        <v>86</v>
      </c>
      <c r="B89">
        <f>[1]gpt4omini_single_100!L88</f>
        <v>1.0230889999999999</v>
      </c>
      <c r="C89">
        <f>[2]gpt4omini_single_100!L88</f>
        <v>1.0678989999999999</v>
      </c>
      <c r="D89">
        <f>[3]gpt4omini_single_100!L88</f>
        <v>1.185792</v>
      </c>
      <c r="E89" s="24"/>
      <c r="F89" s="11">
        <f>[4]gpt4omini_single_100!L88</f>
        <v>0.97758100000000003</v>
      </c>
      <c r="M89" s="12">
        <v>86</v>
      </c>
      <c r="N89">
        <f>[1]gpt4omini_single_100_2!L88</f>
        <v>0.23630799999999999</v>
      </c>
      <c r="O89">
        <f>[2]gpt4omini_single_100_2!L88</f>
        <v>0.29506599999999999</v>
      </c>
      <c r="P89">
        <f>[3]gpt4omini_single_100_2!L88</f>
        <v>1.0005999999999999E-2</v>
      </c>
      <c r="Q89" s="24"/>
      <c r="R89" s="11">
        <f>[4]gpt4omini_single_100_2!L88</f>
        <v>-3.4377999999999999E-2</v>
      </c>
    </row>
    <row r="90" spans="1:18" x14ac:dyDescent="0.2">
      <c r="A90" s="12">
        <v>87</v>
      </c>
      <c r="B90">
        <f>[1]gpt4omini_single_100!L89</f>
        <v>0.98002400000000001</v>
      </c>
      <c r="C90">
        <f>[2]gpt4omini_single_100!L89</f>
        <v>1.065987</v>
      </c>
      <c r="D90">
        <f>[3]gpt4omini_single_100!L89</f>
        <v>1.190985</v>
      </c>
      <c r="E90" s="24"/>
      <c r="F90" s="11">
        <f>[4]gpt4omini_single_100!L89</f>
        <v>0.94535100000000005</v>
      </c>
      <c r="M90" s="12">
        <v>87</v>
      </c>
      <c r="N90">
        <f>[1]gpt4omini_single_100_2!L89</f>
        <v>0.25505</v>
      </c>
      <c r="O90">
        <f>[2]gpt4omini_single_100_2!L89</f>
        <v>0.29278799999999999</v>
      </c>
      <c r="P90">
        <f>[3]gpt4omini_single_100_2!L89</f>
        <v>2.5031999999999999E-2</v>
      </c>
      <c r="Q90" s="24"/>
      <c r="R90" s="11">
        <f>[4]gpt4omini_single_100_2!L89</f>
        <v>-2.3456000000000001E-2</v>
      </c>
    </row>
    <row r="91" spans="1:18" x14ac:dyDescent="0.2">
      <c r="A91" s="12">
        <v>88</v>
      </c>
      <c r="B91">
        <f>[1]gpt4omini_single_100!L90</f>
        <v>1.004872</v>
      </c>
      <c r="C91">
        <f>[2]gpt4omini_single_100!L90</f>
        <v>1.08267</v>
      </c>
      <c r="D91">
        <f>[3]gpt4omini_single_100!L90</f>
        <v>1.199314</v>
      </c>
      <c r="E91" s="24"/>
      <c r="F91" s="11">
        <f>[4]gpt4omini_single_100!L90</f>
        <v>0.96631500000000004</v>
      </c>
      <c r="M91" s="12">
        <v>88</v>
      </c>
      <c r="N91">
        <f>[1]gpt4omini_single_100_2!L90</f>
        <v>0.26865699999999998</v>
      </c>
      <c r="O91">
        <f>[2]gpt4omini_single_100_2!L90</f>
        <v>0.29947000000000001</v>
      </c>
      <c r="P91">
        <f>[3]gpt4omini_single_100_2!L90</f>
        <v>2.5543E-2</v>
      </c>
      <c r="Q91" s="24"/>
      <c r="R91" s="11">
        <f>[4]gpt4omini_single_100_2!L90</f>
        <v>3.1000000000000001E-5</v>
      </c>
    </row>
    <row r="92" spans="1:18" x14ac:dyDescent="0.2">
      <c r="A92" s="12">
        <v>89</v>
      </c>
      <c r="B92">
        <f>[1]gpt4omini_single_100!L91</f>
        <v>1.0411539999999999</v>
      </c>
      <c r="C92">
        <f>[2]gpt4omini_single_100!L91</f>
        <v>1.1416949999999999</v>
      </c>
      <c r="D92">
        <f>[3]gpt4omini_single_100!L91</f>
        <v>1.254966</v>
      </c>
      <c r="E92" s="24"/>
      <c r="F92" s="11">
        <f>[4]gpt4omini_single_100!L91</f>
        <v>1.013706</v>
      </c>
      <c r="M92" s="12">
        <v>89</v>
      </c>
      <c r="N92">
        <f>[1]gpt4omini_single_100_2!L91</f>
        <v>0.27951399999999998</v>
      </c>
      <c r="O92">
        <f>[2]gpt4omini_single_100_2!L91</f>
        <v>0.320137</v>
      </c>
      <c r="P92">
        <f>[3]gpt4omini_single_100_2!L91</f>
        <v>2.8482E-2</v>
      </c>
      <c r="Q92" s="24"/>
      <c r="R92" s="11">
        <f>[4]gpt4omini_single_100_2!L91</f>
        <v>-5.2550000000000001E-3</v>
      </c>
    </row>
    <row r="93" spans="1:18" x14ac:dyDescent="0.2">
      <c r="A93" s="12">
        <v>90</v>
      </c>
      <c r="B93">
        <f>[1]gpt4omini_single_100!L92</f>
        <v>1.055331</v>
      </c>
      <c r="C93">
        <f>[2]gpt4omini_single_100!L92</f>
        <v>1.161289</v>
      </c>
      <c r="D93">
        <f>[3]gpt4omini_single_100!L92</f>
        <v>1.264176</v>
      </c>
      <c r="E93" s="24"/>
      <c r="F93" s="11">
        <f>[4]gpt4omini_single_100!L92</f>
        <v>1.030826</v>
      </c>
      <c r="M93" s="12">
        <v>90</v>
      </c>
      <c r="N93">
        <f>[1]gpt4omini_single_100_2!L92</f>
        <v>0.29265600000000003</v>
      </c>
      <c r="O93">
        <f>[2]gpt4omini_single_100_2!L92</f>
        <v>0.31867600000000001</v>
      </c>
      <c r="P93">
        <f>[3]gpt4omini_single_100_2!L92</f>
        <v>0.106184</v>
      </c>
      <c r="Q93" s="24"/>
      <c r="R93" s="11">
        <f>[4]gpt4omini_single_100_2!L92</f>
        <v>6.2460000000000002E-2</v>
      </c>
    </row>
    <row r="94" spans="1:18" x14ac:dyDescent="0.2">
      <c r="A94" s="12">
        <v>91</v>
      </c>
      <c r="B94">
        <f>[1]gpt4omini_single_100!L93</f>
        <v>1.0624819999999999</v>
      </c>
      <c r="C94">
        <f>[2]gpt4omini_single_100!L93</f>
        <v>1.1400889999999999</v>
      </c>
      <c r="D94">
        <f>[3]gpt4omini_single_100!L93</f>
        <v>1.2685839999999999</v>
      </c>
      <c r="E94" s="24"/>
      <c r="F94" s="11">
        <f>[4]gpt4omini_single_100!L93</f>
        <v>1.0215559999999999</v>
      </c>
      <c r="M94" s="12">
        <v>91</v>
      </c>
      <c r="N94">
        <f>[1]gpt4omini_single_100_2!L93</f>
        <v>0.33605400000000002</v>
      </c>
      <c r="O94">
        <f>[2]gpt4omini_single_100_2!L93</f>
        <v>0.32064700000000002</v>
      </c>
      <c r="P94">
        <f>[3]gpt4omini_single_100_2!L93</f>
        <v>0.115507</v>
      </c>
      <c r="Q94" s="24"/>
      <c r="R94" s="11">
        <f>[4]gpt4omini_single_100_2!L93</f>
        <v>6.4669000000000004E-2</v>
      </c>
    </row>
    <row r="95" spans="1:18" x14ac:dyDescent="0.2">
      <c r="A95" s="12">
        <v>92</v>
      </c>
      <c r="B95">
        <f>[1]gpt4omini_single_100!L94</f>
        <v>1.0651079999999999</v>
      </c>
      <c r="C95">
        <f>[2]gpt4omini_single_100!L94</f>
        <v>1.1736679999999999</v>
      </c>
      <c r="D95">
        <f>[3]gpt4omini_single_100!L94</f>
        <v>1.2471410000000001</v>
      </c>
      <c r="E95" s="24"/>
      <c r="F95" s="11">
        <f>[4]gpt4omini_single_100!L94</f>
        <v>1.0343260000000001</v>
      </c>
      <c r="M95" s="12">
        <v>92</v>
      </c>
      <c r="N95">
        <f>[1]gpt4omini_single_100_2!L94</f>
        <v>0.34731600000000001</v>
      </c>
      <c r="O95">
        <f>[2]gpt4omini_single_100_2!L94</f>
        <v>0.31371700000000002</v>
      </c>
      <c r="P95">
        <f>[3]gpt4omini_single_100_2!L94</f>
        <v>0.12303699999999999</v>
      </c>
      <c r="Q95" s="24"/>
      <c r="R95" s="11">
        <f>[4]gpt4omini_single_100_2!L94</f>
        <v>7.2748999999999994E-2</v>
      </c>
    </row>
    <row r="96" spans="1:18" x14ac:dyDescent="0.2">
      <c r="A96" s="12">
        <v>93</v>
      </c>
      <c r="B96">
        <f>[1]gpt4omini_single_100!L95</f>
        <v>1.051544</v>
      </c>
      <c r="C96">
        <f>[2]gpt4omini_single_100!L95</f>
        <v>1.1661269999999999</v>
      </c>
      <c r="D96">
        <f>[3]gpt4omini_single_100!L95</f>
        <v>1.278173</v>
      </c>
      <c r="E96" s="24"/>
      <c r="F96" s="11">
        <f>[4]gpt4omini_single_100!L95</f>
        <v>1.0446580000000001</v>
      </c>
      <c r="M96" s="12">
        <v>93</v>
      </c>
      <c r="N96">
        <f>[1]gpt4omini_single_100_2!L95</f>
        <v>0.34831000000000001</v>
      </c>
      <c r="O96">
        <f>[2]gpt4omini_single_100_2!L95</f>
        <v>0.33371899999999999</v>
      </c>
      <c r="P96">
        <f>[3]gpt4omini_single_100_2!L95</f>
        <v>0.111549</v>
      </c>
      <c r="Q96" s="24"/>
      <c r="R96" s="11">
        <f>[4]gpt4omini_single_100_2!L95</f>
        <v>7.9815999999999998E-2</v>
      </c>
    </row>
    <row r="97" spans="1:18" x14ac:dyDescent="0.2">
      <c r="A97" s="12">
        <v>94</v>
      </c>
      <c r="B97">
        <f>[1]gpt4omini_single_100!L96</f>
        <v>1.0708770000000001</v>
      </c>
      <c r="C97">
        <f>[2]gpt4omini_single_100!L96</f>
        <v>1.2034800000000001</v>
      </c>
      <c r="D97">
        <f>[3]gpt4omini_single_100!L96</f>
        <v>1.2845089999999999</v>
      </c>
      <c r="E97" s="24"/>
      <c r="F97" s="11">
        <f>[4]gpt4omini_single_100!L96</f>
        <v>1.062451</v>
      </c>
      <c r="M97" s="12">
        <v>94</v>
      </c>
      <c r="N97">
        <f>[1]gpt4omini_single_100_2!L96</f>
        <v>0.35854200000000003</v>
      </c>
      <c r="O97">
        <f>[2]gpt4omini_single_100_2!L96</f>
        <v>0.31866699999999998</v>
      </c>
      <c r="P97">
        <f>[3]gpt4omini_single_100_2!L96</f>
        <v>0.107373</v>
      </c>
      <c r="Q97" s="24"/>
      <c r="R97" s="11">
        <f>[4]gpt4omini_single_100_2!L96</f>
        <v>7.7581999999999998E-2</v>
      </c>
    </row>
    <row r="98" spans="1:18" x14ac:dyDescent="0.2">
      <c r="A98" s="12">
        <v>95</v>
      </c>
      <c r="B98">
        <f>[1]gpt4omini_single_100!L97</f>
        <v>1.0519400000000001</v>
      </c>
      <c r="C98">
        <f>[2]gpt4omini_single_100!L97</f>
        <v>1.131543</v>
      </c>
      <c r="D98">
        <f>[3]gpt4omini_single_100!L97</f>
        <v>1.2380789999999999</v>
      </c>
      <c r="E98" s="24"/>
      <c r="F98" s="11">
        <f>[4]gpt4omini_single_100!L97</f>
        <v>1.059099</v>
      </c>
      <c r="M98" s="12">
        <v>95</v>
      </c>
      <c r="N98">
        <f>[1]gpt4omini_single_100_2!L97</f>
        <v>0.31451699999999999</v>
      </c>
      <c r="O98">
        <f>[2]gpt4omini_single_100_2!L97</f>
        <v>0.296292</v>
      </c>
      <c r="P98">
        <f>[3]gpt4omini_single_100_2!L97</f>
        <v>0.109365</v>
      </c>
      <c r="Q98" s="24"/>
      <c r="R98" s="11">
        <f>[4]gpt4omini_single_100_2!L97</f>
        <v>0.12590499999999999</v>
      </c>
    </row>
    <row r="99" spans="1:18" x14ac:dyDescent="0.2">
      <c r="A99" s="12">
        <v>96</v>
      </c>
      <c r="B99">
        <f>[1]gpt4omini_single_100!L98</f>
        <v>1.0760289999999999</v>
      </c>
      <c r="C99">
        <f>[2]gpt4omini_single_100!L98</f>
        <v>1.181322</v>
      </c>
      <c r="D99">
        <f>[3]gpt4omini_single_100!L98</f>
        <v>1.2845200000000001</v>
      </c>
      <c r="E99" s="24"/>
      <c r="F99" s="11">
        <f>[4]gpt4omini_single_100!L98</f>
        <v>1.107721</v>
      </c>
      <c r="M99" s="12">
        <v>96</v>
      </c>
      <c r="N99">
        <f>[1]gpt4omini_single_100_2!L98</f>
        <v>0.33711000000000002</v>
      </c>
      <c r="O99">
        <f>[2]gpt4omini_single_100_2!L98</f>
        <v>0.30697200000000002</v>
      </c>
      <c r="P99">
        <f>[3]gpt4omini_single_100_2!L98</f>
        <v>0.11734899999999999</v>
      </c>
      <c r="Q99" s="24"/>
      <c r="R99" s="11">
        <f>[4]gpt4omini_single_100_2!L98</f>
        <v>0.12832099999999999</v>
      </c>
    </row>
    <row r="100" spans="1:18" x14ac:dyDescent="0.2">
      <c r="A100" s="12">
        <v>97</v>
      </c>
      <c r="B100">
        <f>[1]gpt4omini_single_100!L99</f>
        <v>1.079377</v>
      </c>
      <c r="C100">
        <f>[2]gpt4omini_single_100!L99</f>
        <v>1.22784</v>
      </c>
      <c r="D100">
        <f>[3]gpt4omini_single_100!L99</f>
        <v>1.305212</v>
      </c>
      <c r="E100" s="24"/>
      <c r="F100" s="11">
        <f>[4]gpt4omini_single_100!L99</f>
        <v>1.1134809999999999</v>
      </c>
      <c r="M100" s="12">
        <v>97</v>
      </c>
      <c r="N100">
        <f>[1]gpt4omini_single_100_2!L99</f>
        <v>0.35225600000000001</v>
      </c>
      <c r="O100">
        <f>[2]gpt4omini_single_100_2!L99</f>
        <v>0.307172</v>
      </c>
      <c r="P100">
        <f>[3]gpt4omini_single_100_2!L99</f>
        <v>0.12388200000000001</v>
      </c>
      <c r="Q100" s="24"/>
      <c r="R100" s="11">
        <f>[4]gpt4omini_single_100_2!L99</f>
        <v>0.126724</v>
      </c>
    </row>
    <row r="101" spans="1:18" x14ac:dyDescent="0.2">
      <c r="A101" s="12">
        <v>98</v>
      </c>
      <c r="B101">
        <f>[1]gpt4omini_single_100!L100</f>
        <v>1.071156</v>
      </c>
      <c r="C101">
        <f>[2]gpt4omini_single_100!L100</f>
        <v>1.134741</v>
      </c>
      <c r="D101">
        <f>[3]gpt4omini_single_100!L100</f>
        <v>1.285293</v>
      </c>
      <c r="E101" s="24"/>
      <c r="F101" s="11">
        <f>[4]gpt4omini_single_100!L100</f>
        <v>1.1156870000000001</v>
      </c>
      <c r="M101" s="12">
        <v>98</v>
      </c>
      <c r="N101">
        <f>[1]gpt4omini_single_100_2!L100</f>
        <v>0.39720299999999997</v>
      </c>
      <c r="O101">
        <f>[2]gpt4omini_single_100_2!L100</f>
        <v>0.28324199999999999</v>
      </c>
      <c r="P101">
        <f>[3]gpt4omini_single_100_2!L100</f>
        <v>0.12986700000000001</v>
      </c>
      <c r="Q101" s="24"/>
      <c r="R101" s="11">
        <f>[4]gpt4omini_single_100_2!L100</f>
        <v>0.12084300000000001</v>
      </c>
    </row>
    <row r="102" spans="1:18" x14ac:dyDescent="0.2">
      <c r="A102" s="12">
        <v>99</v>
      </c>
      <c r="B102">
        <f>[1]gpt4omini_single_100!L101</f>
        <v>1.048316</v>
      </c>
      <c r="C102">
        <f>[2]gpt4omini_single_100!L101</f>
        <v>1.1902079999999999</v>
      </c>
      <c r="D102">
        <f>[3]gpt4omini_single_100!L101</f>
        <v>1.3013319999999999</v>
      </c>
      <c r="E102" s="24"/>
      <c r="F102" s="11">
        <f>[4]gpt4omini_single_100!L101</f>
        <v>1.116179</v>
      </c>
      <c r="M102" s="12">
        <v>99</v>
      </c>
      <c r="N102">
        <f>[1]gpt4omini_single_100_2!L101</f>
        <v>0.45779300000000001</v>
      </c>
      <c r="O102">
        <f>[2]gpt4omini_single_100_2!L101</f>
        <v>0.31109599999999998</v>
      </c>
      <c r="P102">
        <f>[3]gpt4omini_single_100_2!L101</f>
        <v>0.12961500000000001</v>
      </c>
      <c r="Q102" s="24"/>
      <c r="R102" s="11">
        <f>[4]gpt4omini_single_100_2!L101</f>
        <v>9.7715999999999997E-2</v>
      </c>
    </row>
    <row r="103" spans="1:18" x14ac:dyDescent="0.2">
      <c r="A103" s="12">
        <v>100</v>
      </c>
      <c r="B103">
        <f>[1]gpt4omini_single_100!L102</f>
        <v>1.0812029999999999</v>
      </c>
      <c r="C103">
        <f>[2]gpt4omini_single_100!L102</f>
        <v>1.2033579999999999</v>
      </c>
      <c r="D103">
        <f>[3]gpt4omini_single_100!L102</f>
        <v>1.3069539999999999</v>
      </c>
      <c r="E103" s="24"/>
      <c r="F103" s="11">
        <f>[4]gpt4omini_single_100!L102</f>
        <v>1.1247419999999999</v>
      </c>
      <c r="M103" s="12">
        <v>100</v>
      </c>
      <c r="N103">
        <f>[1]gpt4omini_single_100_2!L102</f>
        <v>0.47660799999999998</v>
      </c>
      <c r="O103">
        <f>[2]gpt4omini_single_100_2!L102</f>
        <v>0.31539499999999998</v>
      </c>
      <c r="P103">
        <f>[3]gpt4omini_single_100_2!L102</f>
        <v>0.121992</v>
      </c>
      <c r="Q103" s="24"/>
      <c r="R103" s="11">
        <f>[4]gpt4omini_single_100_2!L102</f>
        <v>0.103294</v>
      </c>
    </row>
  </sheetData>
  <mergeCells count="4">
    <mergeCell ref="A1:F1"/>
    <mergeCell ref="G1:L1"/>
    <mergeCell ref="M1:R1"/>
    <mergeCell ref="S1:X1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gpt_metrics</vt:lpstr>
      <vt:lpstr>gpt_delta-trend</vt:lpstr>
      <vt:lpstr>gemini_metrics</vt:lpstr>
      <vt:lpstr>gemini_delta-trend</vt:lpstr>
      <vt:lpstr>deepseek-chat_metrics</vt:lpstr>
      <vt:lpstr>deepseek-chat_delta-trend</vt:lpstr>
      <vt:lpstr>deepseek-reasoner_metrics</vt:lpstr>
      <vt:lpstr>deepseek-reasoner_delta-trend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Paola</cp:lastModifiedBy>
  <dcterms:created xsi:type="dcterms:W3CDTF">2026-04-27T17:11:35Z</dcterms:created>
  <dcterms:modified xsi:type="dcterms:W3CDTF">2026-05-25T09:47:46Z</dcterms:modified>
</cp:coreProperties>
</file>